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elcotedu-my.sharepoint.com/personal/s0841880_edu_elcot_in/Documents/"/>
    </mc:Choice>
  </mc:AlternateContent>
  <xr:revisionPtr revIDLastSave="235" documentId="8_{BF5B221A-54B5-44A0-8FBA-E9582EB3FBB0}" xr6:coauthVersionLast="47" xr6:coauthVersionMax="47" xr10:uidLastSave="{717AB3B6-003B-457E-AC85-273B25ED160F}"/>
  <bookViews>
    <workbookView xWindow="-110" yWindow="-110" windowWidth="19420" windowHeight="10300" firstSheet="1" activeTab="3" xr2:uid="{1B1FE73F-4177-4187-B3A0-2F05C59A06F3}"/>
  </bookViews>
  <sheets>
    <sheet name="Sample - Superstore" sheetId="1" r:id="rId1"/>
    <sheet name="Detail1" sheetId="15" r:id="rId2"/>
    <sheet name="Pivot Table and Chart" sheetId="9" r:id="rId3"/>
    <sheet name="DASHBOARD" sheetId="13" r:id="rId4"/>
    <sheet name="CReated 150 data" sheetId="6" r:id="rId5"/>
  </sheets>
  <definedNames>
    <definedName name="Slicer_Region">#N/A</definedName>
  </definedNames>
  <calcPr calcId="191029"/>
  <pivotCaches>
    <pivotCache cacheId="6"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8" i="6" l="1"/>
  <c r="J6" i="6"/>
  <c r="J4" i="6"/>
  <c r="J2" i="6"/>
  <c r="J11" i="1"/>
  <c r="J9" i="1"/>
  <c r="J7" i="1"/>
  <c r="J5" i="1"/>
</calcChain>
</file>

<file path=xl/sharedStrings.xml><?xml version="1.0" encoding="utf-8"?>
<sst xmlns="http://schemas.openxmlformats.org/spreadsheetml/2006/main" count="12293" uniqueCount="2766">
  <si>
    <t>Order Date</t>
  </si>
  <si>
    <t>Customer Name</t>
  </si>
  <si>
    <t>Region</t>
  </si>
  <si>
    <t>Product Name</t>
  </si>
  <si>
    <t>Sales</t>
  </si>
  <si>
    <t>Discount</t>
  </si>
  <si>
    <t>Profit</t>
  </si>
  <si>
    <t>Claire Gute</t>
  </si>
  <si>
    <t>South</t>
  </si>
  <si>
    <t>Bush Somerset Collection Bookcase</t>
  </si>
  <si>
    <t>Hon Deluxe Fabric Upholstered Stacking Chairs, Rounded Back</t>
  </si>
  <si>
    <t>6/16/2016</t>
  </si>
  <si>
    <t>Darrin Van Huff</t>
  </si>
  <si>
    <t>West</t>
  </si>
  <si>
    <t>Self-Adhesive Address Labels for Typewriters by Universal</t>
  </si>
  <si>
    <t>10/18/2015</t>
  </si>
  <si>
    <t>Sean O'Donnell</t>
  </si>
  <si>
    <t>Bretford CR4500 Series Slim Rectangular Table</t>
  </si>
  <si>
    <t>Eldon Fold 'N Roll Cart System</t>
  </si>
  <si>
    <t>Brosina Hoffman</t>
  </si>
  <si>
    <t>Eldon Expressions Wood and Plastic Desk Accessories, Cherry Wood</t>
  </si>
  <si>
    <t>Newell 322</t>
  </si>
  <si>
    <t>Mitel 5320 IP Phone VoIP phone</t>
  </si>
  <si>
    <t>DXL Angle-View Binders with Locking Rings by Samsill</t>
  </si>
  <si>
    <t>Belkin F5C206VTEL 6 Outlet Surge</t>
  </si>
  <si>
    <t>Chromcraft Rectangular Conference Tables</t>
  </si>
  <si>
    <t>Konftel 250 Conference phone - Charcoal black</t>
  </si>
  <si>
    <t>4/15/2017</t>
  </si>
  <si>
    <t>4/20/2017</t>
  </si>
  <si>
    <t>Andrew Allen</t>
  </si>
  <si>
    <t>Xerox 1967</t>
  </si>
  <si>
    <t>Irene Maddox</t>
  </si>
  <si>
    <t>Fellowes PB200 Plastic Comb Binding Machine</t>
  </si>
  <si>
    <t>11/22/2015</t>
  </si>
  <si>
    <t>Harold Pawlan</t>
  </si>
  <si>
    <t>Central</t>
  </si>
  <si>
    <t>Holmes Replacement Filter for HEPA Air Cleaner, Very Large Room, HEPA Filter</t>
  </si>
  <si>
    <t>Storex DuraTech Recycled Plastic Frosted Binders</t>
  </si>
  <si>
    <t>11/18/2014</t>
  </si>
  <si>
    <t>Pete Kriz</t>
  </si>
  <si>
    <t>Stur-D-Stor Shelving, Vertical 5-Shelf: 72"H x 36"W x 18 1/2"D</t>
  </si>
  <si>
    <t>5/13/2014</t>
  </si>
  <si>
    <t>Alejandro Grove</t>
  </si>
  <si>
    <t>Fellowes Super Stor/Drawer</t>
  </si>
  <si>
    <t>8/27/2014</t>
  </si>
  <si>
    <t>Zuschuss Donatelli</t>
  </si>
  <si>
    <t>Newell 341</t>
  </si>
  <si>
    <t>Cisco SPA 501G IP Phone</t>
  </si>
  <si>
    <t>Wilson Jones Hanging View Binder, White, 1"</t>
  </si>
  <si>
    <t>12/13/2016</t>
  </si>
  <si>
    <t>Ken Black</t>
  </si>
  <si>
    <t>Newell 318</t>
  </si>
  <si>
    <t>Acco Six-Outlet Power Strip, 4' Cord Length</t>
  </si>
  <si>
    <t>7/16/2017</t>
  </si>
  <si>
    <t>Sandra Flanagan</t>
  </si>
  <si>
    <t>East</t>
  </si>
  <si>
    <t>Global Deluxe Stacking Chair, Gray</t>
  </si>
  <si>
    <t>9/25/2015</t>
  </si>
  <si>
    <t>Emily Burns</t>
  </si>
  <si>
    <t>1/16/2016</t>
  </si>
  <si>
    <t>Eric Hoffmann</t>
  </si>
  <si>
    <t>Wilson Jones Active Use Binders</t>
  </si>
  <si>
    <t>Imation 8GB Mini TravelDrive USB 2.0 Flash Drive</t>
  </si>
  <si>
    <t>9/17/2015</t>
  </si>
  <si>
    <t>Tracy Blumstein</t>
  </si>
  <si>
    <t>Riverside Palais Royal Lawyers Bookcase, Royale Cherry Finish</t>
  </si>
  <si>
    <t>Avery Recycled Flexi-View Covers for Binding Systems</t>
  </si>
  <si>
    <t>Howard Miller 13-3/4" Diameter Brushed Chrome Round Wall Clock</t>
  </si>
  <si>
    <t>Poly String Tie Envelopes</t>
  </si>
  <si>
    <t>BOSTON Model 1800 Electric Pencil Sharpeners, Putty/Woodgrain</t>
  </si>
  <si>
    <t>Acco Pressboard Covers with Storage Hooks, 14 7/8" x 11", Executive Red</t>
  </si>
  <si>
    <t>Lumber Crayons</t>
  </si>
  <si>
    <t>10/19/2017</t>
  </si>
  <si>
    <t>10/23/2017</t>
  </si>
  <si>
    <t>Matt Abelman</t>
  </si>
  <si>
    <t>Easy-staple paper</t>
  </si>
  <si>
    <t>Gene Hale</t>
  </si>
  <si>
    <t>GE 30524EE4</t>
  </si>
  <si>
    <t>Electrix Architect's Clamp-On Swing Arm Lamp, Black</t>
  </si>
  <si>
    <t>12/27/2015</t>
  </si>
  <si>
    <t>12/31/2015</t>
  </si>
  <si>
    <t>Steve Nguyen</t>
  </si>
  <si>
    <t>#10-4 1/8" x 9 1/2" Premium Diagonal Seam Envelopes</t>
  </si>
  <si>
    <t>Atlantic Metals Mobile 3-Shelf Bookcases, Custom Colors</t>
  </si>
  <si>
    <t>Global Fabric Manager's Chair, Dark Gray</t>
  </si>
  <si>
    <t>Plantronics HL10 Handset Lifter</t>
  </si>
  <si>
    <t>9/15/2017</t>
  </si>
  <si>
    <t>Linda Cazamias</t>
  </si>
  <si>
    <t>Panasonic Kx-TS550</t>
  </si>
  <si>
    <t>7/17/2016</t>
  </si>
  <si>
    <t>7/22/2016</t>
  </si>
  <si>
    <t>Ruben Ausman</t>
  </si>
  <si>
    <t>Eldon Base for stackable storage shelf, platinum</t>
  </si>
  <si>
    <t>9/19/2017</t>
  </si>
  <si>
    <t>9/23/2017</t>
  </si>
  <si>
    <t>Erin Smith</t>
  </si>
  <si>
    <t>Advantus 10-Drawer Portable Organizer, Chrome Metal Frame, Smoke Drawers</t>
  </si>
  <si>
    <t>3/13/2016</t>
  </si>
  <si>
    <t>Odella Nelson</t>
  </si>
  <si>
    <t>Verbatim 25 GB 6x Blu-ray Single Layer Recordable Disc, 25/Pack</t>
  </si>
  <si>
    <t>Wilson Jones Leather-Like Binders with DublLock Round Rings</t>
  </si>
  <si>
    <t>10/20/2014</t>
  </si>
  <si>
    <t>10/25/2014</t>
  </si>
  <si>
    <t>Patrick O'Donnell</t>
  </si>
  <si>
    <t>Gould Plastics 9-Pocket Panel Bin, 18-3/8w x 5-1/4d x 20-1/2h, Black</t>
  </si>
  <si>
    <t>6/20/2016</t>
  </si>
  <si>
    <t>6/25/2016</t>
  </si>
  <si>
    <t>Lena Hernandez</t>
  </si>
  <si>
    <t>Imation 8gb Micro Traveldrive Usb 2.0 Flash Drive</t>
  </si>
  <si>
    <t>LF Elite 3D Dazzle Designer Hard Case Cover, Lf Stylus Pen and Wiper For Apple Iphone 5c Mini Lite</t>
  </si>
  <si>
    <t>4/18/2015</t>
  </si>
  <si>
    <t>Darren Powers</t>
  </si>
  <si>
    <t>C-Line Peel &amp; Stick Add-On Filing Pockets, 8-3/4 x 5-1/8, 10/Pack</t>
  </si>
  <si>
    <t>Avery 485</t>
  </si>
  <si>
    <t>Longer-Life Soft White Bulbs</t>
  </si>
  <si>
    <t>Global Leather Task Chair, Black</t>
  </si>
  <si>
    <t>12/17/2016</t>
  </si>
  <si>
    <t>Janet Molinari</t>
  </si>
  <si>
    <t>Advantus Push Pins</t>
  </si>
  <si>
    <t>AT&amp;T CL83451 4-Handset Telephone</t>
  </si>
  <si>
    <t>6/17/2016</t>
  </si>
  <si>
    <t>6/18/2016</t>
  </si>
  <si>
    <t>Ted Butterfield</t>
  </si>
  <si>
    <t>Home/Office Personal File Carts</t>
  </si>
  <si>
    <t>Xerox 232</t>
  </si>
  <si>
    <t>Novimex Turbo Task Chair</t>
  </si>
  <si>
    <t>Array Parchment Paper, Assorted Colors</t>
  </si>
  <si>
    <t>Plastic Binding Combs</t>
  </si>
  <si>
    <t>Prang Dustless Chalk Sticks</t>
  </si>
  <si>
    <t>11/24/2015</t>
  </si>
  <si>
    <t>11/30/2015</t>
  </si>
  <si>
    <t>Kunst Miller</t>
  </si>
  <si>
    <t>Verbatim 25 GB 6x Blu-ray Single Layer Recordable Disc, 3/Pack</t>
  </si>
  <si>
    <t>Acco PRESSTEX Data Binder with Storage Hooks, Dark Blue, 14 7/8" X 11"</t>
  </si>
  <si>
    <t>Xerox 1943</t>
  </si>
  <si>
    <t>Luxo Economy Swing Arm Lamp</t>
  </si>
  <si>
    <t>4/30/2015</t>
  </si>
  <si>
    <t>Paul Stevenson</t>
  </si>
  <si>
    <t>Global Value Mid-Back Manager's Chair, Gray</t>
  </si>
  <si>
    <t>Brendan Sweed</t>
  </si>
  <si>
    <t>Hunt BOSTON Model 1606 High-Volume Electric Pencil Sharpener, Beige</t>
  </si>
  <si>
    <t>netTALK DUO VoIP Telephone Service</t>
  </si>
  <si>
    <t>Karen Daniels</t>
  </si>
  <si>
    <t>Snap-A-Way Black Print Carbonless Ruled Speed Letter, Triplicate</t>
  </si>
  <si>
    <t>9/18/2016</t>
  </si>
  <si>
    <t>9/23/2016</t>
  </si>
  <si>
    <t>Henry MacAllister</t>
  </si>
  <si>
    <t>Avery Binding System Hidden Tab Executive Style Index Sets</t>
  </si>
  <si>
    <t>9/14/2017</t>
  </si>
  <si>
    <t>9/17/2017</t>
  </si>
  <si>
    <t>Telephone Message Books with Fax/Mobile Section, 5 1/2" x 3 3/16"</t>
  </si>
  <si>
    <t>4/26/2015</t>
  </si>
  <si>
    <t>Joel Eaton</t>
  </si>
  <si>
    <t>High-Back Leather Manager's Chair</t>
  </si>
  <si>
    <t>Tenex Traditional Chairmats for Medium Pile Carpet, Standard Lip, 36" x 48"</t>
  </si>
  <si>
    <t>Safco Industrial Wire Shelving System</t>
  </si>
  <si>
    <t>Ken Brennan</t>
  </si>
  <si>
    <t>Economy Binders</t>
  </si>
  <si>
    <t>6" Cubicle Wall Clock, Black</t>
  </si>
  <si>
    <t>SimpliFile Personal File, Black Granite, 15w x 6-15/16d x 11-1/4h</t>
  </si>
  <si>
    <t>11/26/2014</t>
  </si>
  <si>
    <t>Eldon Expressions Desk Accessory, Wood Pencil Holder, Oak</t>
  </si>
  <si>
    <t>Stewart Carmichael</t>
  </si>
  <si>
    <t>1.7 Cubic Foot Compact "Cube" Office Refrigerators</t>
  </si>
  <si>
    <t>Avery Heavy-Duty EZD  Binder With Locking Rings</t>
  </si>
  <si>
    <t>Duane Noonan</t>
  </si>
  <si>
    <t>Premium Writing Pencils, Soft, #2 by Central Association for the Blind</t>
  </si>
  <si>
    <t>Sortfiler Multipurpose Personal File Organizer, Black</t>
  </si>
  <si>
    <t>Julie Creighton</t>
  </si>
  <si>
    <t>Jet-Pak Recycled Peel 'N' Seal Padded Mailers</t>
  </si>
  <si>
    <t>11/13/2017</t>
  </si>
  <si>
    <t>11/16/2017</t>
  </si>
  <si>
    <t>Christopher Schild</t>
  </si>
  <si>
    <t>Safco Industrial Wire Shelving</t>
  </si>
  <si>
    <t>5/28/2017</t>
  </si>
  <si>
    <t>5/30/2017</t>
  </si>
  <si>
    <t>Novimex Swivel Fabric Task Chair</t>
  </si>
  <si>
    <t>10/26/2017</t>
  </si>
  <si>
    <t>Paul Gonzalez</t>
  </si>
  <si>
    <t>Logitech LS21 Speaker System - PC Multimedia - 2.1-CH - Wired</t>
  </si>
  <si>
    <t>Avery 511</t>
  </si>
  <si>
    <t>Gary Mitchum</t>
  </si>
  <si>
    <t>Eldon Portable Mobile Manager</t>
  </si>
  <si>
    <t>9/17/2016</t>
  </si>
  <si>
    <t>9/22/2016</t>
  </si>
  <si>
    <t>Jim Sink</t>
  </si>
  <si>
    <t>Turquoise Lead Holder with Pocket Clip</t>
  </si>
  <si>
    <t>Xerox 1995</t>
  </si>
  <si>
    <t>1/31/2015</t>
  </si>
  <si>
    <t>Karl Braun</t>
  </si>
  <si>
    <t>Xerox 1999</t>
  </si>
  <si>
    <t>Seth Thomas 13 1/2" Wall Clock</t>
  </si>
  <si>
    <t>Ibico Standard Transparent Covers</t>
  </si>
  <si>
    <t>Roger Barcio</t>
  </si>
  <si>
    <t>Flexible Leather- Look Classic Collection Ring Binder</t>
  </si>
  <si>
    <t>Parhena Norris</t>
  </si>
  <si>
    <t>9-3/4 Diameter Round Wall Clock</t>
  </si>
  <si>
    <t>6/17/2017</t>
  </si>
  <si>
    <t>6/20/2017</t>
  </si>
  <si>
    <t>Katherine Ducich</t>
  </si>
  <si>
    <t>Trimflex Flexible Post Binders</t>
  </si>
  <si>
    <t>Elpida Rittenbach</t>
  </si>
  <si>
    <t>Fellowes Basic Home/Office Series Surge Protectors</t>
  </si>
  <si>
    <t>8/29/2016</t>
  </si>
  <si>
    <t>Rick Bensley</t>
  </si>
  <si>
    <t>Avery Personal Creations Heavyweight Cards</t>
  </si>
  <si>
    <t>SanDisk Ultra 64 GB MicroSDHC Class 10 Memory Card</t>
  </si>
  <si>
    <t>Avery Hidden Tab Dividers for Binding Systems</t>
  </si>
  <si>
    <t>Gary Zandusky</t>
  </si>
  <si>
    <t>Universal Premium White Copier/Laser Paper (20Lb. and 87 Bright)</t>
  </si>
  <si>
    <t>11/13/2015</t>
  </si>
  <si>
    <t>11/17/2015</t>
  </si>
  <si>
    <t>Lena Cacioppo</t>
  </si>
  <si>
    <t>Logitech K350 2.4Ghz Wireless Keyboard</t>
  </si>
  <si>
    <t>Deflect-o DuraMat Lighweight, Studded, Beveled Mat for Low Pile Carpeting</t>
  </si>
  <si>
    <t>Avery Trapezoid Ring Binder, 3" Capacity, Black, 1040 sheets</t>
  </si>
  <si>
    <t>11/23/2017</t>
  </si>
  <si>
    <t>11/28/2017</t>
  </si>
  <si>
    <t>Janet Martin</t>
  </si>
  <si>
    <t>Memorex Mini Travel Drive 8 GB USB 2.0 Flash Drive</t>
  </si>
  <si>
    <t>Speck Products Candyshell Flip Case</t>
  </si>
  <si>
    <t>Newell Chalk Holder</t>
  </si>
  <si>
    <t>10/15/2015</t>
  </si>
  <si>
    <t>10/20/2015</t>
  </si>
  <si>
    <t>Pete Armstrong</t>
  </si>
  <si>
    <t>Logitech Gaming G510s - Keyboard</t>
  </si>
  <si>
    <t>12/25/2017</t>
  </si>
  <si>
    <t>Cynthia Voltz</t>
  </si>
  <si>
    <t>Magnifier Swing Arm Lamp</t>
  </si>
  <si>
    <t>Clay Ludtke</t>
  </si>
  <si>
    <t>Hunt PowerHouse Electric Pencil Sharpener, Blue</t>
  </si>
  <si>
    <t>Avery Durable Plastic 1" Binders</t>
  </si>
  <si>
    <t>8/25/2014</t>
  </si>
  <si>
    <t>Ryan Crowe</t>
  </si>
  <si>
    <t>OIC Colored Binder Clips, Assorted Sizes</t>
  </si>
  <si>
    <t>Redi-Strip #10 Envelopes, 4 1/8 x 9 1/2</t>
  </si>
  <si>
    <t>Xerox 1921</t>
  </si>
  <si>
    <t>Tyvek  Top-Opening Peel &amp; Seel Envelopes, Plain White</t>
  </si>
  <si>
    <t>Dave Kipp</t>
  </si>
  <si>
    <t>Hon Racetrack Conference Tables</t>
  </si>
  <si>
    <t>Greg Guthrie</t>
  </si>
  <si>
    <t>GBC DocuBind 300 Electric Binding Machine</t>
  </si>
  <si>
    <t>Steven Cartwright</t>
  </si>
  <si>
    <t>Artistic Insta-Plaque</t>
  </si>
  <si>
    <t>Companion Letter/Legal File, Black</t>
  </si>
  <si>
    <t>Globe Weis Peel &amp; Seel First Class Envelopes</t>
  </si>
  <si>
    <t>KLD Oscar II Style Snap-on Ultra Thin Side Flip Synthetic Leather Cover Case for HTC One HTC M7</t>
  </si>
  <si>
    <t>12/26/2014</t>
  </si>
  <si>
    <t>12/28/2014</t>
  </si>
  <si>
    <t>Alan Dominguez</t>
  </si>
  <si>
    <t>Global Deluxe High-Back Manager's Chair</t>
  </si>
  <si>
    <t>9/20/2014</t>
  </si>
  <si>
    <t>Philip Fox</t>
  </si>
  <si>
    <t>Bevis 44 x 96 Conference Tables</t>
  </si>
  <si>
    <t>Troy Staebel</t>
  </si>
  <si>
    <t>Avery Durable Slant Ring Binders, No Labels</t>
  </si>
  <si>
    <t>Trav-L-File Heavy-Duty Shuttle II, Black</t>
  </si>
  <si>
    <t>Lindsay Shagiari</t>
  </si>
  <si>
    <t>Global Task Chair, Black</t>
  </si>
  <si>
    <t>Eldon Cleatmat Plus Chair Mats for High Pile Carpets</t>
  </si>
  <si>
    <t>Dorothy Wardle</t>
  </si>
  <si>
    <t>Anker 36W 4-Port USB Wall Charger Travel Power Adapter for iPhone 5s 5c 5</t>
  </si>
  <si>
    <t>Xerox 1916</t>
  </si>
  <si>
    <t>Staples</t>
  </si>
  <si>
    <t>10/13/2016</t>
  </si>
  <si>
    <t>Lena Creighton</t>
  </si>
  <si>
    <t>Xerox 195</t>
  </si>
  <si>
    <t>Xerox 1880</t>
  </si>
  <si>
    <t>Sanford Colorific Colored Pencils, 12/Box</t>
  </si>
  <si>
    <t>Ideal Clamps</t>
  </si>
  <si>
    <t>GBC Wire Binding Strips</t>
  </si>
  <si>
    <t>Fiskars Softgrip Scissors</t>
  </si>
  <si>
    <t>Jonathan Doherty</t>
  </si>
  <si>
    <t>9/18/2017</t>
  </si>
  <si>
    <t>Sally Hughsby</t>
  </si>
  <si>
    <t>Newell 343</t>
  </si>
  <si>
    <t>Convenience Packs of Business Envelopes</t>
  </si>
  <si>
    <t>Xerox 1911</t>
  </si>
  <si>
    <t>12/22/2017</t>
  </si>
  <si>
    <t>Sandra Glassco</t>
  </si>
  <si>
    <t>Sanyo 2.5 Cubic Foot Mid-Size Office Refrigerators</t>
  </si>
  <si>
    <t>Helen Andreada</t>
  </si>
  <si>
    <t>10/22/2014</t>
  </si>
  <si>
    <t>10/28/2014</t>
  </si>
  <si>
    <t>Maureen Gastineau</t>
  </si>
  <si>
    <t>Seth Thomas 14" Putty-Colored Wall Clock</t>
  </si>
  <si>
    <t>Justin Ellison</t>
  </si>
  <si>
    <t>Plantronics Cordless Phone Headset with In-line Volume - M214C</t>
  </si>
  <si>
    <t>Anker Astro 15000mAh USB Portable Charger</t>
  </si>
  <si>
    <t>GBC Prestige Therm-A-Bind Covers</t>
  </si>
  <si>
    <t>Tamara Willingham</t>
  </si>
  <si>
    <t>Belkin 7 Outlet SurgeMaster Surge Protector with Phone Protection</t>
  </si>
  <si>
    <t>Jabra BIZ 2300 Duo QD Duo Corded Headset</t>
  </si>
  <si>
    <t>5/31/2015</t>
  </si>
  <si>
    <t>Stephanie Phelps</t>
  </si>
  <si>
    <t>Southworth 25% Cotton Antique Laid Paper &amp; Envelopes</t>
  </si>
  <si>
    <t>Xerox 1883</t>
  </si>
  <si>
    <t>Tenex Personal Project File with Scoop Front Design, Black</t>
  </si>
  <si>
    <t>5/28/2015</t>
  </si>
  <si>
    <t>Neil Knudson</t>
  </si>
  <si>
    <t>Newell 311</t>
  </si>
  <si>
    <t>Dave Brooks</t>
  </si>
  <si>
    <t>11/20/2016</t>
  </si>
  <si>
    <t>11/24/2016</t>
  </si>
  <si>
    <t>Nora Paige</t>
  </si>
  <si>
    <t>Avery 519</t>
  </si>
  <si>
    <t>Avaya 5420 Digital phone</t>
  </si>
  <si>
    <t>Ted Trevino</t>
  </si>
  <si>
    <t>Xerox 1920</t>
  </si>
  <si>
    <t>12/28/2015</t>
  </si>
  <si>
    <t>Eric Murdock</t>
  </si>
  <si>
    <t>Lenovo 17-Key USB Numeric Keypad</t>
  </si>
  <si>
    <t>11/16/2016</t>
  </si>
  <si>
    <t>Ruben Dartt</t>
  </si>
  <si>
    <t>Staple envelope</t>
  </si>
  <si>
    <t>Max Jones</t>
  </si>
  <si>
    <t>Wilson Jones International Size A4 Ring Binders</t>
  </si>
  <si>
    <t>Becky Martin</t>
  </si>
  <si>
    <t>BIC Brite Liner Highlighters</t>
  </si>
  <si>
    <t>Lexmark MX611dhe Monochrome Laser Printer</t>
  </si>
  <si>
    <t>Space Solutions HD Industrial Steel Shelving.</t>
  </si>
  <si>
    <t>SAFCO Arco Folding Chair</t>
  </si>
  <si>
    <t>Sanford Liquid Accent Highlighters</t>
  </si>
  <si>
    <t>Kensington 7 Outlet MasterPiece Power Center</t>
  </si>
  <si>
    <t>JBL Micro Wireless Portable Bluetooth Speaker</t>
  </si>
  <si>
    <t>Chad Sievert</t>
  </si>
  <si>
    <t>Adams Phone Message Book, Professional, 400 Message Capacity, 5 3/6” x 11”</t>
  </si>
  <si>
    <t>Xerox 1913</t>
  </si>
  <si>
    <t>Global Value Steno Chair, Gray</t>
  </si>
  <si>
    <t>9/14/2014</t>
  </si>
  <si>
    <t>9/19/2014</t>
  </si>
  <si>
    <t>Jennifer Braxton</t>
  </si>
  <si>
    <t>Kensington 7 Outlet MasterPiece HOMEOFFICE Power Control Center</t>
  </si>
  <si>
    <t>Avery 51</t>
  </si>
  <si>
    <t>4/21/2017</t>
  </si>
  <si>
    <t>4/25/2017</t>
  </si>
  <si>
    <t>Shirley Jackson</t>
  </si>
  <si>
    <t>Acco 7-Outlet Masterpiece Power Center, Wihtout Fax/Phone Line Protection</t>
  </si>
  <si>
    <t>11/21/2015</t>
  </si>
  <si>
    <t>11/23/2015</t>
  </si>
  <si>
    <t>Padded Folding Chairs, Black, 4/Carton</t>
  </si>
  <si>
    <t>Acme Rosewood Handle Letter Opener</t>
  </si>
  <si>
    <t>12/15/2015</t>
  </si>
  <si>
    <t>12/19/2015</t>
  </si>
  <si>
    <t>Jim Kriz</t>
  </si>
  <si>
    <t>Sanford Colorific Eraseable Coloring Pencils, 12 Count</t>
  </si>
  <si>
    <t>David Kendrick</t>
  </si>
  <si>
    <t>Tenex File Box, Personal Filing Tote with Lid, Black</t>
  </si>
  <si>
    <t>Imation Secure+ Hardware Encrypted USB 2.0 Flash Drive; 16GB</t>
  </si>
  <si>
    <t>11/19/2014</t>
  </si>
  <si>
    <t>11/24/2014</t>
  </si>
  <si>
    <t>Robert Marley</t>
  </si>
  <si>
    <t>AT&amp;T TR1909W</t>
  </si>
  <si>
    <t>Nokia Lumia 521 (T-Mobile)</t>
  </si>
  <si>
    <t>HP Standard 104 key PS/2 Keyboard</t>
  </si>
  <si>
    <t>11/28/2016</t>
  </si>
  <si>
    <t>Sally Knutson</t>
  </si>
  <si>
    <t>Avery Poly Binder Pockets</t>
  </si>
  <si>
    <t>8/26/2014</t>
  </si>
  <si>
    <t>8/30/2014</t>
  </si>
  <si>
    <t>Frank Merwin</t>
  </si>
  <si>
    <t>SanDisk Ultra 32 GB MicroSDHC Class 10 Memory Card</t>
  </si>
  <si>
    <t>7/16/2016</t>
  </si>
  <si>
    <t>Alice McCarthy</t>
  </si>
  <si>
    <t>Personal Filing Tote with Lid, Black/Gray</t>
  </si>
  <si>
    <t>Mark Packer</t>
  </si>
  <si>
    <t>Atlantic Metals Mobile 4-Shelf Bookcases, Custom Colors</t>
  </si>
  <si>
    <t>I Need's 3d Hello Kitty Hybrid Silicone Case Cover for HTC One X 4g with 3d Hello Kitty Stylus Pen Green/pink</t>
  </si>
  <si>
    <t>Xerox 205</t>
  </si>
  <si>
    <t>4009 Highlighters by Sanford</t>
  </si>
  <si>
    <t>10/31/2015</t>
  </si>
  <si>
    <t>Mary Zewe</t>
  </si>
  <si>
    <t>3/21/2014</t>
  </si>
  <si>
    <t>3/25/2014</t>
  </si>
  <si>
    <t>Cassandra Brandow</t>
  </si>
  <si>
    <t>Binney &amp; Smith Crayola Metallic Colored Pencils, 8-Color Set</t>
  </si>
  <si>
    <t>Binney &amp; Smith inkTank Erasable Desk Highlighter, Chisel Tip, Yellow, 12/Box</t>
  </si>
  <si>
    <t>Valerie Mitchum</t>
  </si>
  <si>
    <t>Decoflex Hanging Personal Folder File</t>
  </si>
  <si>
    <t>Fred Hopkins</t>
  </si>
  <si>
    <t>Pressboard Covers with Storage Hooks, 9 1/2" x 11", Light Blue</t>
  </si>
  <si>
    <t>Wirebound Message Books, 5-1/2 x 4 Forms, 2 or 4 Forms per Page</t>
  </si>
  <si>
    <t>6/24/2017</t>
  </si>
  <si>
    <t>6/29/2017</t>
  </si>
  <si>
    <t>Maria Bertelson</t>
  </si>
  <si>
    <t>Southworth 25% Cotton Linen-Finish Paper &amp; Envelopes</t>
  </si>
  <si>
    <t>Bruce Stewart</t>
  </si>
  <si>
    <t>BoxOffice By Design Rectangular and Half-Moon Meeting Room Tables</t>
  </si>
  <si>
    <t>Bravo II Megaboss 12-Amp Hard Body Upright, Replacement Belts, 2 Belts per Pack</t>
  </si>
  <si>
    <t>12/17/2017</t>
  </si>
  <si>
    <t>Logan Currie</t>
  </si>
  <si>
    <t>Eureka Sanitaire  Commercial Upright</t>
  </si>
  <si>
    <t>Heather Kirkland</t>
  </si>
  <si>
    <t>Eldon 200 Class Desk Accessories, Burgundy</t>
  </si>
  <si>
    <t>12/14/2017</t>
  </si>
  <si>
    <t>Laurel Elliston</t>
  </si>
  <si>
    <t>Nortel Business Series Terminal T7208 Digital phone</t>
  </si>
  <si>
    <t>Joseph Holt</t>
  </si>
  <si>
    <t>Tennsco Lockers, Gray</t>
  </si>
  <si>
    <t>Panasonic KX-TG6844B Expandable Digital Cordless Telephone</t>
  </si>
  <si>
    <t>Advantus Push Pins, Aluminum Head</t>
  </si>
  <si>
    <t>Gould Plastics 18-Pocket Panel Bin, 34w x 5-1/4d x 20-1/2h</t>
  </si>
  <si>
    <t>Michael Stewart</t>
  </si>
  <si>
    <t>Memorex Micro Travel Drive 8 GB</t>
  </si>
  <si>
    <t>Victoria Wilson</t>
  </si>
  <si>
    <t>Avery 505</t>
  </si>
  <si>
    <t>O'Sullivan 2-Door Barrister Bookcase in Odessa Pine</t>
  </si>
  <si>
    <t>Cisco 9971 IP Video Phone Charcoal</t>
  </si>
  <si>
    <t>Sony Micro Vault Click 16 GB USB 2.0 Flash Drive</t>
  </si>
  <si>
    <t>10/28/2016</t>
  </si>
  <si>
    <t>Jonathan Howell</t>
  </si>
  <si>
    <t>Adtran 1202752G1</t>
  </si>
  <si>
    <t>12/24/2015</t>
  </si>
  <si>
    <t>Joni Blumstein</t>
  </si>
  <si>
    <t>OIC Bulk Pack Metal Binder Clips</t>
  </si>
  <si>
    <t>While You Were Out Pads, 50 per Pad, 4 x 5 1/4, Green Cycle</t>
  </si>
  <si>
    <t>Executive Impressions 14" Two-Color Numerals Wall Clock</t>
  </si>
  <si>
    <t>Swingline SM12-08 MicroCut Jam Free Shredder</t>
  </si>
  <si>
    <t>Stanley Bostitch Contemporary Electric Pencil Sharpeners</t>
  </si>
  <si>
    <t>8/16/2015</t>
  </si>
  <si>
    <t>David Smith</t>
  </si>
  <si>
    <t>Sanford Uni-Blazer View Highlighters, Chisel Tip, Yellow</t>
  </si>
  <si>
    <t>Bevis 36 x 72 Conference Tables</t>
  </si>
  <si>
    <t>Rogers Deluxe File Chest</t>
  </si>
  <si>
    <t>2/28/2015</t>
  </si>
  <si>
    <t>Valerie Dominguez</t>
  </si>
  <si>
    <t>Global Low Back Tilter Chair</t>
  </si>
  <si>
    <t>Global Push Button Manager's Chair, Indigo</t>
  </si>
  <si>
    <t>9/13/2014</t>
  </si>
  <si>
    <t>9/17/2014</t>
  </si>
  <si>
    <t>Erin Ashbrook</t>
  </si>
  <si>
    <t>GBC Instant Index System for Binding Systems</t>
  </si>
  <si>
    <t>Bush Advantage Collection Round Conference Table</t>
  </si>
  <si>
    <t>Bretford Rectangular Conference Table Tops</t>
  </si>
  <si>
    <t>Tenex Contemporary Contur Chairmats for Low and Medium Pile Carpet, Computer, 39" x 49"</t>
  </si>
  <si>
    <t>Logitech P710e Mobile Speakerphone</t>
  </si>
  <si>
    <t>David Bremer</t>
  </si>
  <si>
    <t>Xerox 4200 Series MultiUse Premium Copy Paper (20Lb. and 84 Bright)</t>
  </si>
  <si>
    <t>Ken Lonsdale</t>
  </si>
  <si>
    <t>Xerox 1957</t>
  </si>
  <si>
    <t>Luxo Professional Fluorescent Magnifier Lamp with Clamp-Mount Base</t>
  </si>
  <si>
    <t>Staple-based wall hangings</t>
  </si>
  <si>
    <t>PureGear Roll-On Screen Protector</t>
  </si>
  <si>
    <t>KI Conference Tables</t>
  </si>
  <si>
    <t>Eldon 100 Class Desk Accessories</t>
  </si>
  <si>
    <t>Dianna Wilson</t>
  </si>
  <si>
    <t>Safco Steel Mobile File Cart</t>
  </si>
  <si>
    <t>Adams Telephone Message Book w/Frequently-Called Numbers Space, 400 Messages per Book</t>
  </si>
  <si>
    <t>Honeywell Enviracaire Portable HEPA Air Cleaner for 17' x 22' Room</t>
  </si>
  <si>
    <t>12/15/2016</t>
  </si>
  <si>
    <t>Logan Haushalter</t>
  </si>
  <si>
    <t>Global Leather Highback Executive Chair with Pneumatic Height Adjustment, Black</t>
  </si>
  <si>
    <t>Kelly Collister</t>
  </si>
  <si>
    <t>Wirebound Message Books, Two 4 1/4" x 5" Forms per Page</t>
  </si>
  <si>
    <t>Delfina Latchford</t>
  </si>
  <si>
    <t>Fellowes Personal Hanging Folder Files, Navy</t>
  </si>
  <si>
    <t>Tyvek Side-Opening Peel &amp; Seel Expanding Envelopes</t>
  </si>
  <si>
    <t>11/28/2015</t>
  </si>
  <si>
    <t>Dan Reichenbach</t>
  </si>
  <si>
    <t>Belkin 19" Vented Equipment Shelf, Black</t>
  </si>
  <si>
    <t>Logitech Mobile Speakerphone P710e - speaker phone</t>
  </si>
  <si>
    <t>Craig Carreira</t>
  </si>
  <si>
    <t>Sabrent 4-Port USB 2.0 Hub</t>
  </si>
  <si>
    <t>Safco Industrial Shelving</t>
  </si>
  <si>
    <t>Acco 3-Hole Punch</t>
  </si>
  <si>
    <t>Dorris liebe</t>
  </si>
  <si>
    <t>Eureka Disposable Bags for Sanitaire Vibra Groomer I Upright Vac</t>
  </si>
  <si>
    <t>9/21/2014</t>
  </si>
  <si>
    <t>Sean Braxton</t>
  </si>
  <si>
    <t>Xerox WorkCentre 6505DN Laser Multifunction Printer</t>
  </si>
  <si>
    <t>Roy Collins</t>
  </si>
  <si>
    <t>Cisco Small Business SPA 502G VoIP phone</t>
  </si>
  <si>
    <t>11/15/2015</t>
  </si>
  <si>
    <t>Alan Hwang</t>
  </si>
  <si>
    <t>Microsoft Sculpt Comfort Mouse</t>
  </si>
  <si>
    <t>6/16/2017</t>
  </si>
  <si>
    <t>Claudia Bergmann</t>
  </si>
  <si>
    <t>Quartet Omega Colored Chalk, 12/Pack</t>
  </si>
  <si>
    <t>1/22/2016</t>
  </si>
  <si>
    <t>1/28/2016</t>
  </si>
  <si>
    <t>Bagged Rubber Bands</t>
  </si>
  <si>
    <t>12/13/2017</t>
  </si>
  <si>
    <t>Christine Abelman</t>
  </si>
  <si>
    <t>Safco Commercial Shelving</t>
  </si>
  <si>
    <t>Recycled Interoffice Envelopes with String and Button Closure, 10 x 13</t>
  </si>
  <si>
    <t>12/28/2017</t>
  </si>
  <si>
    <t>Kristen Hastings</t>
  </si>
  <si>
    <t>Adjustable Depth Letter/Legal Cart</t>
  </si>
  <si>
    <t>7/30/2015</t>
  </si>
  <si>
    <t>7/31/2015</t>
  </si>
  <si>
    <t>Logitech 910-002974 M325 Wireless Mouse for Web Scrolling</t>
  </si>
  <si>
    <t>Regeneration Desk Collection</t>
  </si>
  <si>
    <t>Presstex Flexible Ring Binders</t>
  </si>
  <si>
    <t>9/16/2017</t>
  </si>
  <si>
    <t>Barry Blumstein</t>
  </si>
  <si>
    <t>Ampad Gold Fibre Wirebound Steno Books, 6" x 9", Gregg Ruled</t>
  </si>
  <si>
    <t>Newell 330</t>
  </si>
  <si>
    <t>10/13/2017</t>
  </si>
  <si>
    <t>10/17/2017</t>
  </si>
  <si>
    <t>Andrew Gjertsen</t>
  </si>
  <si>
    <t>Post-it “Important Message” Note Pad, Neon Colors, 50 Sheets/Pad</t>
  </si>
  <si>
    <t>Adams Write n' Stick Phone Message Book, 11" X 5 1/4", 200 Messages</t>
  </si>
  <si>
    <t>Eldon Simplefile Box Office</t>
  </si>
  <si>
    <t>Avery 489</t>
  </si>
  <si>
    <t>9/26/2015</t>
  </si>
  <si>
    <t>9/28/2015</t>
  </si>
  <si>
    <t>Round Ring Binders</t>
  </si>
  <si>
    <t>Bose SoundLink Bluetooth Speaker</t>
  </si>
  <si>
    <t>Jas O'Carroll</t>
  </si>
  <si>
    <t>Bevis Round Bullnose 29" High Table Top</t>
  </si>
  <si>
    <t>Microsoft Arc Touch Mouse</t>
  </si>
  <si>
    <t>Xerox 216</t>
  </si>
  <si>
    <t>12/18/2016</t>
  </si>
  <si>
    <t>Alan Haines</t>
  </si>
  <si>
    <t>GBC VeloBinder Electric Binding Machine</t>
  </si>
  <si>
    <t>Premier Automatic Letter Opener</t>
  </si>
  <si>
    <t>Nick Zandusky</t>
  </si>
  <si>
    <t>Advantus SlideClip Paper Clips</t>
  </si>
  <si>
    <t>Avery 512</t>
  </si>
  <si>
    <t>Logitech Wireless Gaming Headset G930</t>
  </si>
  <si>
    <t>Bush Westfield Collection Bookcases, Medium Cherry Finish</t>
  </si>
  <si>
    <t>Kelly Lampkin</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</si>
  <si>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</si>
  <si>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</si>
  <si>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</si>
  <si>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</si>
  <si>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</si>
  <si>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Xerox 223</t>
  </si>
  <si>
    <t>Tennsco Stur-D-Stor Boltless Shelving, 5 Shelves, 24" Deep, Sand</t>
  </si>
  <si>
    <t>Xerox 1939</t>
  </si>
  <si>
    <t>Floodlight Indoor Halogen Bulbs, 1 Bulb per Pack, 60 Watts</t>
  </si>
  <si>
    <t>Avery Premier Heavy-Duty Binder with Round Locking Rings</t>
  </si>
  <si>
    <t>11/19/2017</t>
  </si>
  <si>
    <t>BPI Conference Tables</t>
  </si>
  <si>
    <t>Alan Schoenberger</t>
  </si>
  <si>
    <t>Electrix 20W Halogen Replacement Bulb for Zoom-In Desk Lamp</t>
  </si>
  <si>
    <t>12/30/2014</t>
  </si>
  <si>
    <t>Newell 350</t>
  </si>
  <si>
    <t>Corey Roper</t>
  </si>
  <si>
    <t>GBC Clear Cover, 8-1/2 x 11, unpunched, 25 covers per pack</t>
  </si>
  <si>
    <t>Boston Heavy-Duty Trimline Electric Pencil Sharpeners</t>
  </si>
  <si>
    <t>4/17/2017</t>
  </si>
  <si>
    <t>Shahid Hopkins</t>
  </si>
  <si>
    <t>Faber Castell Col-Erase Pencils</t>
  </si>
  <si>
    <t>9/14/2016</t>
  </si>
  <si>
    <t>Ben Peterman</t>
  </si>
  <si>
    <t>C-Line Cubicle Keepers Polyproplyene Holder With Velcro Backings</t>
  </si>
  <si>
    <t>Hon 4070 Series Pagoda Armless Upholstered Stacking Chairs</t>
  </si>
  <si>
    <t>Eldon Expressions Desk Accessory, Wood Photo Frame, Mahogany</t>
  </si>
  <si>
    <t>Avery 509</t>
  </si>
  <si>
    <t>9/27/2014</t>
  </si>
  <si>
    <t>Thomas Seio</t>
  </si>
  <si>
    <t>Deflect-o SuperTray Unbreakable Stackable Tray, Letter, Black</t>
  </si>
  <si>
    <t>Andy Gerbode</t>
  </si>
  <si>
    <t>AT&amp;T 1070 Corded Phone</t>
  </si>
  <si>
    <t>Xerox 21</t>
  </si>
  <si>
    <t>Sung Pak</t>
  </si>
  <si>
    <t>Boston School Pro Electric Pencil Sharpener, 1670</t>
  </si>
  <si>
    <t>Nathan Mautz</t>
  </si>
  <si>
    <t>DMI Arturo Collection Mission-style Design Wood Chair</t>
  </si>
  <si>
    <t>Canon imageCLASS MF7460 Monochrome Digital Laser Multifunction Copier</t>
  </si>
  <si>
    <t>NETGEAR N750 Dual Band Wi-Fi Gigabit Router</t>
  </si>
  <si>
    <t>9/24/2014</t>
  </si>
  <si>
    <t>Frank Atkinson</t>
  </si>
  <si>
    <t>OIC Binder Clips</t>
  </si>
  <si>
    <t>4/23/2016</t>
  </si>
  <si>
    <t>Grace Kelly</t>
  </si>
  <si>
    <t>Logitech Wireless Headset h800</t>
  </si>
  <si>
    <t>Don Jones</t>
  </si>
  <si>
    <t>Telescoping Adjustable Floor Lamp</t>
  </si>
  <si>
    <t>8/30/2016</t>
  </si>
  <si>
    <t>Patrick O'Brill</t>
  </si>
  <si>
    <t>Aastra 57i VoIP phone</t>
  </si>
  <si>
    <t>File Shuttle II and Handi-File, Black</t>
  </si>
  <si>
    <t>Hon 2090 “Pillow Soft” Series Mid Back Swivel/Tilt Chairs</t>
  </si>
  <si>
    <t>Round Specialty Laser Printer Labels</t>
  </si>
  <si>
    <t>GBC Premium Transparent Covers with Diagonal Lined Pattern</t>
  </si>
  <si>
    <t>4/25/2016</t>
  </si>
  <si>
    <t>John Lucas</t>
  </si>
  <si>
    <t>AT&amp;T 841000 Phone</t>
  </si>
  <si>
    <t>Ibico Recycled Grain-Textured Covers</t>
  </si>
  <si>
    <t>Wilson Jones Custom Binder Spines &amp; Labels</t>
  </si>
  <si>
    <t>Doug Bickford</t>
  </si>
  <si>
    <t>Storex Dura Pro Binders</t>
  </si>
  <si>
    <t>Hewlett Packard LaserJet 3310 Copier</t>
  </si>
  <si>
    <t>Avery Non-Stick Binders</t>
  </si>
  <si>
    <t>Alyssa Crouse</t>
  </si>
  <si>
    <t>Tuff Stuff Recycled Round Ring Binders</t>
  </si>
  <si>
    <t>Hon 5100 Series Wood Tables</t>
  </si>
  <si>
    <t>6/22/2015</t>
  </si>
  <si>
    <t>6/26/2015</t>
  </si>
  <si>
    <t>OIC Binder Clips, Mini, 1/4" Capacity, Black</t>
  </si>
  <si>
    <t>4/13/2014</t>
  </si>
  <si>
    <t>Newell 314</t>
  </si>
  <si>
    <t>Square Credit Card Reader, 4 1/2" x 4 1/2" x 1", White</t>
  </si>
  <si>
    <t>12/20/2015</t>
  </si>
  <si>
    <t>6/15/2017</t>
  </si>
  <si>
    <t>6/19/2017</t>
  </si>
  <si>
    <t>Clay Cheatham</t>
  </si>
  <si>
    <t>Tamara Dahlen</t>
  </si>
  <si>
    <t>BIC Brite Liner Highlighters, Chisel Tip</t>
  </si>
  <si>
    <t>Adam Bellavance</t>
  </si>
  <si>
    <t>Xerox 1881</t>
  </si>
  <si>
    <t>Acco Hanging Data Binders</t>
  </si>
  <si>
    <t>GBC DocuBind P400 Electric Binding System</t>
  </si>
  <si>
    <t>4/13/2016</t>
  </si>
  <si>
    <t>Jeremy Lonsdale</t>
  </si>
  <si>
    <t>Sauder Barrister Bookcases</t>
  </si>
  <si>
    <t>#10 Gummed Flap White Envelopes, 100/Box</t>
  </si>
  <si>
    <t>Dixon Prang Watercolor Pencils, 10-Color Set with Brush</t>
  </si>
  <si>
    <t>Adams Phone Message Book, 200 Message Capacity, 8 1/16” x 11”</t>
  </si>
  <si>
    <t>4/28/2016</t>
  </si>
  <si>
    <t>Victoria Brennan</t>
  </si>
  <si>
    <t>Belkin 8 Outlet SurgeMaster II Gold Surge Protector with Phone Protection</t>
  </si>
  <si>
    <t>Avery Address/Shipping Labels for Typewriters, 4" x 2"</t>
  </si>
  <si>
    <t>9/25/2017</t>
  </si>
  <si>
    <t>Katrina Willman</t>
  </si>
  <si>
    <t>Global Ergonomic Managers Chair</t>
  </si>
  <si>
    <t>Newell 333</t>
  </si>
  <si>
    <t>Eldon Wave Desk Accessories</t>
  </si>
  <si>
    <t>9/29/2014</t>
  </si>
  <si>
    <t>Julia Dunbar</t>
  </si>
  <si>
    <t>10/21/2016</t>
  </si>
  <si>
    <t>Michael Kennedy</t>
  </si>
  <si>
    <t>Wilson Jones “Snap” Scratch Pad Binder Tool for Ring Binders</t>
  </si>
  <si>
    <t>Staple remover</t>
  </si>
  <si>
    <t>Pizazz Global Quick File</t>
  </si>
  <si>
    <t>5/29/2017</t>
  </si>
  <si>
    <t>Guy Thornton</t>
  </si>
  <si>
    <t>Xerox 1930</t>
  </si>
  <si>
    <t>File Shuttle I and Handi-File</t>
  </si>
  <si>
    <t>7/23/2014</t>
  </si>
  <si>
    <t>7/27/2014</t>
  </si>
  <si>
    <t>Arthur Gainer</t>
  </si>
  <si>
    <t>NETGEAR AC1750 Dual Band Gigabit Smart WiFi Router</t>
  </si>
  <si>
    <t>Newell 324</t>
  </si>
  <si>
    <t>Microsoft Natural Keyboard Elite</t>
  </si>
  <si>
    <t>9/28/2016</t>
  </si>
  <si>
    <t>Muhammed MacIntyre</t>
  </si>
  <si>
    <t>Xerox 1960</t>
  </si>
  <si>
    <t>8/27/2017</t>
  </si>
  <si>
    <t>Allen Rosenblatt</t>
  </si>
  <si>
    <t>Office Impressions End Table, 20-1/2"H x 24"W x 20"D</t>
  </si>
  <si>
    <t>4/28/2015</t>
  </si>
  <si>
    <t>Russell Applegate</t>
  </si>
  <si>
    <t>Holmes Odor Grabber</t>
  </si>
  <si>
    <t>Akro-Mils 12-Gallon Tote</t>
  </si>
  <si>
    <t>GBC Twin Loop Wire Binding Elements, 9/16" Spine, Black</t>
  </si>
  <si>
    <t>Alejandro Savely</t>
  </si>
  <si>
    <t>Southworth Structures Collection</t>
  </si>
  <si>
    <t>Square Ring Data Binders, Rigid 75 Pt. Covers, 11" x 14-7/8"</t>
  </si>
  <si>
    <t>6/29/2015</t>
  </si>
  <si>
    <t>Laura Armstrong</t>
  </si>
  <si>
    <t>Sony 32GB Class 10 Micro SDHC R40 Memory Card</t>
  </si>
  <si>
    <t>11/27/2015</t>
  </si>
  <si>
    <t>Denny Ordway</t>
  </si>
  <si>
    <t>Hon Practical Foundations 30 x 60 Training Table, Light Gray/Charcoal</t>
  </si>
  <si>
    <t>Logitech Media Keyboard K200</t>
  </si>
  <si>
    <t>Dean Katz</t>
  </si>
  <si>
    <t>Lexmark MarkNet N8150 Wireless Print Server</t>
  </si>
  <si>
    <t>3M Hangers With Command Adhesive</t>
  </si>
  <si>
    <t>Nathan Gelder</t>
  </si>
  <si>
    <t>Crayola Colored Pencils</t>
  </si>
  <si>
    <t>12/15/2017</t>
  </si>
  <si>
    <t>Mike Vittorini</t>
  </si>
  <si>
    <t>Angle-D Binders with Locking Rings, Label Holders</t>
  </si>
  <si>
    <t>9/23/2014</t>
  </si>
  <si>
    <t>Jack Garza</t>
  </si>
  <si>
    <t>Nortel Meridian M3904 Professional Digital phone</t>
  </si>
  <si>
    <t>Canon PC1080F Personal Copier</t>
  </si>
  <si>
    <t>Bart Pistole</t>
  </si>
  <si>
    <t>Wilson Jones Century Plastic Molded Ring Binders</t>
  </si>
  <si>
    <t>6/30/2017</t>
  </si>
  <si>
    <t>Victor Preis</t>
  </si>
  <si>
    <t>Tuf-Vin Binders</t>
  </si>
  <si>
    <t>Saphhira Shifley</t>
  </si>
  <si>
    <t>2300 Heavy-Duty Transfer File Systems by Perma</t>
  </si>
  <si>
    <t>Xerox 1958</t>
  </si>
  <si>
    <t>Acme 10" Easy Grip Assistive Scissors</t>
  </si>
  <si>
    <t>Anna Gayman</t>
  </si>
  <si>
    <t>Super Decoflex Portable Personal File</t>
  </si>
  <si>
    <t>Contico 72"H Heavy-Duty Storage System</t>
  </si>
  <si>
    <t>Sony 64GB Class 10 Micro SDHC R40 Memory Card</t>
  </si>
  <si>
    <t>12/24/2014</t>
  </si>
  <si>
    <t>Luke Foster</t>
  </si>
  <si>
    <t>Xerox 1974</t>
  </si>
  <si>
    <t>4/16/2014</t>
  </si>
  <si>
    <t>Avery Hi-Liter EverBold Pen Style Fluorescent Highlighters, 4/Pack</t>
  </si>
  <si>
    <t>12/24/2017</t>
  </si>
  <si>
    <t>12/29/2017</t>
  </si>
  <si>
    <t>Roy Französisch</t>
  </si>
  <si>
    <t>Staple holder</t>
  </si>
  <si>
    <t>Keith Herrera</t>
  </si>
  <si>
    <t>Sharp AL-1530CS Digital Copier</t>
  </si>
  <si>
    <t>Wirebound Message Book, 4 per Page</t>
  </si>
  <si>
    <t>Bevis Round Conference Table Top, X-Base</t>
  </si>
  <si>
    <t>Wirebound Service Call Books, 5 1/2" x 4"</t>
  </si>
  <si>
    <t>Self-Adhesive Removable Labels</t>
  </si>
  <si>
    <t>Xerox 1908</t>
  </si>
  <si>
    <t>O'Sullivan 4-Shelf Bookcase in Odessa Pine</t>
  </si>
  <si>
    <t>Novimex High-Tech Fabric Mesh Task Chair</t>
  </si>
  <si>
    <t>Kimberly Carter</t>
  </si>
  <si>
    <t>Xerox 191</t>
  </si>
  <si>
    <t>Caroline Jumper</t>
  </si>
  <si>
    <t>Bulldog Vacuum Base Pencil Sharpener</t>
  </si>
  <si>
    <t>4/14/2016</t>
  </si>
  <si>
    <t>4/18/2016</t>
  </si>
  <si>
    <t>Philip Brown</t>
  </si>
  <si>
    <t>Bevis Steel Folding Chairs</t>
  </si>
  <si>
    <t>Xerox 1987</t>
  </si>
  <si>
    <t>American Pencil</t>
  </si>
  <si>
    <t>White Envelopes, White Envelopes with Clear Poly Window</t>
  </si>
  <si>
    <t>6/22/2014</t>
  </si>
  <si>
    <t>KeyTronic 6101 Series - Keyboard - Black</t>
  </si>
  <si>
    <t>Michael Paige</t>
  </si>
  <si>
    <t>Westinghouse Mesh Shade Clip-On Gooseneck Lamp, Black</t>
  </si>
  <si>
    <t>Crate-A-Files</t>
  </si>
  <si>
    <t>8/21/2017</t>
  </si>
  <si>
    <t>Natalie Fritzler</t>
  </si>
  <si>
    <t>Hon Multipurpose Stacking Arm Chairs</t>
  </si>
  <si>
    <t>11/26/2017</t>
  </si>
  <si>
    <t>Coloredge Poster Frame</t>
  </si>
  <si>
    <t>GBC VeloBinder Manual Binding System</t>
  </si>
  <si>
    <t>Shirley Daniels</t>
  </si>
  <si>
    <t>Epson WorkForce WF-2530 All-in-One Printer, Copier Scanner</t>
  </si>
  <si>
    <t>Ken Heidel</t>
  </si>
  <si>
    <t>Design Ebony Sketching Pencil</t>
  </si>
  <si>
    <t>4/15/2016</t>
  </si>
  <si>
    <t>4/21/2016</t>
  </si>
  <si>
    <t>Ross Baird</t>
  </si>
  <si>
    <t>GBC ProClick 150 Presentation Binding System</t>
  </si>
  <si>
    <t>Woodgrain Magazine Files by Perma</t>
  </si>
  <si>
    <t>Letter Size Cart</t>
  </si>
  <si>
    <t>12/19/2014</t>
  </si>
  <si>
    <t>Mike Kennedy</t>
  </si>
  <si>
    <t>Insertable Tab Post Binder Dividers</t>
  </si>
  <si>
    <t>Belkin QODE FastFit Bluetooth Keyboard</t>
  </si>
  <si>
    <t>6/14/2016</t>
  </si>
  <si>
    <t>Philisse Overcash</t>
  </si>
  <si>
    <t>Canon Color ImageCLASS MF8580Cdw Wireless Laser All-In-One Printer, Copier, Scanner</t>
  </si>
  <si>
    <t>Brenda Bowman</t>
  </si>
  <si>
    <t>Xerox 1897</t>
  </si>
  <si>
    <t>1/20/2017</t>
  </si>
  <si>
    <t>1/23/2017</t>
  </si>
  <si>
    <t>Global Deluxe Steno Chair</t>
  </si>
  <si>
    <t>Aluminum Document Frame</t>
  </si>
  <si>
    <t>Fellowes Bankers Box Staxonsteel Drawer File/Stacking System</t>
  </si>
  <si>
    <t>Eldon Mobile Mega Data Cart  Mega Stackable  Add-On Trays</t>
  </si>
  <si>
    <t>Xerox Color Copier Paper, 11" x 17", Ream</t>
  </si>
  <si>
    <t>Office Star - Ergonomically Designed Knee Chair</t>
  </si>
  <si>
    <t>Avery 520</t>
  </si>
  <si>
    <t>3/20/2017</t>
  </si>
  <si>
    <t>Troy Blackwell</t>
  </si>
  <si>
    <t>GE General Purpose, Extra Long Life, Showcase &amp; Floodlight Incandescent Bulbs</t>
  </si>
  <si>
    <t>Raymond Buch</t>
  </si>
  <si>
    <t>Newell 345</t>
  </si>
  <si>
    <t>Fellowes Bankers Box Recycled Super Stor/Drawer</t>
  </si>
  <si>
    <t>Boston 1645 Deluxe Heavier-Duty Electric Pencil Sharpener</t>
  </si>
  <si>
    <t>50 Colored Long Pencils</t>
  </si>
  <si>
    <t>Newell 342</t>
  </si>
  <si>
    <t>Belkin Grip Candy Sheer Case / Cover for iPhone 5 and 5S</t>
  </si>
  <si>
    <t>10/20/2017</t>
  </si>
  <si>
    <t>10/24/2017</t>
  </si>
  <si>
    <t>Ed Braxton</t>
  </si>
  <si>
    <t>Deluxe Rollaway Locking File with Drawer</t>
  </si>
  <si>
    <t>Memorex Mini Travel Drive 16 GB USB 2.0 Flash Drive</t>
  </si>
  <si>
    <t>2/18/2014</t>
  </si>
  <si>
    <t>Sanjit Chand</t>
  </si>
  <si>
    <t>Global Geo Office Task Chair, Gray</t>
  </si>
  <si>
    <t>9/26/2016</t>
  </si>
  <si>
    <t>Hon 4700 Series Mobuis Mid-Back Task Chairs with Adjustable Arms</t>
  </si>
  <si>
    <t>12/22/2015</t>
  </si>
  <si>
    <t>3M Office Air Cleaner</t>
  </si>
  <si>
    <t>Logitech G700s Rechargeable Gaming Mouse</t>
  </si>
  <si>
    <t>Acco D-Ring Binder w/DublLock</t>
  </si>
  <si>
    <t>4/22/2016</t>
  </si>
  <si>
    <t>Tanja Norvell</t>
  </si>
  <si>
    <t>Bush Advantage Collection Racetrack Conference Table</t>
  </si>
  <si>
    <t>Poly Designer Cover &amp; Back</t>
  </si>
  <si>
    <t>Premier Electric Letter Opener</t>
  </si>
  <si>
    <t>Fellowes Premier Superior Surge Suppressor, 10-Outlet, With Phone and Remote</t>
  </si>
  <si>
    <t>1/17/2015</t>
  </si>
  <si>
    <t>1/24/2015</t>
  </si>
  <si>
    <t>Joni Sundaresam</t>
  </si>
  <si>
    <t>3/31/2017</t>
  </si>
  <si>
    <t>Bush Mission Pointe Library</t>
  </si>
  <si>
    <t>12/16/2016</t>
  </si>
  <si>
    <t>Cardinal Hold-It CD Pocket</t>
  </si>
  <si>
    <t>Maya Herman</t>
  </si>
  <si>
    <t>Eaton Premium Continuous-Feed Paper, 25% Cotton, Letter Size, White, 1000 Shts/Box</t>
  </si>
  <si>
    <t>Jeremy Pistek</t>
  </si>
  <si>
    <t>SAFCO Boltless Steel Shelving</t>
  </si>
  <si>
    <t>Sauder Mission Library with Doors, Fruitwood Finish</t>
  </si>
  <si>
    <t>Samsung Galaxy Note 3</t>
  </si>
  <si>
    <t>Decoflex Hanging Personal Folder File, Blue</t>
  </si>
  <si>
    <t>Recycled Desk Saver Line "While You Were Out" Book, 5 1/2" X 4"</t>
  </si>
  <si>
    <t>Xerox 1912</t>
  </si>
  <si>
    <t>7/19/2016</t>
  </si>
  <si>
    <t>Cisco SPA525G2 IP Phone - Wireless</t>
  </si>
  <si>
    <t>10/27/2016</t>
  </si>
  <si>
    <t>Jeremy Ellison</t>
  </si>
  <si>
    <t>6/26/2016</t>
  </si>
  <si>
    <t>John Grady</t>
  </si>
  <si>
    <t>Prang Colored Pencils</t>
  </si>
  <si>
    <t>Fellowes Strictly Business Drawer File, Letter/Legal Size</t>
  </si>
  <si>
    <t>Xylona Preis</t>
  </si>
  <si>
    <t>Imation USB 2.0 Swivel Flash Drive USB flash drive - 4 GB - Pink</t>
  </si>
  <si>
    <t>7/22/2014</t>
  </si>
  <si>
    <t>Erin Mull</t>
  </si>
  <si>
    <t>Logitech G602 Wireless Gaming Mouse</t>
  </si>
  <si>
    <t>6/13/2017</t>
  </si>
  <si>
    <t>Michelle Tran</t>
  </si>
  <si>
    <t>Alphabetical Labels for Top Tab Filing</t>
  </si>
  <si>
    <t>O'Sullivan Living Dimensions 2-Shelf Bookcases</t>
  </si>
  <si>
    <t>iHome FM Clock Radio with Lightning Dock</t>
  </si>
  <si>
    <t>10/29/2014</t>
  </si>
  <si>
    <t>10/31/2014</t>
  </si>
  <si>
    <t>Sue Ann Reed</t>
  </si>
  <si>
    <t>Apple iPhone 5S</t>
  </si>
  <si>
    <t>Carl Weiss</t>
  </si>
  <si>
    <t>Square Credit Card Reader</t>
  </si>
  <si>
    <t>Logitech M510 Wireless Mouse</t>
  </si>
  <si>
    <t>Astrea Jones</t>
  </si>
  <si>
    <t>Fellowes Officeware Wire Shelving</t>
  </si>
  <si>
    <t>Colored Envelopes</t>
  </si>
  <si>
    <t>5/14/2016</t>
  </si>
  <si>
    <t>Sonia Sunley</t>
  </si>
  <si>
    <t>Sony Micro Vault Click 8 GB USB 2.0 Flash Drive</t>
  </si>
  <si>
    <t>3/18/2016</t>
  </si>
  <si>
    <t>Rose O'Brian</t>
  </si>
  <si>
    <t>Balt Solid Wood Rectangular Table</t>
  </si>
  <si>
    <t>Maribeth Dona</t>
  </si>
  <si>
    <t>Strathmore #10 Envelopes, Ultimate White</t>
  </si>
  <si>
    <t>7/25/2016</t>
  </si>
  <si>
    <t>7/31/2016</t>
  </si>
  <si>
    <t>Clear Mylar Reinforcing Strips</t>
  </si>
  <si>
    <t>Howard Miller 14-1/2" Diameter Chrome Round Wall Clock</t>
  </si>
  <si>
    <t>Deflect-O Glasstique Clear Desk Accessories</t>
  </si>
  <si>
    <t>5/30/2016</t>
  </si>
  <si>
    <t>Maribeth Yedwab</t>
  </si>
  <si>
    <t>Vinyl Sectional Post Binders</t>
  </si>
  <si>
    <t>GBC Standard Therm-A-Bind Covers</t>
  </si>
  <si>
    <t>White Dual Perf Computer Printout Paper, 2700 Sheets, 1 Part, Heavyweight, 20 lbs., 14 7/8 x 11</t>
  </si>
  <si>
    <t>3/16/2015</t>
  </si>
  <si>
    <t>3/22/2015</t>
  </si>
  <si>
    <t>Christopher Martinez</t>
  </si>
  <si>
    <t>Rogers Handheld Barrel Pencil Sharpener</t>
  </si>
  <si>
    <t>Newell 344</t>
  </si>
  <si>
    <t>Personal File Boxes with Fold-Down Carry Handle</t>
  </si>
  <si>
    <t>Fellowes PB500 Electric Punch Plastic Comb Binding Machine with Manual Bind</t>
  </si>
  <si>
    <t>11/27/2017</t>
  </si>
  <si>
    <t>Lynn Smith</t>
  </si>
  <si>
    <t>Executive Impressions Supervisor Wall Clock</t>
  </si>
  <si>
    <t>10/20/2016</t>
  </si>
  <si>
    <t>Newell 327</t>
  </si>
  <si>
    <t>Newell 317</t>
  </si>
  <si>
    <t>1/22/2017</t>
  </si>
  <si>
    <t>1/27/2017</t>
  </si>
  <si>
    <t>Canon Image Class D660 Copier</t>
  </si>
  <si>
    <t>Advantus Rolling Storage Box</t>
  </si>
  <si>
    <t>Great White Multi-Use Recycled Paper (20Lb. and 84 Bright)</t>
  </si>
  <si>
    <t>3/26/2015</t>
  </si>
  <si>
    <t>Dean Braden</t>
  </si>
  <si>
    <t>Carina Double Wide Media Storage Towers in Natural &amp; Black</t>
  </si>
  <si>
    <t>Matt Connell</t>
  </si>
  <si>
    <t>5/21/2016</t>
  </si>
  <si>
    <t>Motorola HK250 Universal Bluetooth Headset</t>
  </si>
  <si>
    <t>Imation 16GB Mini TravelDrive USB 2.0 Flash Drive</t>
  </si>
  <si>
    <t>Brian Dahlen</t>
  </si>
  <si>
    <t>10/21/2017</t>
  </si>
  <si>
    <t>Global Commerce Series High-Back Swivel/Tilt Chairs</t>
  </si>
  <si>
    <t>Mike Gockenbach</t>
  </si>
  <si>
    <t>Eldon Gobal File Keepers</t>
  </si>
  <si>
    <t>Karen Bern</t>
  </si>
  <si>
    <t>Tenex Chairmats For Use With Carpeted Floors</t>
  </si>
  <si>
    <t>Rob Lucas</t>
  </si>
  <si>
    <t>Allen Armold</t>
  </si>
  <si>
    <t>Sterilite Officeware Hinged File Box</t>
  </si>
  <si>
    <t>Emily Phan</t>
  </si>
  <si>
    <t>Premier Elliptical Ring Binder, Black</t>
  </si>
  <si>
    <t>Darren Koutras</t>
  </si>
  <si>
    <t>Eureka The Boss Cordless Rechargeable Stick Vac</t>
  </si>
  <si>
    <t>Situations Contoured Folding Chairs, 4/Set</t>
  </si>
  <si>
    <t>Bradley Drucker</t>
  </si>
  <si>
    <t>7/14/2016</t>
  </si>
  <si>
    <t>LG Electronics Tone+ HBS-730 Bluetooth Headset</t>
  </si>
  <si>
    <t>Liz MacKendrick</t>
  </si>
  <si>
    <t>5/16/2014</t>
  </si>
  <si>
    <t>SanDisk Cruzer 64 GB USB Flash Drive</t>
  </si>
  <si>
    <t>Deflect-o EconoMat Studded, No Bevel Mat for Low Pile Carpeting</t>
  </si>
  <si>
    <t>Avery Printable Repositionable Plastic Tabs</t>
  </si>
  <si>
    <t>Xerox 1898</t>
  </si>
  <si>
    <t>Bill Donatelli</t>
  </si>
  <si>
    <t>HON 5400 Series Task Chairs for Big and Tall</t>
  </si>
  <si>
    <t>Howard Miller 11-1/2" Diameter Grantwood Wall Clock</t>
  </si>
  <si>
    <t>11/24/2017</t>
  </si>
  <si>
    <t>Greg Tran</t>
  </si>
  <si>
    <t>Advantus T-Pin Paper Clips</t>
  </si>
  <si>
    <t>Tennsco 16-Compartment Lockers with Coat Rack</t>
  </si>
  <si>
    <t>Ashley Jarboe</t>
  </si>
  <si>
    <t>Zebra Zazzle Fluorescent Highlighters</t>
  </si>
  <si>
    <t>Olvera Toch</t>
  </si>
  <si>
    <t>Avery 473</t>
  </si>
  <si>
    <t>Bretford “Just In Time” Height-Adjustable Multi-Task Work Tables</t>
  </si>
  <si>
    <t>Xerox 226</t>
  </si>
  <si>
    <t>11/20/2017</t>
  </si>
  <si>
    <t>Liz Pelletier</t>
  </si>
  <si>
    <t>GBC Prepunched Paper, 19-Hole, for Binding Systems, 24-lb</t>
  </si>
  <si>
    <t>Cynthia Arntzen</t>
  </si>
  <si>
    <t>Jeremy Farry</t>
  </si>
  <si>
    <t>Alliance Big Bands Rubber Bands, 12/Pack</t>
  </si>
  <si>
    <t>Frank Preis</t>
  </si>
  <si>
    <t>Cisco SPA301</t>
  </si>
  <si>
    <t>Ellis Ballard</t>
  </si>
  <si>
    <t>GBC White Gloss Covers, Plain Front</t>
  </si>
  <si>
    <t>Xerox 222</t>
  </si>
  <si>
    <t>Hon Every-Day Series Multi-Task Chairs</t>
  </si>
  <si>
    <t>Jennifer Ferguson</t>
  </si>
  <si>
    <t>Sarah Foster</t>
  </si>
  <si>
    <t>Newell 332</t>
  </si>
  <si>
    <t>9/22/2015</t>
  </si>
  <si>
    <t>Trudy Glocke</t>
  </si>
  <si>
    <t>Acme Value Line Scissors</t>
  </si>
  <si>
    <t>7/20/2017</t>
  </si>
  <si>
    <t>7/26/2017</t>
  </si>
  <si>
    <t>Carlos Soltero</t>
  </si>
  <si>
    <t>Contract Clock, 14", Brown</t>
  </si>
  <si>
    <t>Martin-Yale Premier Letter Opener</t>
  </si>
  <si>
    <t>Dianna Vittorini</t>
  </si>
  <si>
    <t>AT&amp;T SB67148 SynJ</t>
  </si>
  <si>
    <t>Recycled Pressboard Report Cover with Reinforced Top Hinge</t>
  </si>
  <si>
    <t>Bruce Degenhardt</t>
  </si>
  <si>
    <t>Dot Matrix Printer Tape Reel Labels, White, 5000/Box</t>
  </si>
  <si>
    <t>3/24/2016</t>
  </si>
  <si>
    <t>Zuschuss Carroll</t>
  </si>
  <si>
    <t>i.Sound Portable Power - 8000 mAh</t>
  </si>
  <si>
    <t>Xerox 225</t>
  </si>
  <si>
    <t>1/13/2014</t>
  </si>
  <si>
    <t>Melanie Seite</t>
  </si>
  <si>
    <t>Newell 312</t>
  </si>
  <si>
    <t>8/15/2014</t>
  </si>
  <si>
    <t>Lena Radford</t>
  </si>
  <si>
    <t>Fellowes Superior 10 Outlet Split Surge Protector</t>
  </si>
  <si>
    <t>Dana Halogen Swing-Arm Architect Lamp</t>
  </si>
  <si>
    <t>Theone Pippenger</t>
  </si>
  <si>
    <t>Chloris Kastensmidt</t>
  </si>
  <si>
    <t>Alan Shonely</t>
  </si>
  <si>
    <t>Hot File 7-Pocket, Floor Stand</t>
  </si>
  <si>
    <t>Xerox 1889</t>
  </si>
  <si>
    <t>Motorola L804</t>
  </si>
  <si>
    <t>Nona Balk</t>
  </si>
  <si>
    <t>9/13/2016</t>
  </si>
  <si>
    <t>Giulietta Dortch</t>
  </si>
  <si>
    <t>Cisco 8x8 Inc. 6753i IP Business Phone System</t>
  </si>
  <si>
    <t>11/14/2017</t>
  </si>
  <si>
    <t>11/17/2017</t>
  </si>
  <si>
    <t>Clytie Kelty</t>
  </si>
  <si>
    <t>Prestige Round Ring Binders</t>
  </si>
  <si>
    <t>8/18/2017</t>
  </si>
  <si>
    <t>DAX Metal Frame, Desktop, Stepped-Edge</t>
  </si>
  <si>
    <t>DAX Value U-Channel Document Frames, Easel Back</t>
  </si>
  <si>
    <t>Recycled Easel Ring Binders</t>
  </si>
  <si>
    <t>Grandstream GXP1160 VoIP phone</t>
  </si>
  <si>
    <t>12/31/2014</t>
  </si>
  <si>
    <t>Christina Anderson</t>
  </si>
  <si>
    <t>Cardinal Slant-D Ring Binder, Heavy Gauge Vinyl</t>
  </si>
  <si>
    <t>Sylvia Foulston</t>
  </si>
  <si>
    <t>Global Manager's Adjustable Task Chair, Storm</t>
  </si>
  <si>
    <t>Honeywell Enviracaire Portable HEPA Air Cleaner for up to 10 x 16 Room</t>
  </si>
  <si>
    <t>Mini 13-1/2 Capacity Data Binder Rack, Pearl</t>
  </si>
  <si>
    <t>Meg O'Connel</t>
  </si>
  <si>
    <t>5/19/2017</t>
  </si>
  <si>
    <t>Annie Thurman</t>
  </si>
  <si>
    <t>Belkin Premiere Surge Master II 8-outlet surge protector</t>
  </si>
  <si>
    <t>Acco Pressboard Covers with Storage Hooks, 9 1/2" x 11", Executive Red</t>
  </si>
  <si>
    <t>Fred McMath</t>
  </si>
  <si>
    <t>Imation 32GB Pocket Pro USB 3.0 Flash Drive - 32 GB - Black - 1 P ...</t>
  </si>
  <si>
    <t>Jabra SPEAK 410</t>
  </si>
  <si>
    <t>9/24/2017</t>
  </si>
  <si>
    <t>9/26/2017</t>
  </si>
  <si>
    <t>Verbatim 25 GB 6x Blu-ray Single Layer Recordable Disc, 1/Pack</t>
  </si>
  <si>
    <t>Denny Joy</t>
  </si>
  <si>
    <t>Office Star - Mesh Screen back chair with Vinyl seat</t>
  </si>
  <si>
    <t>8/15/2016</t>
  </si>
  <si>
    <t>8/21/2016</t>
  </si>
  <si>
    <t>Max Engle</t>
  </si>
  <si>
    <t>Premium Transparent Presentation Covers by GBC</t>
  </si>
  <si>
    <t>Tripp Lite TLP810NET Broadband Surge for Modem/Fax</t>
  </si>
  <si>
    <t>Wilson Jones Turn Tabs Binder Tool for Ring Binders</t>
  </si>
  <si>
    <t>12/22/2016</t>
  </si>
  <si>
    <t>Justin Deggeller</t>
  </si>
  <si>
    <t>Eldon 200 Class Desk Accessories</t>
  </si>
  <si>
    <t>7/30/2017</t>
  </si>
  <si>
    <t>John Lee</t>
  </si>
  <si>
    <t>Economy Rollaway Files</t>
  </si>
  <si>
    <t>Avery 480</t>
  </si>
  <si>
    <t>Sean Christensen</t>
  </si>
  <si>
    <t>7/21/2017</t>
  </si>
  <si>
    <t>7/25/2017</t>
  </si>
  <si>
    <t>Xerox 1993</t>
  </si>
  <si>
    <t>Chuck Clark</t>
  </si>
  <si>
    <t>Belkin F9H710-06 7 Outlet SurgeMaster Surge Protector</t>
  </si>
  <si>
    <t>Anthony Rawles</t>
  </si>
  <si>
    <t>First Data FD10 PIN Pad</t>
  </si>
  <si>
    <t>Steven Roelle</t>
  </si>
  <si>
    <t>Sony 16GB Class 10 Micro SDHC R40 Memory Card</t>
  </si>
  <si>
    <t>8/22/2016</t>
  </si>
  <si>
    <t>8/28/2016</t>
  </si>
  <si>
    <t>Tripp Lite Isotel 8 Ultra 8 Outlet Metal Surge</t>
  </si>
  <si>
    <t>Airmail Envelopes</t>
  </si>
  <si>
    <t>9/19/2016</t>
  </si>
  <si>
    <t>Eugene Hildebrand</t>
  </si>
  <si>
    <t>8/24/2015</t>
  </si>
  <si>
    <t>8/28/2015</t>
  </si>
  <si>
    <t>Space Solutions Commercial Steel Shelving</t>
  </si>
  <si>
    <t>3/26/2016</t>
  </si>
  <si>
    <t>Sibella Parks</t>
  </si>
  <si>
    <t>Tiffany House</t>
  </si>
  <si>
    <t>Acme Tagit Stainless Steel Antibacterial Scissors</t>
  </si>
  <si>
    <t>ClearOne Communications CHAT 70 OC Speaker Phone</t>
  </si>
  <si>
    <t>Resi Pölking</t>
  </si>
  <si>
    <t>12-1/2 Diameter Round Wall Clock</t>
  </si>
  <si>
    <t>Chromcraft Bull-Nose Wood Round Conference Table Top, Wood Base</t>
  </si>
  <si>
    <t>6/22/2017</t>
  </si>
  <si>
    <t>Rob Beeghly</t>
  </si>
  <si>
    <t>Kensington 6 Outlet Guardian Standard Surge Protector</t>
  </si>
  <si>
    <t>Southworth 100% Résumé Paper, 24lb.</t>
  </si>
  <si>
    <t>3/18/2017</t>
  </si>
  <si>
    <t>3/23/2017</t>
  </si>
  <si>
    <t>Hoover Portapower Portable Vacuum</t>
  </si>
  <si>
    <t>Verbatim 25 GB 6x Blu-ray Single Layer Recordable Disc, 10/Pack</t>
  </si>
  <si>
    <t>Howard Miller 13-1/2" Diameter Rosebrook Wall Clock</t>
  </si>
  <si>
    <t>Ibico Hi-Tech Manual Binding System</t>
  </si>
  <si>
    <t>11/19/2016</t>
  </si>
  <si>
    <t>Avery Hanging File Binders</t>
  </si>
  <si>
    <t>Fellowes Neat Ideas Storage Cubes</t>
  </si>
  <si>
    <t>Michael Chen</t>
  </si>
  <si>
    <t>Avery 516</t>
  </si>
  <si>
    <t>Bush Andora Bookcase, Maple/Graphite Gray Finish</t>
  </si>
  <si>
    <t>Luxo Professional Magnifying Clamp-On Fluorescent Lamps</t>
  </si>
  <si>
    <t>Recycled Eldon Regeneration Jumbo File</t>
  </si>
  <si>
    <t>Alan Barnes</t>
  </si>
  <si>
    <t>Xerox 1977</t>
  </si>
  <si>
    <t>5/14/2015</t>
  </si>
  <si>
    <t>5/17/2015</t>
  </si>
  <si>
    <t>Jesus Ocampo</t>
  </si>
  <si>
    <t>Avery 4027 File Folder Labels for Dot Matrix Printers, 5000 Labels per Box, White</t>
  </si>
  <si>
    <t>GBC Linen Binding Covers</t>
  </si>
  <si>
    <t>Tenex "The Solids" Textured Chair Mats</t>
  </si>
  <si>
    <t>4/14/2015</t>
  </si>
  <si>
    <t>Jay Kimmel</t>
  </si>
  <si>
    <t>Laminate Occasional Tables</t>
  </si>
  <si>
    <t>Brad Norvell</t>
  </si>
  <si>
    <t>Xerox 220</t>
  </si>
  <si>
    <t>Fellowes 8 Outlet Superior Workstation Surge Protector</t>
  </si>
  <si>
    <t>O'Sullivan Living Dimensions 5-Shelf Bookcases</t>
  </si>
  <si>
    <t>#10- 4 1/8" x 9 1/2" Security-Tint Envelopes</t>
  </si>
  <si>
    <t>Roland Schwarz</t>
  </si>
  <si>
    <t>Bionaire Personal Warm Mist Humidifier/Vaporizer</t>
  </si>
  <si>
    <t>Logitech Wireless Performance Mouse MX for PC and Mac</t>
  </si>
  <si>
    <t>Cardinal Holdit Business Card Pockets</t>
  </si>
  <si>
    <t>Seth Vernon</t>
  </si>
  <si>
    <t>9/29/2017</t>
  </si>
  <si>
    <t>Howard Miller 13" Diameter Pewter Finish Round Wall Clock</t>
  </si>
  <si>
    <t>Christine Kargatis</t>
  </si>
  <si>
    <t>Ross DeVincentis</t>
  </si>
  <si>
    <t>12/19/2016</t>
  </si>
  <si>
    <t>Chromcraft Bull-Nose Wood Oval Conference Tables &amp; Bases</t>
  </si>
  <si>
    <t>Recycled Data-Pak for Archival Bound Computer Printouts, 12-1/2 x 12-1/2 x 16</t>
  </si>
  <si>
    <t>10/13/2014</t>
  </si>
  <si>
    <t>Mathew Reese</t>
  </si>
  <si>
    <t>Seth Thomas 16" Steel Case Clock</t>
  </si>
  <si>
    <t>Steve Chapman</t>
  </si>
  <si>
    <t>Acme Softgrip Scissors</t>
  </si>
  <si>
    <t>Jay Fein</t>
  </si>
  <si>
    <t>ClearSounds CSC500 Amplified Spirit Phone Corded phone</t>
  </si>
  <si>
    <t>Emily Grady</t>
  </si>
  <si>
    <t>Xerox 1964</t>
  </si>
  <si>
    <t>Bevis Traditional Conference Table Top, Plinth Base</t>
  </si>
  <si>
    <t>Personal Folder Holder, Ebony</t>
  </si>
  <si>
    <t>1/21/2017</t>
  </si>
  <si>
    <t>Darrin Sayre</t>
  </si>
  <si>
    <t>O'Sullivan Cherrywood Estates Traditional Bookcase</t>
  </si>
  <si>
    <t>Acco Translucent Poly Ring Binders</t>
  </si>
  <si>
    <t>Logitech Wireless Touch Keyboard K400</t>
  </si>
  <si>
    <t>Phillina Ober</t>
  </si>
  <si>
    <t>Avery 508</t>
  </si>
  <si>
    <t>GBC Standard Plastic Binding Systems Combs</t>
  </si>
  <si>
    <t>8/27/2016</t>
  </si>
  <si>
    <t>Xerox 196</t>
  </si>
  <si>
    <t>3/22/2016</t>
  </si>
  <si>
    <t>Peter Bühler</t>
  </si>
  <si>
    <t>Belkin iPhone and iPad Lightning Cable</t>
  </si>
  <si>
    <t>GBC Durable Plastic Covers</t>
  </si>
  <si>
    <t>Avery Durable Binders</t>
  </si>
  <si>
    <t>Hewlett Packard 610 Color Digital Copier / Printer</t>
  </si>
  <si>
    <t>Chromcraft Round Conference Tables</t>
  </si>
  <si>
    <t>12/29/2014</t>
  </si>
  <si>
    <t>Debra Catini</t>
  </si>
  <si>
    <t>7/23/2017</t>
  </si>
  <si>
    <t>Christine Phan</t>
  </si>
  <si>
    <t>9/22/2017</t>
  </si>
  <si>
    <t>Barry Französisch</t>
  </si>
  <si>
    <t>8/31/2015</t>
  </si>
  <si>
    <t>Avery 476</t>
  </si>
  <si>
    <t>Chris Selesnick</t>
  </si>
  <si>
    <t>Plantronics S12 Corded Telephone Headset System</t>
  </si>
  <si>
    <t>Fellowes Stor/Drawer Steel Plus Storage Drawers</t>
  </si>
  <si>
    <t>5/20/2014</t>
  </si>
  <si>
    <t>Electrix Halogen Magnifier Lamp</t>
  </si>
  <si>
    <t>5/19/2016</t>
  </si>
  <si>
    <t>5/24/2016</t>
  </si>
  <si>
    <t>Hon 4070 Series Pagoda Round Back Stacking Chairs</t>
  </si>
  <si>
    <t>1/30/2017</t>
  </si>
  <si>
    <t>Cardinal EasyOpen D-Ring Binders</t>
  </si>
  <si>
    <t>GBC Instant Report Kit</t>
  </si>
  <si>
    <t>C-Line Magnetic Cubicle Keepers, Clear Polypropylene</t>
  </si>
  <si>
    <t>Dan Lawera</t>
  </si>
  <si>
    <t>Dixon My First Ticonderoga Pencil, #2</t>
  </si>
  <si>
    <t>8/21/2015</t>
  </si>
  <si>
    <t>Hon GuestStacker Chair</t>
  </si>
  <si>
    <t>Bryan Mills</t>
  </si>
  <si>
    <t>Safco Value Mate Series Steel Bookcases, Baked Enamel Finish on Steel, Gray</t>
  </si>
  <si>
    <t>Microsoft Natural Ergonomic Keyboard 4000</t>
  </si>
  <si>
    <t>5/23/2015</t>
  </si>
  <si>
    <t>Cameo Buff Policy Envelopes</t>
  </si>
  <si>
    <t>3/17/2017</t>
  </si>
  <si>
    <t>3/21/2017</t>
  </si>
  <si>
    <t>Heavy-Duty E-Z-D Binders</t>
  </si>
  <si>
    <t>Liz Thompson</t>
  </si>
  <si>
    <t>Acco PRESSTEX Data Binder with Storage Hooks, Dark Blue, 9 1/2" X 11"</t>
  </si>
  <si>
    <t>Office Star - Contemporary Task Swivel Chair</t>
  </si>
  <si>
    <t>Joe Kamberova</t>
  </si>
  <si>
    <t>Cisco Unified IP Phone 7945G VoIP phone</t>
  </si>
  <si>
    <t>9/26/2014</t>
  </si>
  <si>
    <t>Avery 499</t>
  </si>
  <si>
    <t>9/21/2017</t>
  </si>
  <si>
    <t>Xerox 1887</t>
  </si>
  <si>
    <t>Smead Alpha-Z Color-Coded Second Alphabetical Labels and Starter Set</t>
  </si>
  <si>
    <t>Carlos Daly</t>
  </si>
  <si>
    <t>Helen Wasserman</t>
  </si>
  <si>
    <t>Executive Impressions 14" Contract Wall Clock</t>
  </si>
  <si>
    <t>8/18/2016</t>
  </si>
  <si>
    <t>8/23/2016</t>
  </si>
  <si>
    <t>Belkin 7 Outlet SurgeMaster II</t>
  </si>
  <si>
    <t>3/17/2016</t>
  </si>
  <si>
    <t>Mike Caudle</t>
  </si>
  <si>
    <t>Xerox 218</t>
  </si>
  <si>
    <t>4/22/2017</t>
  </si>
  <si>
    <t>4/24/2017</t>
  </si>
  <si>
    <t>Gary McGarr</t>
  </si>
  <si>
    <t>Eldon Stackable Tray, Side-Load, Legal, Smoke</t>
  </si>
  <si>
    <t>Model L Table or Wall-Mount Pencil Sharpener</t>
  </si>
  <si>
    <t>ClearOne CHATAttach 160 - speaker phone</t>
  </si>
  <si>
    <t xml:space="preserve">Kensington SlimBlade Notebook Wireless Mouse with Nano Receiver </t>
  </si>
  <si>
    <t>Newell 32</t>
  </si>
  <si>
    <t>Belkin F9G930V10-GRY 9 Outlet Surge</t>
  </si>
  <si>
    <t>Pauline Johnson</t>
  </si>
  <si>
    <t>Razer Tiamat Over Ear 7.1 Surround Sound PC Gaming Headset</t>
  </si>
  <si>
    <t>3/20/2015</t>
  </si>
  <si>
    <t>3/23/2015</t>
  </si>
  <si>
    <t>Bart Watters</t>
  </si>
  <si>
    <t>9/15/2016</t>
  </si>
  <si>
    <t>Xerox 1968</t>
  </si>
  <si>
    <t>Self-Adhesive Ring Binder Labels</t>
  </si>
  <si>
    <t>Global Leather Executive Chair</t>
  </si>
  <si>
    <t>GBC Recycled Grain Textured Covers</t>
  </si>
  <si>
    <t>Xerox 1941</t>
  </si>
  <si>
    <t>6/27/2017</t>
  </si>
  <si>
    <t>Toby Ritter</t>
  </si>
  <si>
    <t>Razer Kraken PRO Over Ear PC and Music Headset</t>
  </si>
  <si>
    <t>Patrick Gardner</t>
  </si>
  <si>
    <t>Kingston Digital DataTraveler 32GB USB 2.0</t>
  </si>
  <si>
    <t>Advantus Plastic Paper Clips</t>
  </si>
  <si>
    <t>Acme Forged Steel Scissors with Black Enamel Handles</t>
  </si>
  <si>
    <t>Security-Tint Envelopes</t>
  </si>
  <si>
    <t>6/21/2017</t>
  </si>
  <si>
    <t>Global Airflow Leather Mesh Back Chair, Black</t>
  </si>
  <si>
    <t>Pyle PMP37LED</t>
  </si>
  <si>
    <t>Clarity 53712</t>
  </si>
  <si>
    <t>7/23/2016</t>
  </si>
  <si>
    <t>Boston 16801 Nautilus Battery Pencil Sharpener</t>
  </si>
  <si>
    <t>Holmes Replacement Filter for HEPA Air Cleaner, Large Room</t>
  </si>
  <si>
    <t>Zebra GX420t Direct Thermal/Thermal Transfer Printer</t>
  </si>
  <si>
    <t>GBC ProClick Punch Binding System</t>
  </si>
  <si>
    <t>James Lanier</t>
  </si>
  <si>
    <t>Adams Telephone Message Books, 5 1/4” x 11”</t>
  </si>
  <si>
    <t>11/20/2015</t>
  </si>
  <si>
    <t>Brian Moss</t>
  </si>
  <si>
    <t>Newell 335</t>
  </si>
  <si>
    <t>O'Sullivan 3-Shelf Heavy-Duty Bookcases</t>
  </si>
  <si>
    <t>Eudokia Martin</t>
  </si>
  <si>
    <t>Fellowes Binding Cases</t>
  </si>
  <si>
    <t>Ibico Plastic and Wire Spiral Binding Combs</t>
  </si>
  <si>
    <t>Art Foster</t>
  </si>
  <si>
    <t>Guy Armstrong</t>
  </si>
  <si>
    <t>Linden 10" Round Wall Clock, Black</t>
  </si>
  <si>
    <t>Cyma Kinney</t>
  </si>
  <si>
    <t>Dave Poirier</t>
  </si>
  <si>
    <t>DIXON Oriole Pencils</t>
  </si>
  <si>
    <t>Xerox 202</t>
  </si>
  <si>
    <t>5/28/2016</t>
  </si>
  <si>
    <t>2/19/2016</t>
  </si>
  <si>
    <t>Berenike Kampe</t>
  </si>
  <si>
    <t>Xerox 1884</t>
  </si>
  <si>
    <t>Acme Box Cutter Scissors</t>
  </si>
  <si>
    <t>Staple magnet</t>
  </si>
  <si>
    <t>Sanjit Jacobs</t>
  </si>
  <si>
    <t>Deluxe Chalkboard Eraser Cleaner</t>
  </si>
  <si>
    <t>Logitech MX Performance Wireless Mouse</t>
  </si>
  <si>
    <t>Logitech B530 USB Headset - headset - Full size, Binaural</t>
  </si>
  <si>
    <t>Anthony Jacobs</t>
  </si>
  <si>
    <t>9/29/2016</t>
  </si>
  <si>
    <t>Avery 483</t>
  </si>
  <si>
    <t>Large Capacity Hanging Post Binders</t>
  </si>
  <si>
    <t>GBC Ibimaster 500 Manual ProClick Binding System</t>
  </si>
  <si>
    <t>10/19/2015</t>
  </si>
  <si>
    <t>Southworth 100% Cotton The Best Paper</t>
  </si>
  <si>
    <t>12/15/2014</t>
  </si>
  <si>
    <t>Sally Matthias</t>
  </si>
  <si>
    <t>8/25/2017</t>
  </si>
  <si>
    <t>8/29/2017</t>
  </si>
  <si>
    <t>Anthony Garverick</t>
  </si>
  <si>
    <t>Acco Pressboard Covers with Storage Hooks, 14 7/8" x 11", Light Blue</t>
  </si>
  <si>
    <t>11/30/2017</t>
  </si>
  <si>
    <t>Lock-Up Easel 'Spel-Binder'</t>
  </si>
  <si>
    <t>12/23/2017</t>
  </si>
  <si>
    <t>10/24/2016</t>
  </si>
  <si>
    <t>Peter McVee</t>
  </si>
  <si>
    <t>4/29/2014</t>
  </si>
  <si>
    <t>Lauren Leatherbury</t>
  </si>
  <si>
    <t>Dax Clear Box Frame</t>
  </si>
  <si>
    <t>Jill Stevenson</t>
  </si>
  <si>
    <t>Fellowes Black Plastic Comb Bindings</t>
  </si>
  <si>
    <t>Eldon Shelf Savers Cubes and Bins</t>
  </si>
  <si>
    <t>10/14/2017</t>
  </si>
  <si>
    <t>12/16/2014</t>
  </si>
  <si>
    <t xml:space="preserve">Anker Ultrathin Bluetooth Wireless Keyboard Aluminum Cover with Stand </t>
  </si>
  <si>
    <t>Ampad Poly Cover Wirebound Steno Book, 6" x 9" Assorted Colors, Gregg Ruled</t>
  </si>
  <si>
    <t>Fluorescent Highlighters by Dixon</t>
  </si>
  <si>
    <t>Binding Machine Supplies</t>
  </si>
  <si>
    <t>9/15/2014</t>
  </si>
  <si>
    <t>Maribeth Schnelling</t>
  </si>
  <si>
    <t>10/31/2017</t>
  </si>
  <si>
    <t>George Bell</t>
  </si>
  <si>
    <t>Things To Do Today Pad</t>
  </si>
  <si>
    <t>Justin Ritter</t>
  </si>
  <si>
    <t>Wilson Jones Hanging Recycled Pressboard Data Binders</t>
  </si>
  <si>
    <t>Deluxe Heavy-Duty Vinyl Round Ring Binder</t>
  </si>
  <si>
    <t>Xerox 1923</t>
  </si>
  <si>
    <t>Xerox 1931</t>
  </si>
  <si>
    <t>Wilson Jones Legal Size Ring Binders</t>
  </si>
  <si>
    <t>Polycom CX600 IP Phone VoIP phone</t>
  </si>
  <si>
    <t>Fellowes High-Stak Drawer Files</t>
  </si>
  <si>
    <t>Sample Company A</t>
  </si>
  <si>
    <t>11/29/2017</t>
  </si>
  <si>
    <t>Lesro Sheffield Collection Coffee Table, End Table, Center Table, Corner Table</t>
  </si>
  <si>
    <t>Rob Williams</t>
  </si>
  <si>
    <t>Acco Perma 4000 Stacking Storage Drawers</t>
  </si>
  <si>
    <t>Sanjit Engle</t>
  </si>
  <si>
    <t>Maxell 4.7GB DVD-R</t>
  </si>
  <si>
    <t>OtterBox Commuter Series Case - iPhone 5 &amp; 5s</t>
  </si>
  <si>
    <t>Kensington 4 Outlet MasterPiece Compact Power Control Center</t>
  </si>
  <si>
    <t>9/20/2016</t>
  </si>
  <si>
    <t>Adam Hart</t>
  </si>
  <si>
    <t>Hypercom P1300 Pinpad</t>
  </si>
  <si>
    <t>Sanford Prismacolor Professional Thick Lead Art Pencils, 36-Color Set</t>
  </si>
  <si>
    <t>RSVP Cards &amp; Envelopes, Blank White, 8-1/2" X 11", 24 Cards/25 Envelopes/Set</t>
  </si>
  <si>
    <t>6/24/2016</t>
  </si>
  <si>
    <t>Catherine Glotzbach</t>
  </si>
  <si>
    <t>JM Magazine Binder</t>
  </si>
  <si>
    <t>12/17/2015</t>
  </si>
  <si>
    <t>Rachel Payne</t>
  </si>
  <si>
    <t>Xerox 213</t>
  </si>
  <si>
    <t>Fellowes 8 Outlet Superior Workstation Surge Protector w/o Phone/Fax/Modem Protection</t>
  </si>
  <si>
    <t>Karen Carlisle</t>
  </si>
  <si>
    <t>Acco Pressboard Covers with Storage Hooks, 14 7/8" x 11", Dark Blue</t>
  </si>
  <si>
    <t>5/29/2015</t>
  </si>
  <si>
    <t>Standard Rollaway File with Lock</t>
  </si>
  <si>
    <t>Avery Trapezoid Extra Heavy Duty 4" Binders</t>
  </si>
  <si>
    <t>7/26/2015</t>
  </si>
  <si>
    <t>Bevis Boat-Shaped Conference Table</t>
  </si>
  <si>
    <t>Deflect-o RollaMat Studded, Beveled Mat for Medium Pile Carpeting</t>
  </si>
  <si>
    <t>Riverside Furniture Oval Coffee Table, Oval End Table, End Table with Drawer</t>
  </si>
  <si>
    <t>Katherine Hughes</t>
  </si>
  <si>
    <t>Scott Williamson</t>
  </si>
  <si>
    <t>5/18/2017</t>
  </si>
  <si>
    <t>Joseph Airdo</t>
  </si>
  <si>
    <t>Avery Durable Slant Ring Binders</t>
  </si>
  <si>
    <t>Daniel Lacy</t>
  </si>
  <si>
    <t>Luxo Professional Combination Clamp-On Lamps</t>
  </si>
  <si>
    <t>Thomas Brumley</t>
  </si>
  <si>
    <t>Zipper Ring Binder Pockets</t>
  </si>
  <si>
    <t>9/22/2014</t>
  </si>
  <si>
    <t>Avery File Folder Labels</t>
  </si>
  <si>
    <t>Xerox 212</t>
  </si>
  <si>
    <t>DAX Black Cherry Wood-Tone Poster Frame</t>
  </si>
  <si>
    <t>7/15/2017</t>
  </si>
  <si>
    <t>Wilson Jones Easy Flow II Sheet Lifters</t>
  </si>
  <si>
    <t>5/31/2016</t>
  </si>
  <si>
    <t>Xerox 188</t>
  </si>
  <si>
    <t>11/14/2014</t>
  </si>
  <si>
    <t>Tracy Zic</t>
  </si>
  <si>
    <t>BIC Brite Liner Grip Highlighters, Assorted, 5/Pack</t>
  </si>
  <si>
    <t>Samsung Galaxy S III - 16GB - pebble blue (T-Mobile)</t>
  </si>
  <si>
    <t>Ann Steele</t>
  </si>
  <si>
    <t>#10- 4 1/8" x 9 1/2" Recycled Envelopes</t>
  </si>
  <si>
    <t>Toby Swindell</t>
  </si>
  <si>
    <t>Acco Suede Grain Vinyl Round Ring Binder</t>
  </si>
  <si>
    <t>5/26/2017</t>
  </si>
  <si>
    <t>Bulldog Table or Wall-Mount Pencil Sharpener</t>
  </si>
  <si>
    <t>Sara Luxemburg</t>
  </si>
  <si>
    <t>8/26/2016</t>
  </si>
  <si>
    <t>Xerox 1979</t>
  </si>
  <si>
    <t>5/21/2014</t>
  </si>
  <si>
    <t>5/25/2014</t>
  </si>
  <si>
    <t>Fellowes PB300 Plastic Comb Binding Machine</t>
  </si>
  <si>
    <t>Plantronics Voyager Pro Legend</t>
  </si>
  <si>
    <t>Rob Dowd</t>
  </si>
  <si>
    <t>Laser &amp; Ink Jet Business Envelopes</t>
  </si>
  <si>
    <t>Portable Personal File Box</t>
  </si>
  <si>
    <t>Magna Visual Magnetic Picture Hangers</t>
  </si>
  <si>
    <t>11/13/2016</t>
  </si>
  <si>
    <t>11/17/2016</t>
  </si>
  <si>
    <t>Plantronics CS510 - Over-the-Head monaural Wireless Headset System</t>
  </si>
  <si>
    <t>8/27/2015</t>
  </si>
  <si>
    <t>Ryan Akin</t>
  </si>
  <si>
    <t>Fellowes Super Stor/Drawer Files</t>
  </si>
  <si>
    <t>Meg Tillman</t>
  </si>
  <si>
    <t>UniKeep View Case Binders</t>
  </si>
  <si>
    <t>12/26/2017</t>
  </si>
  <si>
    <t>Vivek Gonzalez</t>
  </si>
  <si>
    <t>Eldon Delta Triangular Chair Mat, 52" x 58", Clear</t>
  </si>
  <si>
    <t>Project Tote Personal File</t>
  </si>
  <si>
    <t>12/21/2015</t>
  </si>
  <si>
    <t>John Stevenson</t>
  </si>
  <si>
    <t>Enermax Acrylux Wireless Keyboard</t>
  </si>
  <si>
    <t>9/19/2015</t>
  </si>
  <si>
    <t>Kalyca Meade</t>
  </si>
  <si>
    <t>G.E. Halogen Desk Lamp Bulbs</t>
  </si>
  <si>
    <t>OtterBox Commuter Series Case - Samsung Galaxy S4</t>
  </si>
  <si>
    <t xml:space="preserve">Iceberg Mobile Mega Data/Printer Cart </t>
  </si>
  <si>
    <t>Staples in misc. colors</t>
  </si>
  <si>
    <t>Global Comet Stacking Arm Chair</t>
  </si>
  <si>
    <t>6/16/2015</t>
  </si>
  <si>
    <t>6/20/2015</t>
  </si>
  <si>
    <t>Peel &amp; Seel Envelopes</t>
  </si>
  <si>
    <t>Hallie Redmond</t>
  </si>
  <si>
    <t>GBC Plastic Binding Combs</t>
  </si>
  <si>
    <t>Xerox 2</t>
  </si>
  <si>
    <t>Xerox 1935</t>
  </si>
  <si>
    <t>Cyber Acoustics AC-202b Speech Recognition Stereo Headset</t>
  </si>
  <si>
    <t>Cisco SPA508G</t>
  </si>
  <si>
    <t>Avery 514</t>
  </si>
  <si>
    <t>11/22/2016</t>
  </si>
  <si>
    <t>Allen Goldenen</t>
  </si>
  <si>
    <t>Southworth 25% Cotton Granite Paper &amp; Envelopes</t>
  </si>
  <si>
    <t>6/13/2015</t>
  </si>
  <si>
    <t>Jennifer Jackson</t>
  </si>
  <si>
    <t>Aluminum Screw Posts</t>
  </si>
  <si>
    <t>11/21/2017</t>
  </si>
  <si>
    <t>Jennifer Halladay</t>
  </si>
  <si>
    <t>Newell 336</t>
  </si>
  <si>
    <t>Robert Dilbeck</t>
  </si>
  <si>
    <t>Maxell 4.7GB DVD+RW 3/Pack</t>
  </si>
  <si>
    <t>Atlantic Metals Mobile 5-Shelf Bookcases, Custom Colors</t>
  </si>
  <si>
    <t>Noel Staavos</t>
  </si>
  <si>
    <t>Belkin F9S820V06 8 Outlet Surge</t>
  </si>
  <si>
    <t>10/16/2017</t>
  </si>
  <si>
    <t>Global Stack Chair without Arms, Black</t>
  </si>
  <si>
    <t>Deirdre Greer</t>
  </si>
  <si>
    <t>Eldon Antistatic Chair Mats for Low to Medium Pile Carpets</t>
  </si>
  <si>
    <t>Nicole Fjeld</t>
  </si>
  <si>
    <t>DIXON Ticonderoga Erasable Checking Pencils</t>
  </si>
  <si>
    <t>Avery Round Ring Poly Binders</t>
  </si>
  <si>
    <t>Avery Hole Reinforcements</t>
  </si>
  <si>
    <t>Wilson Jones Ledger-Size, Piano-Hinge Binder, 2", Blue</t>
  </si>
  <si>
    <t>Matthew Grinstein</t>
  </si>
  <si>
    <t>4/16/2015</t>
  </si>
  <si>
    <t>Super Bands, 12/Pack</t>
  </si>
  <si>
    <t>Assorted Color Push Pins</t>
  </si>
  <si>
    <t>GBC Velobind Prepunched Cover Sets, Regency Series</t>
  </si>
  <si>
    <t>Brian DeCherney</t>
  </si>
  <si>
    <t>9/28/2017</t>
  </si>
  <si>
    <t>9/30/2017</t>
  </si>
  <si>
    <t>Charles McCrossin</t>
  </si>
  <si>
    <t>Skye Norling</t>
  </si>
  <si>
    <t>Erica Hernandez</t>
  </si>
  <si>
    <t>Frank Olsen</t>
  </si>
  <si>
    <t>3M Organizer Strips</t>
  </si>
  <si>
    <t>Maurice Satty</t>
  </si>
  <si>
    <t>Avery Durable Slant Ring Binders With Label Holder</t>
  </si>
  <si>
    <t>Micropad Numeric Keypads</t>
  </si>
  <si>
    <t>Chad Cunningham</t>
  </si>
  <si>
    <t>Don Weiss</t>
  </si>
  <si>
    <t>Belkin 8 Outlet SurgeMaster II Gold Surge Protector</t>
  </si>
  <si>
    <t>Bill Tyler</t>
  </si>
  <si>
    <t>Global High-Back Leather Tilter, Burgundy</t>
  </si>
  <si>
    <t>Craig Yedwab</t>
  </si>
  <si>
    <t>Avery 488</t>
  </si>
  <si>
    <t>Innergie mMini Combo Duo USB Travel Charging Kit</t>
  </si>
  <si>
    <t>Stanley Contemporary Battery Pencil Sharpeners</t>
  </si>
  <si>
    <t>AT&amp;T 1080 Corded phone</t>
  </si>
  <si>
    <t>Brad Thomas</t>
  </si>
  <si>
    <t>Xerox 1950</t>
  </si>
  <si>
    <t>1/26/2017</t>
  </si>
  <si>
    <t>Fellowes Mobile File Cart, Black</t>
  </si>
  <si>
    <t>GBC Recycled VeloBinder Covers</t>
  </si>
  <si>
    <t>Hon 4060 Series Tables</t>
  </si>
  <si>
    <t>Paul Van Hugh</t>
  </si>
  <si>
    <t>Newell 326</t>
  </si>
  <si>
    <t>Logitech ClearChat Comfort/USB Headset H390</t>
  </si>
  <si>
    <t>Newell 346</t>
  </si>
  <si>
    <t>4/27/2017</t>
  </si>
  <si>
    <t>Neoma Murray</t>
  </si>
  <si>
    <t>GBC Standard Recycled Report Covers, Clear Plastic Sheets</t>
  </si>
  <si>
    <t>invisibleSHIELD by ZAGG Smudge-Free Screen Protector</t>
  </si>
  <si>
    <t>Xerox 1905</t>
  </si>
  <si>
    <t>12/18/2017</t>
  </si>
  <si>
    <t>7/24/2016</t>
  </si>
  <si>
    <t>Christine Sundaresam</t>
  </si>
  <si>
    <t>Ampad Evidence Wirebond Steno Books, 6" x 9"</t>
  </si>
  <si>
    <t>1/26/2014</t>
  </si>
  <si>
    <t>Apple iPhone 5C</t>
  </si>
  <si>
    <t>Newell 351</t>
  </si>
  <si>
    <t>KI Adjustable-Height Table</t>
  </si>
  <si>
    <t>Xerox 1945</t>
  </si>
  <si>
    <t>Avery 502</t>
  </si>
  <si>
    <t>Steel Personal Filing/Posting Tote</t>
  </si>
  <si>
    <t>11/15/2016</t>
  </si>
  <si>
    <t>Frank Hawley</t>
  </si>
  <si>
    <t>Cardinal Slant-D Ring Binders</t>
  </si>
  <si>
    <t>Stockwell Push Pins</t>
  </si>
  <si>
    <t>Star Micronics TSP800 TSP847IIU Receipt Printer</t>
  </si>
  <si>
    <t>Nat Carroll</t>
  </si>
  <si>
    <t>Hoover Shoulder Vac Commercial Portable Vacuum</t>
  </si>
  <si>
    <t>Acco Expandable Hanging Binders</t>
  </si>
  <si>
    <t>Shocksock Galaxy S4 Armband</t>
  </si>
  <si>
    <t>Brother DCP1000 Digital 3 in 1 Multifunction Machine</t>
  </si>
  <si>
    <t>Eldon Regeneration Recycled Desk Accessories, Smoke</t>
  </si>
  <si>
    <t>Crayola Anti Dust Chalk, 12/Pack</t>
  </si>
  <si>
    <t>12/20/2014</t>
  </si>
  <si>
    <t>12/21/2014</t>
  </si>
  <si>
    <t>SAFCO Commercial Wire Shelving, 72h</t>
  </si>
  <si>
    <t>Chromcraft 48" x 96" Racetrack Double Pedestal Table</t>
  </si>
  <si>
    <t>Hon Deluxe Fabric Upholstered Stacking Chairs</t>
  </si>
  <si>
    <t>Alex Avila</t>
  </si>
  <si>
    <t>Larry Tron</t>
  </si>
  <si>
    <t>Anne Pryor</t>
  </si>
  <si>
    <t>PowerGen Dual USB Car Charger</t>
  </si>
  <si>
    <t>Cardinal HOLDit! Binder Insert Strips,Extra Strips</t>
  </si>
  <si>
    <t>Paul MacIntyre</t>
  </si>
  <si>
    <t>Xerox 1996</t>
  </si>
  <si>
    <t>Iris Project Case</t>
  </si>
  <si>
    <t>3/14/2014</t>
  </si>
  <si>
    <t>4/21/2014</t>
  </si>
  <si>
    <t>10/22/2015</t>
  </si>
  <si>
    <t>10/26/2015</t>
  </si>
  <si>
    <t>12/27/2014</t>
  </si>
  <si>
    <t>Alyssa Tate</t>
  </si>
  <si>
    <t>Harbour Creations Steel Folding Chair</t>
  </si>
  <si>
    <t>Cathy Armstrong</t>
  </si>
  <si>
    <t>Wireless Extenders zBoost YX545 SOHO Signal Booster</t>
  </si>
  <si>
    <t>OIC #2 Pencils, Medium Soft</t>
  </si>
  <si>
    <t>1/14/2017</t>
  </si>
  <si>
    <t>11/30/2014</t>
  </si>
  <si>
    <t>Harold Ryan</t>
  </si>
  <si>
    <t>Peel &amp; Stick Add-On Corner Pockets</t>
  </si>
  <si>
    <t>Carina 42"Hx23 3/4"W Media Storage Unit</t>
  </si>
  <si>
    <t>2/26/2017</t>
  </si>
  <si>
    <t>2/28/2017</t>
  </si>
  <si>
    <t>Bradley Talbott</t>
  </si>
  <si>
    <t>Toshiba IPT2010-SD IP Telephone</t>
  </si>
  <si>
    <t>GuestStacker Chair with Chrome Finish Legs</t>
  </si>
  <si>
    <t>9/15/2015</t>
  </si>
  <si>
    <t>Ultra Door Push Plate</t>
  </si>
  <si>
    <t>Kensington Orbit Wireless Mobile Trackball for PC and Mac</t>
  </si>
  <si>
    <t>Global Chrome Stack Chair</t>
  </si>
  <si>
    <t>7/18/2016</t>
  </si>
  <si>
    <t>Sauder Facets Collection Locker/File Cabinet, Sky Alder Finish</t>
  </si>
  <si>
    <t>Steven Ward</t>
  </si>
  <si>
    <t>Newell 315</t>
  </si>
  <si>
    <t>Pressboard Data Binders by Wilson Jones</t>
  </si>
  <si>
    <t>9/13/2017</t>
  </si>
  <si>
    <t>Stefania Perrino</t>
  </si>
  <si>
    <t>Wilson Jones Standard D-Ring Binders</t>
  </si>
  <si>
    <t>Ben Ferrer</t>
  </si>
  <si>
    <t>Carina Media Storage Towers in Natural &amp; Black</t>
  </si>
  <si>
    <t>SANFORD Liquid Accent Tank-Style Highlighters</t>
  </si>
  <si>
    <t>Kean Thornton</t>
  </si>
  <si>
    <t>Blue String-Tie &amp; Button Interoffice Envelopes, 10 x 13</t>
  </si>
  <si>
    <t>Brooke Gillingham</t>
  </si>
  <si>
    <t>Canon Imageclass D680 Copier / Fax</t>
  </si>
  <si>
    <t>24-Hour Round Wall Clock</t>
  </si>
  <si>
    <t>Eldon Radial Chair Mat for Low to Medium Pile Carpets</t>
  </si>
  <si>
    <t>Greg Matthias</t>
  </si>
  <si>
    <t>Eldon Image Series Desk Accessories, Ebony</t>
  </si>
  <si>
    <t>Sanford 52201 APSCO Electric Pencil Sharpener</t>
  </si>
  <si>
    <t>Samsung Replacement EH64AVFWE Premium Headset</t>
  </si>
  <si>
    <t>GBC DocuBind P100 Manual Binding Machine</t>
  </si>
  <si>
    <t>Eva Jacobs</t>
  </si>
  <si>
    <t>12/14/2014</t>
  </si>
  <si>
    <t>Nora Preis</t>
  </si>
  <si>
    <t>Hon Non-Folding Utility Tables</t>
  </si>
  <si>
    <t>Bestar Classic Bookcase</t>
  </si>
  <si>
    <t>Sanford Pocket Accent Highlighters</t>
  </si>
  <si>
    <t>Mitel MiVoice 5330e IP Phone</t>
  </si>
  <si>
    <t>3/14/2017</t>
  </si>
  <si>
    <t>Mick Hernandez</t>
  </si>
  <si>
    <t>Westinghouse Clip-On Gooseneck Lamps</t>
  </si>
  <si>
    <t>Howard Miller Distant Time Traveler Alarm Clock</t>
  </si>
  <si>
    <t>12/24/2016</t>
  </si>
  <si>
    <t>Tennsco Double-Tier Lockers</t>
  </si>
  <si>
    <t>10/27/2017</t>
  </si>
  <si>
    <t>Wilson SignalBoost 841262 DB PRO Amplifier Kit</t>
  </si>
  <si>
    <t>Suzanne McNair</t>
  </si>
  <si>
    <t>XtraLife ClearVue Slant-D Ring Binder, White, 3"</t>
  </si>
  <si>
    <t>Chris Cortes</t>
  </si>
  <si>
    <t>Phillip Flathmann</t>
  </si>
  <si>
    <t>Pencil and Crayon Sharpener</t>
  </si>
  <si>
    <t>Dan Campbell</t>
  </si>
  <si>
    <t>Ampad Phone Message Book, Recycled, 400 Message Capacity, 5 ¾” x 11”</t>
  </si>
  <si>
    <t>Fellowes Bankers Box Stor/Drawer Steel Plus</t>
  </si>
  <si>
    <t>Performers Binder/Pad Holder, Black</t>
  </si>
  <si>
    <t>5/26/2016</t>
  </si>
  <si>
    <t>Office Star Flex Back Scooter Chair with White Frame</t>
  </si>
  <si>
    <t>Bryan Davis</t>
  </si>
  <si>
    <t>Panasonic KP-380BK Classic Electric Pencil Sharpener</t>
  </si>
  <si>
    <t>Memorex Froggy Flash Drive 4 GB</t>
  </si>
  <si>
    <t>Maxell 74 Minute CD-R Spindle, 50/Pack</t>
  </si>
  <si>
    <t>Geemarc AmpliPOWER60</t>
  </si>
  <si>
    <t>Avery Arch Ring Binders</t>
  </si>
  <si>
    <t>Xerox 1915</t>
  </si>
  <si>
    <t>Avery Reinforcements for Hole-Punch Pages</t>
  </si>
  <si>
    <t>Gene McClure</t>
  </si>
  <si>
    <t>Colorific Watercolor Pencils</t>
  </si>
  <si>
    <t>11/26/2016</t>
  </si>
  <si>
    <t>BIC Liqua Brite Liner</t>
  </si>
  <si>
    <t>ACCOHIDE 3-Ring Binder, Blue, 1"</t>
  </si>
  <si>
    <t>5/25/2015</t>
  </si>
  <si>
    <t>Justin Hirsh</t>
  </si>
  <si>
    <t>Erica Bern</t>
  </si>
  <si>
    <t>GBC Binding covers</t>
  </si>
  <si>
    <t>Quincy Jones</t>
  </si>
  <si>
    <t>12/23/2016</t>
  </si>
  <si>
    <t>12/25/2016</t>
  </si>
  <si>
    <t>9/24/2015</t>
  </si>
  <si>
    <t>Tracy Collins</t>
  </si>
  <si>
    <t>Blue Parrot B250XT Professional Grade Wireless Bluetooth Headset with</t>
  </si>
  <si>
    <t>6/21/2016</t>
  </si>
  <si>
    <t>Belkin 6 Outlet Metallic Surge Strip</t>
  </si>
  <si>
    <t>Avery 517</t>
  </si>
  <si>
    <t>Avery 477</t>
  </si>
  <si>
    <t>Henry Goldwyn</t>
  </si>
  <si>
    <t>Eureka Recycled Copy Paper 8 1/2" x 11", Ream</t>
  </si>
  <si>
    <t>Memorex Froggy Flash Drive 8 GB</t>
  </si>
  <si>
    <t>Laurel Workman</t>
  </si>
  <si>
    <t>Liz Preis</t>
  </si>
  <si>
    <t>Acco 6 Outlet Guardian Premium Surge Suppressor</t>
  </si>
  <si>
    <t>Evan Bailliet</t>
  </si>
  <si>
    <t>Avoid Verbal Orders Carbonless Minifold Book</t>
  </si>
  <si>
    <t>9/28/2014</t>
  </si>
  <si>
    <t>George Zrebassa</t>
  </si>
  <si>
    <t>5/30/2014</t>
  </si>
  <si>
    <t>Fellowes Presentation Covers for Comb Binding Machines</t>
  </si>
  <si>
    <t>6/18/2015</t>
  </si>
  <si>
    <t>Cathy Prescott</t>
  </si>
  <si>
    <t>10/15/2017</t>
  </si>
  <si>
    <t>Frank Gastineau</t>
  </si>
  <si>
    <t>Panasonic KP-310 Heavy-Duty Electric Pencil Sharpener</t>
  </si>
  <si>
    <t>5/27/2016</t>
  </si>
  <si>
    <t>Lisa DeCherney</t>
  </si>
  <si>
    <t>Alejandro Ballentine</t>
  </si>
  <si>
    <t>Michael Nguyen</t>
  </si>
  <si>
    <t>5/16/2016</t>
  </si>
  <si>
    <t>SAFCO Commercial Wire Shelving, Black</t>
  </si>
  <si>
    <t>Jamie Frazer</t>
  </si>
  <si>
    <t>Chad McGuire</t>
  </si>
  <si>
    <t>Tensor Computer Mounted Lamp</t>
  </si>
  <si>
    <t>Rediform S.O.S. 1-Up Phone Message Bk, 4-1/4x3-1/16 Bk, 1 Form/Pg, 40 Messages/Bk, 3/Pk</t>
  </si>
  <si>
    <t>Aaron Smayling</t>
  </si>
  <si>
    <t>Boston 16701 Slimline Battery Pencil Sharpener</t>
  </si>
  <si>
    <t>3/17/2014</t>
  </si>
  <si>
    <t>3/24/2014</t>
  </si>
  <si>
    <t>Newell 35</t>
  </si>
  <si>
    <t>Wilson Jones 14 Line Acrylic Coated Pressboard Data Binders</t>
  </si>
  <si>
    <t>Beth Paige</t>
  </si>
  <si>
    <t>Natalie DeCherney</t>
  </si>
  <si>
    <t>Xerox 1909</t>
  </si>
  <si>
    <t>Larry Blacks</t>
  </si>
  <si>
    <t>Leather Task Chair, Black</t>
  </si>
  <si>
    <t>Harry Marie</t>
  </si>
  <si>
    <t>It's Hot Message Books with Stickers, 2 3/4" x 5"</t>
  </si>
  <si>
    <t>Digium D40 VoIP phone</t>
  </si>
  <si>
    <t>Ann Blume</t>
  </si>
  <si>
    <t>Case Logic 2.4GHz Wireless Keyboard</t>
  </si>
  <si>
    <t>Sam Zeldin</t>
  </si>
  <si>
    <t>Michael Granlund</t>
  </si>
  <si>
    <t>Pressboard Data Binder, Crimson, 12" X 8 1/2"</t>
  </si>
  <si>
    <t>Lesro Round Back Collection Coffee Table, End Table</t>
  </si>
  <si>
    <t>Xerox 1934</t>
  </si>
  <si>
    <t>Newell 329</t>
  </si>
  <si>
    <t>Panasonic KX T7731-B Digital phone</t>
  </si>
  <si>
    <t>Safco Wire Cube Shelving System, For Use as 4 or 5 14" Cubes, Black</t>
  </si>
  <si>
    <t>Julie Kriz</t>
  </si>
  <si>
    <t>Paul Prost</t>
  </si>
  <si>
    <t>Revere Boxed Rubber Bands by Revere</t>
  </si>
  <si>
    <t>Eldon 200 Class Desk Accessories, Black</t>
  </si>
  <si>
    <t>Yana Sorensen</t>
  </si>
  <si>
    <t>Bevis Oval Conference Table, Walnut</t>
  </si>
  <si>
    <t>Hon 61000 Series Interactive Training Tables</t>
  </si>
  <si>
    <t>Acco PRESSTEX Data Binder with Storage Hooks, Light Blue, 9 1/2" X 11"</t>
  </si>
  <si>
    <t>Xerox 217</t>
  </si>
  <si>
    <t>Katherine Murray</t>
  </si>
  <si>
    <t>Bush Andora Conference Table, Maple/Graphite Gray Finish</t>
  </si>
  <si>
    <t>Xerox 189</t>
  </si>
  <si>
    <t>Panasonic KP-150 Electric Pencil Sharpener</t>
  </si>
  <si>
    <t>9/25/2016</t>
  </si>
  <si>
    <t>Adrian Barton</t>
  </si>
  <si>
    <t>6/30/2014</t>
  </si>
  <si>
    <t>Helen Abelman</t>
  </si>
  <si>
    <t>GBC Recycled Regency Composition Covers</t>
  </si>
  <si>
    <t>DAX Executive Solid Wood Document Frame, Desktop or Hang, Mahogany, 5 x 7</t>
  </si>
  <si>
    <t>Stuart Van</t>
  </si>
  <si>
    <t>Rick Wilson</t>
  </si>
  <si>
    <t>Samsung Rugby III</t>
  </si>
  <si>
    <t>Damala Kotsonis</t>
  </si>
  <si>
    <t>Acco Four Pocket Poly Ring Binder with Label Holder, Smoke, 1"</t>
  </si>
  <si>
    <t>12/30/2016</t>
  </si>
  <si>
    <t>Strathmore Photo Mount Cards</t>
  </si>
  <si>
    <t>Shui Tom</t>
  </si>
  <si>
    <t>Xerox 203</t>
  </si>
  <si>
    <t>Xerox 1948</t>
  </si>
  <si>
    <t>Michael Moore</t>
  </si>
  <si>
    <t>Pauline Webber</t>
  </si>
  <si>
    <t>Shaun Chance</t>
  </si>
  <si>
    <t>Global Super Steno Chair</t>
  </si>
  <si>
    <t>OtterBox Defender Series Case - Samsung Galaxy S4</t>
  </si>
  <si>
    <t>4/23/2014</t>
  </si>
  <si>
    <t>OtterBox Defender Series Case - iPhone 5c</t>
  </si>
  <si>
    <t>11/29/2016</t>
  </si>
  <si>
    <t>Mark Cousins</t>
  </si>
  <si>
    <t>Surelock Post Binders</t>
  </si>
  <si>
    <t>Maria Etezadi</t>
  </si>
  <si>
    <t>Ibico Plastic Spiral Binding Combs</t>
  </si>
  <si>
    <t>Iceberg OfficeWorks 42" Round Tables</t>
  </si>
  <si>
    <t>8/17/2015</t>
  </si>
  <si>
    <t>Nicole Hansen</t>
  </si>
  <si>
    <t>DAX Wood Document Frame</t>
  </si>
  <si>
    <t>Wilson Jones Heavy-Duty Casebound Ring Binders with Metal Hinges</t>
  </si>
  <si>
    <t>3/15/2016</t>
  </si>
  <si>
    <t>Mick Brown</t>
  </si>
  <si>
    <t>Keith Dawkins</t>
  </si>
  <si>
    <t>Global Executive Mid-Back Manager's Chair</t>
  </si>
  <si>
    <t>9/27/2015</t>
  </si>
  <si>
    <t>Newell 320</t>
  </si>
  <si>
    <t>Katherine Nockton</t>
  </si>
  <si>
    <t>Eldon Image Series Desk Accessories, Burgundy</t>
  </si>
  <si>
    <t>11/25/2016</t>
  </si>
  <si>
    <t>Nora Pelletier</t>
  </si>
  <si>
    <t>Newell 340</t>
  </si>
  <si>
    <t>3/19/2017</t>
  </si>
  <si>
    <t>3/24/2017</t>
  </si>
  <si>
    <t>Avery 506</t>
  </si>
  <si>
    <t>Cindy Stewart</t>
  </si>
  <si>
    <t>Xerox 192</t>
  </si>
  <si>
    <t>HP Office Recycled Paper (20Lb. and 87 Bright)</t>
  </si>
  <si>
    <t>X-Rack File for Hanging Folders</t>
  </si>
  <si>
    <t>Xerox 199</t>
  </si>
  <si>
    <t>10/14/2016</t>
  </si>
  <si>
    <t>WD My Passport Ultra 500GB Portable External Hard Drive</t>
  </si>
  <si>
    <t>11/27/2014</t>
  </si>
  <si>
    <t>Maxwell Schwartz</t>
  </si>
  <si>
    <t>Corinna Mitchell</t>
  </si>
  <si>
    <t>Cisco IP Phone 7961G-GE VoIP phone</t>
  </si>
  <si>
    <t>Logitech Trackman Marble Mouse</t>
  </si>
  <si>
    <t>11/29/2014</t>
  </si>
  <si>
    <t>Corey-Lock</t>
  </si>
  <si>
    <t>4/30/2017</t>
  </si>
  <si>
    <t>Adams Telephone Message Book W/Dividers/Space For Phone Numbers, 5 1/4"X8 1/2", 300/Messages</t>
  </si>
  <si>
    <t>Jane Waco</t>
  </si>
  <si>
    <t>John Dryer</t>
  </si>
  <si>
    <t>Acco Perma 3000 Stacking Storage Drawers</t>
  </si>
  <si>
    <t>10/17/2016</t>
  </si>
  <si>
    <t>11/18/2017</t>
  </si>
  <si>
    <t>Xerox 197</t>
  </si>
  <si>
    <t>iKross Bluetooth Portable Keyboard + Cell Phone Stand Holder + Brush for Apple iPhone 5S 5C 5, 4S 4</t>
  </si>
  <si>
    <t>Hon 2111 Invitation Series Corner Table</t>
  </si>
  <si>
    <t>Andy Reiter</t>
  </si>
  <si>
    <t>Ibico Covers for Plastic or Wire Binding Elements</t>
  </si>
  <si>
    <t>Arianne Irving</t>
  </si>
  <si>
    <t>Tom Boeckenhauer</t>
  </si>
  <si>
    <t>4/16/2017</t>
  </si>
  <si>
    <t>Newell 325</t>
  </si>
  <si>
    <t>Gary Hwang</t>
  </si>
  <si>
    <t>Xerox 1970</t>
  </si>
  <si>
    <t>Master Caster Door Stop, Large Neon Orange</t>
  </si>
  <si>
    <t>Xerox 1988</t>
  </si>
  <si>
    <t>8/31/2017</t>
  </si>
  <si>
    <t>Neat Ideas Personal Hanging Folder Files, Black</t>
  </si>
  <si>
    <t>Mike Pelletier</t>
  </si>
  <si>
    <t>Jim Mitchum</t>
  </si>
  <si>
    <t>Rogers Jumbo File, Granite</t>
  </si>
  <si>
    <t>Commercial WindTunnel Clean Air Upright Vacuum, Replacement Belts, Filtration Bags</t>
  </si>
  <si>
    <t>Deborah Brumfield</t>
  </si>
  <si>
    <t>Ivan Gibson</t>
  </si>
  <si>
    <t>Avery 481</t>
  </si>
  <si>
    <t>Bobby Odegard</t>
  </si>
  <si>
    <t>Newell 310</t>
  </si>
  <si>
    <t>Aimee Bixby</t>
  </si>
  <si>
    <t>5/15/2016</t>
  </si>
  <si>
    <t>Newell 319</t>
  </si>
  <si>
    <t>Edward Becker</t>
  </si>
  <si>
    <t>Avery 518</t>
  </si>
  <si>
    <t>Sheri Gordon</t>
  </si>
  <si>
    <t>Charlotte Melton</t>
  </si>
  <si>
    <t>Sensible Storage WireTech Storage Systems</t>
  </si>
  <si>
    <t>3/19/2015</t>
  </si>
  <si>
    <t>Kingston Digital DataTraveler 16GB USB 2.0</t>
  </si>
  <si>
    <t>GBC Imprintable Covers</t>
  </si>
  <si>
    <t>Newell 347</t>
  </si>
  <si>
    <t>11/23/2014</t>
  </si>
  <si>
    <t>11/25/2014</t>
  </si>
  <si>
    <t>Pastel Pink Envelopes</t>
  </si>
  <si>
    <t>Belkin F8E887 USB Wired Ergonomic Keyboard</t>
  </si>
  <si>
    <t>Mick Crebagga</t>
  </si>
  <si>
    <t>ARKON Windshield Dashboard Air Vent Car Mount Holder</t>
  </si>
  <si>
    <t>Tonja Turnell</t>
  </si>
  <si>
    <t>Xerox 1949</t>
  </si>
  <si>
    <t>2/27/2016</t>
  </si>
  <si>
    <t>Xerox 1886</t>
  </si>
  <si>
    <t>Acco Clips to Go Binder Clips, 24 Clips in Two Sizes</t>
  </si>
  <si>
    <t>Vivek Grady</t>
  </si>
  <si>
    <t>Muhammed Yedwab</t>
  </si>
  <si>
    <t>6/23/2015</t>
  </si>
  <si>
    <t>6/25/2015</t>
  </si>
  <si>
    <t>Rick Duston</t>
  </si>
  <si>
    <t>10/19/2014</t>
  </si>
  <si>
    <t>Spiral Phone Message Books with Labels by Adams</t>
  </si>
  <si>
    <t>3/24/2015</t>
  </si>
  <si>
    <t>Dennis Pardue</t>
  </si>
  <si>
    <t>Sauder Inglewood Library Bookcases</t>
  </si>
  <si>
    <t>Tenex 46" x 60" Computer Anti-Static Chairmat, Rectangular Shaped</t>
  </si>
  <si>
    <t>Prang Drawing Pencil Set</t>
  </si>
  <si>
    <t>Newell 307</t>
  </si>
  <si>
    <t>Panasonic KP-4ABK Battery-Operated Pencil Sharpener</t>
  </si>
  <si>
    <t>Marina Lichtenstein</t>
  </si>
  <si>
    <t>VTech DS6151</t>
  </si>
  <si>
    <t>3/19/2016</t>
  </si>
  <si>
    <t>Acco Perma 2700 Stacking Storage Drawers</t>
  </si>
  <si>
    <t>Wirebound Message Books, Four 2 3/4 x 5 White Forms per Page</t>
  </si>
  <si>
    <t>GE 48" Fluorescent Tube, Cool White Energy Saver, 34 Watts, 30/Box</t>
  </si>
  <si>
    <t>Micro Innovations USB RF Wireless Keyboard with Mouse</t>
  </si>
  <si>
    <t>James Galang</t>
  </si>
  <si>
    <t>Plantronics Savi W720 Multi-Device Wireless Headset System</t>
  </si>
  <si>
    <t>11/16/2015</t>
  </si>
  <si>
    <t>Marc Crier</t>
  </si>
  <si>
    <t>6/25/2017</t>
  </si>
  <si>
    <t>Natalie Webber</t>
  </si>
  <si>
    <t>Jawbone MINI JAMBOX Wireless Bluetooth Speaker</t>
  </si>
  <si>
    <t>Toby Braunhardt</t>
  </si>
  <si>
    <t>Weyerhaeuser First Choice Laser/Copy Paper (20Lb. and 88 Bright)</t>
  </si>
  <si>
    <t>Bill Stewart</t>
  </si>
  <si>
    <t>Canon PC940 Copier</t>
  </si>
  <si>
    <t>Brites Rubber Bands, 1 1/2 oz. Box</t>
  </si>
  <si>
    <t>Catalog Binders with Expanding Posts</t>
  </si>
  <si>
    <t>Grandstream GXP2100 Mainstream Business Phone</t>
  </si>
  <si>
    <t>Christina DeMoss</t>
  </si>
  <si>
    <t>Binder Clips by OIC</t>
  </si>
  <si>
    <t>Wilson Jones 1" Hanging DublLock Ring Binders</t>
  </si>
  <si>
    <t>Thea Hendricks</t>
  </si>
  <si>
    <t>RCA Visys Integrated PBX 8-Line Router</t>
  </si>
  <si>
    <t>Michelle Moray</t>
  </si>
  <si>
    <t>GBC VeloBind Cover Sets</t>
  </si>
  <si>
    <t>Neola Schneider</t>
  </si>
  <si>
    <t>Colored Push Pins</t>
  </si>
  <si>
    <t>Logitech G105 Gaming Keyboard</t>
  </si>
  <si>
    <t>Xerox 1925</t>
  </si>
  <si>
    <t>QVS USB Car Charger 2-Port 2.1Amp for iPod/iPhone/iPad/iPad 2/iPad 3</t>
  </si>
  <si>
    <t>3/25/2016</t>
  </si>
  <si>
    <t>Shaun Weien</t>
  </si>
  <si>
    <t>Eric Barreto</t>
  </si>
  <si>
    <t>DAX Natural Wood-Tone Poster Frame</t>
  </si>
  <si>
    <t>StarTech.com 10/100 VDSL2 Ethernet Extender Kit</t>
  </si>
  <si>
    <t>Pamela Stobb</t>
  </si>
  <si>
    <t>Acco Smartsocket Table Surge Protector, 6 Color-Coded Adapter Outlets</t>
  </si>
  <si>
    <t>GBC ProClick Spines for 32-Hole Punch</t>
  </si>
  <si>
    <t>8/20/2014</t>
  </si>
  <si>
    <t>Herbert Flentye</t>
  </si>
  <si>
    <t>3/14/2016</t>
  </si>
  <si>
    <t>Henia Zydlo</t>
  </si>
  <si>
    <t>Memorex Micro Travel Drive 16 GB</t>
  </si>
  <si>
    <t>Cynthia Delaney</t>
  </si>
  <si>
    <t>Jamie Kunitz</t>
  </si>
  <si>
    <t>"While you Were Out" Message Book, One Form per Page</t>
  </si>
  <si>
    <t>O'Sullivan Manor Hill 2-Door Library in Brianna Oak</t>
  </si>
  <si>
    <t>Nu-Dell Float Frame 11 x 14 1/2</t>
  </si>
  <si>
    <t>12/25/2015</t>
  </si>
  <si>
    <t>Logitech G600 MMO Gaming Mouse</t>
  </si>
  <si>
    <t>Sauder Facets Collection Library, Sky Alder Finish</t>
  </si>
  <si>
    <t>Avanti 4.4 Cu. Ft. Refrigerator</t>
  </si>
  <si>
    <t>Hoover Replacement Belt for Commercial Guardsman Heavy-Duty Upright Vacuum</t>
  </si>
  <si>
    <t>Fellowes Advanced 8 Outlet Surge Suppressor with Phone/Fax Protection</t>
  </si>
  <si>
    <t>Filia McAdams</t>
  </si>
  <si>
    <t>SAFCO PlanMaster Heigh-Adjustable Drafting Table Base, 43w x 30d x 30-37h, Black</t>
  </si>
  <si>
    <t>TRENDnet 56K USB 2.0 Phone, Internet and Fax Modem</t>
  </si>
  <si>
    <t>Emily Ducich</t>
  </si>
  <si>
    <t>Xerox 231</t>
  </si>
  <si>
    <t>8/13/2016</t>
  </si>
  <si>
    <t>Dianna Arnett</t>
  </si>
  <si>
    <t>Hon 2111 Invitation Series Straight Table</t>
  </si>
  <si>
    <t>Joni Wasserman</t>
  </si>
  <si>
    <t>Xerox 1962</t>
  </si>
  <si>
    <t>Wilson Electronics DB Pro Signal Booster</t>
  </si>
  <si>
    <t>Raymond Messe</t>
  </si>
  <si>
    <t>Max Ludwig</t>
  </si>
  <si>
    <t>Avery 478</t>
  </si>
  <si>
    <t>3/26/2014</t>
  </si>
  <si>
    <t>Craig Carroll</t>
  </si>
  <si>
    <t>11/27/2016</t>
  </si>
  <si>
    <t>4/28/2014</t>
  </si>
  <si>
    <t>Acco Data Flex Cable Posts For Top &amp; Bottom Load Binders, 6" Capacity</t>
  </si>
  <si>
    <t>Recycled Steel Personal File for Standard File Folders</t>
  </si>
  <si>
    <t>Blackstonian Pencils</t>
  </si>
  <si>
    <t>Xerox 1919</t>
  </si>
  <si>
    <t>Tops Wirebound Message Log Books</t>
  </si>
  <si>
    <t>Jim Epp</t>
  </si>
  <si>
    <t>AT&amp;T CL82213</t>
  </si>
  <si>
    <t>Roy Phan</t>
  </si>
  <si>
    <t>Maxell LTO Ultrium - 800 GB</t>
  </si>
  <si>
    <t>9/30/2014</t>
  </si>
  <si>
    <t>Office Star - Professional Matrix Back Chair with 2-to-1 Synchro Tilt and Mesh Fabric Seat</t>
  </si>
  <si>
    <t>Hunt BOSTON Vista Battery-Operated Pencil Sharpener, Black</t>
  </si>
  <si>
    <t>12/13/2014</t>
  </si>
  <si>
    <t>Thomas Boland</t>
  </si>
  <si>
    <t>Brad Eason</t>
  </si>
  <si>
    <t>Jill Fjeld</t>
  </si>
  <si>
    <t>Logitech Wireless Marathon Mouse M705</t>
  </si>
  <si>
    <t>Mediabridge Sport Armband iPhone 5s</t>
  </si>
  <si>
    <t>DAX Cubicle Frames - 8x10</t>
  </si>
  <si>
    <t>Brian Thompson</t>
  </si>
  <si>
    <t>Avery 501</t>
  </si>
  <si>
    <t>Avery 513</t>
  </si>
  <si>
    <t>Janet Lee</t>
  </si>
  <si>
    <t>Harmony Air Purifier</t>
  </si>
  <si>
    <t>2/16/2016</t>
  </si>
  <si>
    <t>Honeywell Enviracaire Portable Air Cleaner for up to 8 x 10 Room</t>
  </si>
  <si>
    <t>Global Stack Chair with Arms, Black</t>
  </si>
  <si>
    <t>Xerox 206</t>
  </si>
  <si>
    <t>Seth Thomas 14" Day/Date Wall Clock</t>
  </si>
  <si>
    <t>Samsung Galaxy S4 Mini</t>
  </si>
  <si>
    <t>Neil Ducich</t>
  </si>
  <si>
    <t>5/18/2014</t>
  </si>
  <si>
    <t>Apple iPhone 5</t>
  </si>
  <si>
    <t>Xerox 1998</t>
  </si>
  <si>
    <t>6/24/2014</t>
  </si>
  <si>
    <t>2/21/2017</t>
  </si>
  <si>
    <t>Barbara Fisher</t>
  </si>
  <si>
    <t>Honeywell Quietcare HEPA Air Cleaner</t>
  </si>
  <si>
    <t>Katharine Harms</t>
  </si>
  <si>
    <t>Dana Fluorescent Magnifying Lamp, White, 36"</t>
  </si>
  <si>
    <t>Giulietta Weimer</t>
  </si>
  <si>
    <t>Flat Face Poster Frame</t>
  </si>
  <si>
    <t>Multi-Use Personal File Cart and Caster Set, Three Stacking Bins</t>
  </si>
  <si>
    <t>Xerox 1981</t>
  </si>
  <si>
    <t>6/17/2014</t>
  </si>
  <si>
    <t>Wilson Jones Elliptical Ring 3 1/2" Capacity Binders, 800 sheets</t>
  </si>
  <si>
    <t>3/27/2017</t>
  </si>
  <si>
    <t>Sauder Forest Hills Library with Doors, Woodland Oak Finish</t>
  </si>
  <si>
    <t>Noah Childs</t>
  </si>
  <si>
    <t>Executive Impressions 8-1/2" Career Panel/Partition Cubicle Clock</t>
  </si>
  <si>
    <t>Xerox 211</t>
  </si>
  <si>
    <t>Tennsco Industrial Shelving</t>
  </si>
  <si>
    <t>7/21/2014</t>
  </si>
  <si>
    <t>Newell 334</t>
  </si>
  <si>
    <t>11/25/2017</t>
  </si>
  <si>
    <t>Safco Drafting Table</t>
  </si>
  <si>
    <t>John Castell</t>
  </si>
  <si>
    <t>1/19/2017</t>
  </si>
  <si>
    <t>Avery 510</t>
  </si>
  <si>
    <t>Ultra Door Pull Handle</t>
  </si>
  <si>
    <t>10/21/2014</t>
  </si>
  <si>
    <t>3/18/2014</t>
  </si>
  <si>
    <t>IBM Multi-Purpose Copy Paper, 8 1/2 x 11", Case</t>
  </si>
  <si>
    <t>Adam Shillingsburg</t>
  </si>
  <si>
    <t>Newell 309</t>
  </si>
  <si>
    <t>GBC DocuBind TL300 Electric Binding System</t>
  </si>
  <si>
    <t>GBC DocuBind 200 Manual Binding Machine</t>
  </si>
  <si>
    <t>SKILCRAFT Telephone Shoulder Rest, 2" x 6.5" x 2.5", Black</t>
  </si>
  <si>
    <t>10/22/2017</t>
  </si>
  <si>
    <t>Global Comet Stacking Armless Chair</t>
  </si>
  <si>
    <t>Michael Dominguez</t>
  </si>
  <si>
    <t>5/17/2016</t>
  </si>
  <si>
    <t>Pressboard Hanging Data Binders for Unburst Sheets</t>
  </si>
  <si>
    <t>Duane Benoit</t>
  </si>
  <si>
    <t>DAX Charcoal/Nickel-Tone Document Frame, 5 x 7</t>
  </si>
  <si>
    <t>Xerox 1891</t>
  </si>
  <si>
    <t>Avery 474</t>
  </si>
  <si>
    <t>10/30/2015</t>
  </si>
  <si>
    <t>Panasonic KX T7736-B Digital phone</t>
  </si>
  <si>
    <t>8/17/2017</t>
  </si>
  <si>
    <t>8/19/2017</t>
  </si>
  <si>
    <t>Edward Hooks</t>
  </si>
  <si>
    <t>Global Commerce Series Low-Back Swivel/Tilt Chairs</t>
  </si>
  <si>
    <t>Scot Coram</t>
  </si>
  <si>
    <t>Cisco SPA 502G IP Phone</t>
  </si>
  <si>
    <t>3/13/2017</t>
  </si>
  <si>
    <t>Avaya 4621SW VoIP phone</t>
  </si>
  <si>
    <t>3/16/2017</t>
  </si>
  <si>
    <t>Xerox 214</t>
  </si>
  <si>
    <t>O'Sullivan 2-Shelf Heavy-Duty Bookcases</t>
  </si>
  <si>
    <t>Enermax Briskie RF Wireless Keyboard and Mouse Combo</t>
  </si>
  <si>
    <t>Joe Elijah</t>
  </si>
  <si>
    <t>GBC Twin Loop Wire Binding Elements</t>
  </si>
  <si>
    <t>Perma STOR-ALL Hanging File Box, 13 1/8"W x 12 1/4"D x 10 1/2"H</t>
  </si>
  <si>
    <t>Ann Chong</t>
  </si>
  <si>
    <t>WD My Passport Ultra 2TB Portable External Hard Drive</t>
  </si>
  <si>
    <t>Holmes Replacement Filter for HEPA Air Cleaner, Medium Room</t>
  </si>
  <si>
    <t>Imation Clip USB flash drive - 8 GB</t>
  </si>
  <si>
    <t>Acco 6 Outlet Guardian Standard Surge Suppressor</t>
  </si>
  <si>
    <t>Acme Hot Forged Carbon Steel Scissors with Nickel-Plated Handles, 3 7/8" Cut, 8"L</t>
  </si>
  <si>
    <t>Joy Daniels</t>
  </si>
  <si>
    <t>Avery Heavy-Duty EZD View Binder with Locking Rings</t>
  </si>
  <si>
    <t>Belkin Standard 104 key USB Keyboard</t>
  </si>
  <si>
    <t>Global Wood Trimmed Manager's Task Chair, Khaki</t>
  </si>
  <si>
    <t>Newell 321</t>
  </si>
  <si>
    <t>12/14/2015</t>
  </si>
  <si>
    <t>Jabra Supreme Plus Driver Edition Headset</t>
  </si>
  <si>
    <t>Christy Brittain</t>
  </si>
  <si>
    <t>Binder Posts</t>
  </si>
  <si>
    <t>Bevis Round Conference Table Top &amp; Single Column Base</t>
  </si>
  <si>
    <t>Xerox 1978</t>
  </si>
  <si>
    <t>2/24/2017</t>
  </si>
  <si>
    <t>Eldon Spacemaker Box, Quick-Snap Lid, Clear</t>
  </si>
  <si>
    <t>Plymouth Boxed Rubber Bands by Plymouth</t>
  </si>
  <si>
    <t>Joy Smith</t>
  </si>
  <si>
    <t>3.6 Cubic Foot Counter Height Office Refrigerator</t>
  </si>
  <si>
    <t>Luke Weiss</t>
  </si>
  <si>
    <t>11/15/2014</t>
  </si>
  <si>
    <t>11/21/2014</t>
  </si>
  <si>
    <t>Eldon ProFile File 'N Store Portable File Tub Letter/Legal Size Black</t>
  </si>
  <si>
    <t>Anne McFarland</t>
  </si>
  <si>
    <t>Southworth Parchment Paper &amp; Envelopes</t>
  </si>
  <si>
    <t>Rick Huthwaite</t>
  </si>
  <si>
    <t>8/20/2017</t>
  </si>
  <si>
    <t>Tennsco Lockers, Sand</t>
  </si>
  <si>
    <t>Carol Triggs</t>
  </si>
  <si>
    <t>1/27/2015</t>
  </si>
  <si>
    <t>GBC Personal VeloBind Strips</t>
  </si>
  <si>
    <t>8/23/2014</t>
  </si>
  <si>
    <t>Matt Collister</t>
  </si>
  <si>
    <t>Novimex Fabric Task Chair</t>
  </si>
  <si>
    <t>Master Big Foot Doorstop, Beige</t>
  </si>
  <si>
    <t>Microsoft Wireless Mobile Mouse 4000</t>
  </si>
  <si>
    <t>Letter/Legal File Tote with Clear Snap-On Lid, Black Granite</t>
  </si>
  <si>
    <t>Avery Framed View Binder, EZD Ring (Locking), Navy, 1 1/2"</t>
  </si>
  <si>
    <t>Xerox 1952</t>
  </si>
  <si>
    <t>Fellowes Twister Kit, Gray/Clear, 3/pkg</t>
  </si>
  <si>
    <t>4/13/2015</t>
  </si>
  <si>
    <t>Plantronics Audio 478 Stereo USB Headset</t>
  </si>
  <si>
    <t>Hon 94000 Series Round Tables</t>
  </si>
  <si>
    <t>Corey Catlett</t>
  </si>
  <si>
    <t>Kelly Andreada</t>
  </si>
  <si>
    <t>Tamara Chand</t>
  </si>
  <si>
    <t>Plantronics CS 50-USB - headset - Convertible, Monaural</t>
  </si>
  <si>
    <t>Bart Folk</t>
  </si>
  <si>
    <t>12/29/2015</t>
  </si>
  <si>
    <t>Computer Printout Paper with Letter-Trim Perforations</t>
  </si>
  <si>
    <t>Avery 52</t>
  </si>
  <si>
    <t>Translucent Push Pins by OIC</t>
  </si>
  <si>
    <t>Magdelene Morse</t>
  </si>
  <si>
    <t>11/17/2014</t>
  </si>
  <si>
    <t>GBC DocuBind P50 Personal Binding Machine</t>
  </si>
  <si>
    <t>Boston KS Multi-Size Manual Pencil Sharpener</t>
  </si>
  <si>
    <t>Tennsco 6- and 18-Compartment Lockers</t>
  </si>
  <si>
    <t>7/18/2014</t>
  </si>
  <si>
    <t>Adrian Hane</t>
  </si>
  <si>
    <t>Xerox 1888</t>
  </si>
  <si>
    <t>Ben Wallace</t>
  </si>
  <si>
    <t>Newell 308</t>
  </si>
  <si>
    <t>Mobile Personal File Cube</t>
  </si>
  <si>
    <t>DMI Eclipse Executive Suite Bookcases</t>
  </si>
  <si>
    <t>Scot Wooten</t>
  </si>
  <si>
    <t>4/13/2017</t>
  </si>
  <si>
    <t>Belkin SportFit Armband For iPhone 5s/5c, Fuchsia</t>
  </si>
  <si>
    <t>Brian Stugart</t>
  </si>
  <si>
    <t>DataProducts Ampli Magnifier Task Lamp, Black,</t>
  </si>
  <si>
    <t>Randy Ferguson</t>
  </si>
  <si>
    <t>Acco 6 Outlet Guardian Basic Surge Suppressor</t>
  </si>
  <si>
    <t>Message Book, Phone, Wirebound Standard Line Memo, 2 3/4" X 5"</t>
  </si>
  <si>
    <t>William Brown</t>
  </si>
  <si>
    <t>Motorla HX550 Universal Bluetooth Headset</t>
  </si>
  <si>
    <t>Trudy Brown</t>
  </si>
  <si>
    <t>Eldon Expressions Wood Desk Accessories, Oak</t>
  </si>
  <si>
    <t>Acme Office Executive Series Stainless Steel Trimmers</t>
  </si>
  <si>
    <t>Art Ferguson</t>
  </si>
  <si>
    <t>Richard Bierner</t>
  </si>
  <si>
    <t>Panasonic KP-350BK Electric Pencil Sharpener with Auto Stop</t>
  </si>
  <si>
    <t>Karen Ferguson</t>
  </si>
  <si>
    <t>Array Memo Cubes</t>
  </si>
  <si>
    <t>John Huston</t>
  </si>
  <si>
    <t>Ivan Liston</t>
  </si>
  <si>
    <t>Wilson Jones data.warehouse D-Ring Binders with DublLock</t>
  </si>
  <si>
    <t>7/30/2016</t>
  </si>
  <si>
    <t>Patrick Bzostek</t>
  </si>
  <si>
    <t>Xerox 1982</t>
  </si>
  <si>
    <t>Fellowes Mighty 8 Compact Surge Protector</t>
  </si>
  <si>
    <t>Harmony HEPA Quiet Air Purifiers</t>
  </si>
  <si>
    <t>11/28/2014</t>
  </si>
  <si>
    <t>Howard Miller 16" Diameter Gallery Wall Clock</t>
  </si>
  <si>
    <t>Eldon Executive Woodline II Desk Accessories, Mahogany</t>
  </si>
  <si>
    <t>Boston Model 1800 Electric Pencil Sharpener, Gray</t>
  </si>
  <si>
    <t>7/14/2014</t>
  </si>
  <si>
    <t>7/20/2014</t>
  </si>
  <si>
    <t>Arthur Wiediger</t>
  </si>
  <si>
    <t>11/16/2014</t>
  </si>
  <si>
    <t>Maris LaWare</t>
  </si>
  <si>
    <t>Polycom SoundPoint Pro SE-225 Corded phone</t>
  </si>
  <si>
    <t>11/30/2016</t>
  </si>
  <si>
    <t>Euro-Pro Shark Turbo Vacuum</t>
  </si>
  <si>
    <t>Metal Folding Chairs, Beige, 4/Carton</t>
  </si>
  <si>
    <t>Dorothy Badders</t>
  </si>
  <si>
    <t>Nontoxic Chalk</t>
  </si>
  <si>
    <t>Matt Hagelstein</t>
  </si>
  <si>
    <t>Dennis Kane</t>
  </si>
  <si>
    <t>7/31/2017</t>
  </si>
  <si>
    <t>Xerox 1991</t>
  </si>
  <si>
    <t>Bobby Trafton</t>
  </si>
  <si>
    <t>3/31/2014</t>
  </si>
  <si>
    <t>Fellowes Advanced Computer Series Surge Protectors</t>
  </si>
  <si>
    <t>7/14/2017</t>
  </si>
  <si>
    <t>Recycled Steel Personal File for Hanging File Folders</t>
  </si>
  <si>
    <t>HTC One</t>
  </si>
  <si>
    <t>Manco Dry-Lighter Erasable Highlighter</t>
  </si>
  <si>
    <t>7/15/2016</t>
  </si>
  <si>
    <t>Fiskars Home &amp; Office Scissors</t>
  </si>
  <si>
    <t>Eldon Cleatmat Chair Mats for Medium Pile Carpets</t>
  </si>
  <si>
    <t>Toby Gnade</t>
  </si>
  <si>
    <t>Avery Self-Adhesive Photo Pockets for Polaroid Photos</t>
  </si>
  <si>
    <t>Barry Franz</t>
  </si>
  <si>
    <t>Justin MacKendrick</t>
  </si>
  <si>
    <t>Xerox 1959</t>
  </si>
  <si>
    <t>Xerox 22</t>
  </si>
  <si>
    <t>Wi-Ex zBoost YX540 Cellular Phone Signal Booster</t>
  </si>
  <si>
    <t>Wirebound Message Books, Four 2 3/4" x 5" Forms per Page, 600 Sets per Book</t>
  </si>
  <si>
    <t>Maria Zettner</t>
  </si>
  <si>
    <t>Mitch Webber</t>
  </si>
  <si>
    <t>Mark Van Huff</t>
  </si>
  <si>
    <t>11/14/2016</t>
  </si>
  <si>
    <t>Logitech diNovo Edge Keyboard</t>
  </si>
  <si>
    <t>Sean Miller</t>
  </si>
  <si>
    <t>Tom Prescott</t>
  </si>
  <si>
    <t>Xerox 227</t>
  </si>
  <si>
    <t>Fellowes Bases and Tops For Staxonsteel/High-Stak Systems</t>
  </si>
  <si>
    <t>Deflect-o Glass Clear Studded Chair Mats</t>
  </si>
  <si>
    <t>Canon PC1060 Personal Laser Copier</t>
  </si>
  <si>
    <t>Bevis Round Conference Room Tables and Bases</t>
  </si>
  <si>
    <t>Jim Karlsson</t>
  </si>
  <si>
    <t>Xerox 1965</t>
  </si>
  <si>
    <t>Eureka Sanitaire  Multi-Pro Heavy-Duty Upright, Disposable Bags</t>
  </si>
  <si>
    <t>Ricardo Sperren</t>
  </si>
  <si>
    <t>Balt Solid Wood Round Tables</t>
  </si>
  <si>
    <t>4/20/2015</t>
  </si>
  <si>
    <t>Susan Vittorini</t>
  </si>
  <si>
    <t>Becky Castell</t>
  </si>
  <si>
    <t>Elizabeth Moffitt</t>
  </si>
  <si>
    <t>Logitech G35 7.1-Channel Surround Sound Headset</t>
  </si>
  <si>
    <t>Imation Secure Drive + Hardware Encrypted USB flash drive - 16 GB</t>
  </si>
  <si>
    <t>Brendan Murry</t>
  </si>
  <si>
    <t>Kristina Nunn</t>
  </si>
  <si>
    <t>Tenex Antistatic Computer Chair Mats</t>
  </si>
  <si>
    <t>REDIFORM Incoming/Outgoing Call Register, 11" X 8 1/2", 100 Messages</t>
  </si>
  <si>
    <t>Kelly Williams</t>
  </si>
  <si>
    <t>Tripp Lite Isotel 6 Outlet Surge Protector with Fax/Modem Protection</t>
  </si>
  <si>
    <t>Xerox 1994</t>
  </si>
  <si>
    <t>8/19/2014</t>
  </si>
  <si>
    <t>Nu-Dell Executive Frame</t>
  </si>
  <si>
    <t>7/26/2014</t>
  </si>
  <si>
    <t>2/28/2016</t>
  </si>
  <si>
    <t>Belkin 5 Outlet SurgeMaster Power Centers</t>
  </si>
  <si>
    <t>TOPS Carbonless Receipt Book, Four 2-3/4 x 7-1/4 Money Receipts per Page</t>
  </si>
  <si>
    <t>Insertable Tab Indexes For Data Binders</t>
  </si>
  <si>
    <t>Satellite Sectional Post Binders</t>
  </si>
  <si>
    <t>Scott Cohen</t>
  </si>
  <si>
    <t>Memorex Micro Travel Drive 32 GB</t>
  </si>
  <si>
    <t>SpineVue Locking Slant-D Ring Binders by Cardinal</t>
  </si>
  <si>
    <t>Eureka The Boss Lite 10-Amp Upright Vacuum, Blue</t>
  </si>
  <si>
    <t>Global Leather &amp; Oak Executive Chair, Burgundy</t>
  </si>
  <si>
    <t>2/13/2017</t>
  </si>
  <si>
    <t>Rubbermaid ClusterMat Chairmats, Mat Size- 66" x 60", Lip 20" x 11" -90 Degree Angle</t>
  </si>
  <si>
    <t>Acco Hot Clips Clips to Go</t>
  </si>
  <si>
    <t>1/24/2017</t>
  </si>
  <si>
    <t>Xerox 1951</t>
  </si>
  <si>
    <t>DAX Solid Wood Frames</t>
  </si>
  <si>
    <t>Christina VanderZanden</t>
  </si>
  <si>
    <t>Acco Smartsocket Color-Coded Six-Outlet AC Adapter Model Surge Protectors</t>
  </si>
  <si>
    <t>Clearsounds A400</t>
  </si>
  <si>
    <t>Hewlett Packard 310 Color Digital Copier</t>
  </si>
  <si>
    <t>Recycled Premium Regency Composition Covers</t>
  </si>
  <si>
    <t>Speros Goranitis</t>
  </si>
  <si>
    <t>Xerox 1903</t>
  </si>
  <si>
    <t>Logitech VX Revolution Cordless Laser Mouse for Notebooks (Black)</t>
  </si>
  <si>
    <t>11/19/2015</t>
  </si>
  <si>
    <t>8/16/2017</t>
  </si>
  <si>
    <t>O'Sullivan Plantations 2-Door Library in Landvery Oak</t>
  </si>
  <si>
    <t>Tamara Manning</t>
  </si>
  <si>
    <t>Panasonic KX-TG9541B DECT 6.0 Digital 2-Line Expandable Cordless Phone With Digital Answering System</t>
  </si>
  <si>
    <t>Eleni McCrary</t>
  </si>
  <si>
    <t>12/29/2016</t>
  </si>
  <si>
    <t>Razer Kraken 7.1 Surround Sound Over Ear USB Gaming Headset</t>
  </si>
  <si>
    <t>Clay Rozendal</t>
  </si>
  <si>
    <t>GBC Wire Binding Combs</t>
  </si>
  <si>
    <t>5/13/2017</t>
  </si>
  <si>
    <t>5/20/2017</t>
  </si>
  <si>
    <t>Annie Zypern</t>
  </si>
  <si>
    <t>Iceberg Nesting Folding Chair, 19w x 6d x 43h</t>
  </si>
  <si>
    <t>Honeywell Enviracaire Portable HEPA Air Cleaner for 16' x 20' Room</t>
  </si>
  <si>
    <t>11/20/2014</t>
  </si>
  <si>
    <t>Pierre Wener</t>
  </si>
  <si>
    <t>Bevis Rectangular Conference Tables</t>
  </si>
  <si>
    <t>7/22/2017</t>
  </si>
  <si>
    <t>5/22/2016</t>
  </si>
  <si>
    <t>10/31/2016</t>
  </si>
  <si>
    <t>Avery 496</t>
  </si>
  <si>
    <t>Shahid Collister</t>
  </si>
  <si>
    <t>Xerox 23</t>
  </si>
  <si>
    <t>Carlos Meador</t>
  </si>
  <si>
    <t>Eldon Pizzaz Desk Accessories</t>
  </si>
  <si>
    <t>Sauder Forest Hills Library, Woodland Oak Finish</t>
  </si>
  <si>
    <t>Global Deluxe High-Back Office Chair in Storm</t>
  </si>
  <si>
    <t>Kensington K72356US Mouse-in-a-Box USB Desktop Mouse</t>
  </si>
  <si>
    <t>Avery 50</t>
  </si>
  <si>
    <t>Fiskars Spring-Action Scissors</t>
  </si>
  <si>
    <t>Anker 24W Portable Micro USB Car Charger</t>
  </si>
  <si>
    <t>SAFCO Mobile Desk Side File, Wire Frame</t>
  </si>
  <si>
    <t>Newell 313</t>
  </si>
  <si>
    <t>Tim Brockman</t>
  </si>
  <si>
    <t>Jawbone JAMBOX Wireless Bluetooth Speaker</t>
  </si>
  <si>
    <t>Xerox 1895</t>
  </si>
  <si>
    <t>John Murray</t>
  </si>
  <si>
    <t>Sonia Cooley</t>
  </si>
  <si>
    <t>#10 White Business Envelopes,4 1/8 x 9 1/2</t>
  </si>
  <si>
    <t>Luke Schmidt</t>
  </si>
  <si>
    <t>Belkin 8 Outlet Surge Protector</t>
  </si>
  <si>
    <t>Panasonic KX TS3282B Corded phone</t>
  </si>
  <si>
    <t>11/18/2016</t>
  </si>
  <si>
    <t>Tennsco Snap-Together Open Shelving Units, Starter Sets and Add-On Units</t>
  </si>
  <si>
    <t>Daniel Byrd</t>
  </si>
  <si>
    <t>Avery 49</t>
  </si>
  <si>
    <t>Thomas Thornton</t>
  </si>
  <si>
    <t>Maxell 4.7GB DVD-RW 3/Pack</t>
  </si>
  <si>
    <t>Lori Olson</t>
  </si>
  <si>
    <t>Nortel Meridian M5316 Digital phone</t>
  </si>
  <si>
    <t>Ken Dana</t>
  </si>
  <si>
    <t>Nicole Brennan</t>
  </si>
  <si>
    <t>Bush Westfield Collection Bookcases, Dark Cherry Finish</t>
  </si>
  <si>
    <t>3M Polarizing Task Lamp with Clamp Arm, Light Gray</t>
  </si>
  <si>
    <t>Dell Slim USB Multimedia Keyboard</t>
  </si>
  <si>
    <t>Contemporary Wood/Metal Frame</t>
  </si>
  <si>
    <t>O'Sullivan Living Dimensions 3-Shelf Bookcases</t>
  </si>
  <si>
    <t>Brian Derr</t>
  </si>
  <si>
    <t>GBC Standard Plastic Binding Systems' Combs</t>
  </si>
  <si>
    <t>Chris McAfee</t>
  </si>
  <si>
    <t>GE General Use Halogen Bulbs, 100 Watts, 1 Bulb per Pack</t>
  </si>
  <si>
    <t>Macally Suction Cup Mount</t>
  </si>
  <si>
    <t>Eldon Image Series Black Desk Accessories</t>
  </si>
  <si>
    <t>Executive Impressions 14"</t>
  </si>
  <si>
    <t>Executive Impressions 12" Wall Clock</t>
  </si>
  <si>
    <t>Bretford CR8500 Series Meeting Room Furniture</t>
  </si>
  <si>
    <t>Plantronics Calisto P620-M USB Wireless Speakerphone System</t>
  </si>
  <si>
    <t>4/23/2017</t>
  </si>
  <si>
    <t>Edward Nazzal</t>
  </si>
  <si>
    <t>Kean Nguyen</t>
  </si>
  <si>
    <t>KeyTronic KT400U2 - Keyboard - Black</t>
  </si>
  <si>
    <t>Bill Overfelt</t>
  </si>
  <si>
    <t>4/26/2014</t>
  </si>
  <si>
    <t>Avery 498</t>
  </si>
  <si>
    <t>Matthew Clasen</t>
  </si>
  <si>
    <t>Tom Ashbrook</t>
  </si>
  <si>
    <t>Canon imageCLASS 2200 Advanced Copier</t>
  </si>
  <si>
    <t>Epson TM-T88V Direct Thermal Printer - Monochrome - Desktop</t>
  </si>
  <si>
    <t>Accohide Poly Flexible Ring Binders</t>
  </si>
  <si>
    <t>Jason Fortune-</t>
  </si>
  <si>
    <t>SAFCO Optional Arm Kit for Workspace Cribbage Stacking Chair</t>
  </si>
  <si>
    <t>Stackable Trays</t>
  </si>
  <si>
    <t>Sarah Bern</t>
  </si>
  <si>
    <t>TOPS Voice Message Log Book, Flash Format</t>
  </si>
  <si>
    <t>Executive Impressions 13" Clairmont Wall Clock</t>
  </si>
  <si>
    <t>GBC Laser Imprintable Binding System Covers, Desert Sand</t>
  </si>
  <si>
    <t>Xerox 2000</t>
  </si>
  <si>
    <t>Green Bar Computer Printout Paper</t>
  </si>
  <si>
    <t>Global Adaptabilites Bookcase, Cherry/Storm Gray Finish</t>
  </si>
  <si>
    <t>GBC Pre-Punched Binding Paper, Plastic, White, 8-1/2" x 11"</t>
  </si>
  <si>
    <t>8/16/2016</t>
  </si>
  <si>
    <t>Craig Leslie</t>
  </si>
  <si>
    <t>Nancy Lomonaco</t>
  </si>
  <si>
    <t>Rick Reed</t>
  </si>
  <si>
    <t>Advantus Motivational Note Cards</t>
  </si>
  <si>
    <t>Toby Carlisle</t>
  </si>
  <si>
    <t>Stewart Visinsky</t>
  </si>
  <si>
    <t>Avery Flip-Chart Easel Binder, Black</t>
  </si>
  <si>
    <t>Ativa D5772 2-Line 5.8GHz Digital Expandable Corded/Cordless Phone System with Answering &amp; Caller ID/Call Waiting, Black/Silver</t>
  </si>
  <si>
    <t>Ibico Presentation Index for Binding Systems</t>
  </si>
  <si>
    <t>Adams "While You Were Out" Message Pads</t>
  </si>
  <si>
    <t>Wirebound Four 2-3/4 x 5 Forms per Page, 400 Sets per Book</t>
  </si>
  <si>
    <t>AT&amp;T 17929 Lendline Telephone</t>
  </si>
  <si>
    <t>Bobby Elias</t>
  </si>
  <si>
    <t>Hewlett-Packard Deskjet 6540 Color Inkjet Printer</t>
  </si>
  <si>
    <t>Avery Fluorescent Highlighter Four-Color Set</t>
  </si>
  <si>
    <t>Xerox 1944</t>
  </si>
  <si>
    <t>Xerox 215</t>
  </si>
  <si>
    <t>Computer Room Manger, 14"</t>
  </si>
  <si>
    <t>AT&amp;T CL2909</t>
  </si>
  <si>
    <t>8/26/2017</t>
  </si>
  <si>
    <t>Steve Carroll</t>
  </si>
  <si>
    <t>David Flashing</t>
  </si>
  <si>
    <t>2/21/2015</t>
  </si>
  <si>
    <t>2/23/2015</t>
  </si>
  <si>
    <t>BlackBerry Q10</t>
  </si>
  <si>
    <t>Compact Automatic Electric Letter Opener</t>
  </si>
  <si>
    <t>SanDisk Ultra 16 GB MicroSDHC Class 10 Memory Card</t>
  </si>
  <si>
    <t>Ritsa Hightower</t>
  </si>
  <si>
    <t>Advantus Rolling Drawer Organizers</t>
  </si>
  <si>
    <t>George Ashbrook</t>
  </si>
  <si>
    <t>Julie Prescott</t>
  </si>
  <si>
    <t>Dean percer</t>
  </si>
  <si>
    <t>Maxell 4.7GB DVD-R 5/Pack</t>
  </si>
  <si>
    <t>GBC Plasticlear Binding Covers</t>
  </si>
  <si>
    <t>Belkin F9M820V08 8 Outlet Surge</t>
  </si>
  <si>
    <t>Michael Oakman</t>
  </si>
  <si>
    <t>APC 7 Outlet Network SurgeArrest Surge Protector</t>
  </si>
  <si>
    <t>7/17/2015</t>
  </si>
  <si>
    <t>Maxell 4.7GB DVD+R 5/Pack</t>
  </si>
  <si>
    <t>Anker Astro Mini 3000mAh Ultra-Compact Portable Charger</t>
  </si>
  <si>
    <t>Xerox 1953</t>
  </si>
  <si>
    <t>Michelle Huthwaite</t>
  </si>
  <si>
    <t>Xerox 228</t>
  </si>
  <si>
    <t>Advantus Employee of the Month Certificate Frame, 11 x 13-1/2</t>
  </si>
  <si>
    <t>Daniel Raglin</t>
  </si>
  <si>
    <t>Embossed Ink Jet Note Cards</t>
  </si>
  <si>
    <t>Xerox 1942</t>
  </si>
  <si>
    <t>Carina Mini System Audio Rack, Model AR050B</t>
  </si>
  <si>
    <t>Carol Adams</t>
  </si>
  <si>
    <t>Xerox 201</t>
  </si>
  <si>
    <t>Anna Chung</t>
  </si>
  <si>
    <t>5/22/2017</t>
  </si>
  <si>
    <t>12/27/2016</t>
  </si>
  <si>
    <t>Denise Monton</t>
  </si>
  <si>
    <t>Eldon Expressions Punched Metal &amp; Wood Desk Accessories, Black &amp; Cherry</t>
  </si>
  <si>
    <t>Vicky Freymann</t>
  </si>
  <si>
    <t>Christopher Conant</t>
  </si>
  <si>
    <t>8/13/2017</t>
  </si>
  <si>
    <t>Dana Swing-Arm Lamps</t>
  </si>
  <si>
    <t>Beth Fritzler</t>
  </si>
  <si>
    <t>1/23/2016</t>
  </si>
  <si>
    <t>1/30/2016</t>
  </si>
  <si>
    <t>Wirebound Message Books, Four 2 3/4 x 5 Forms per Page, 200 Sets per Book</t>
  </si>
  <si>
    <t>Harry Greene</t>
  </si>
  <si>
    <t>Eldon 200 Class Desk Accessories, Smoke</t>
  </si>
  <si>
    <t>3/30/2014</t>
  </si>
  <si>
    <t>Dual Level, Single-Width Filing Carts</t>
  </si>
  <si>
    <t>Xerox 1971</t>
  </si>
  <si>
    <t>Eberhard Faber 3 1/2" Golf Pencils</t>
  </si>
  <si>
    <t>Tenex Carpeted, Granite-Look or Clear Contemporary Contour Shape Chair Mats</t>
  </si>
  <si>
    <t>Becky Pak</t>
  </si>
  <si>
    <t>Global Highback Leather Tilter in Burgundy</t>
  </si>
  <si>
    <t>Eldon 400 Class Desk Accessories, Black Carbon</t>
  </si>
  <si>
    <t>Wilson Jones Clip &amp; Carry Folder Binder Tool for Ring Binders, Clear</t>
  </si>
  <si>
    <t>Eugene Moren</t>
  </si>
  <si>
    <t>Harbour Creations 67200 Series Stacking Chairs</t>
  </si>
  <si>
    <t>Samsung Galaxy Mega 6.3</t>
  </si>
  <si>
    <t>Michelle Arnett</t>
  </si>
  <si>
    <t>12/16/2017</t>
  </si>
  <si>
    <t>Andy Yotov</t>
  </si>
  <si>
    <t>DAX Two-Tone Rosewood/Black Document Frame, Desktop, 5 x 7</t>
  </si>
  <si>
    <t>Safco Chair Connectors, 6/Carton</t>
  </si>
  <si>
    <t>Giulietta Baptist</t>
  </si>
  <si>
    <t>Xerox 1997</t>
  </si>
  <si>
    <t>Julia Barnett</t>
  </si>
  <si>
    <t>2/21/2016</t>
  </si>
  <si>
    <t>VariCap6 Expandable Binder</t>
  </si>
  <si>
    <t>Stacking Trays by OIC</t>
  </si>
  <si>
    <t>Kensington 7 Outlet MasterPiece Power Center with Fax/Phone Line Protection</t>
  </si>
  <si>
    <t>7/29/2016</t>
  </si>
  <si>
    <t>Sharelle Roach</t>
  </si>
  <si>
    <t>Joy Bell-</t>
  </si>
  <si>
    <t>SlimView Poly Binder, 3/8"</t>
  </si>
  <si>
    <t>Dario Medina</t>
  </si>
  <si>
    <t>11/21/2016</t>
  </si>
  <si>
    <t>Boston Electric Pencil Sharpener, Model 1818, Charcoal Black</t>
  </si>
  <si>
    <t>DAX Clear Channel Poster Frame</t>
  </si>
  <si>
    <t>Hon Pagoda Stacking Chairs</t>
  </si>
  <si>
    <t>Tony Chapman</t>
  </si>
  <si>
    <t>36X48 HARDFLOOR CHAIRMAT</t>
  </si>
  <si>
    <t>Richard Eichhorn</t>
  </si>
  <si>
    <t>Apple EarPods with Remote and Mic</t>
  </si>
  <si>
    <t>Perixx PERIBOARD-512B, Ergonomic Split Keyboard</t>
  </si>
  <si>
    <t>Benjamin Farhat</t>
  </si>
  <si>
    <t>Xerox 230</t>
  </si>
  <si>
    <t>Eldon Econocleat Chair Mats for Low Pile Carpets</t>
  </si>
  <si>
    <t>5/27/2017</t>
  </si>
  <si>
    <t>Vtech CS6719</t>
  </si>
  <si>
    <t>Jason Gross</t>
  </si>
  <si>
    <t>Bush Cubix Collection Bookcases, Fully Assembled</t>
  </si>
  <si>
    <t>Universal Recycled Hanging Pressboard Report Binders, Letter Size</t>
  </si>
  <si>
    <t>Erin Creighton</t>
  </si>
  <si>
    <t>Xerox 1980</t>
  </si>
  <si>
    <t>Strathmore Photo Frame Cards</t>
  </si>
  <si>
    <t>Seth Thomas 8 1/2" Cubicle Clock</t>
  </si>
  <si>
    <t>Eugene Barchas</t>
  </si>
  <si>
    <t>Aastra 6757i CT Wireless VoIP phone</t>
  </si>
  <si>
    <t>Xerox 1907</t>
  </si>
  <si>
    <t>Jennifer Patt</t>
  </si>
  <si>
    <t>G.E. Longer-Life Indoor Recessed Floodlight Bulbs</t>
  </si>
  <si>
    <t>Panasonic KX TS3282W Corded phone</t>
  </si>
  <si>
    <t>Cari Sayre</t>
  </si>
  <si>
    <t>Global Leather and Oak Executive Chair, Black</t>
  </si>
  <si>
    <t>Cubify CubeX 3D Printer Double Head Print</t>
  </si>
  <si>
    <t>Ibico Ibimaster 300 Manual Binding System</t>
  </si>
  <si>
    <t>Gary Hansen</t>
  </si>
  <si>
    <t>3/27/2016</t>
  </si>
  <si>
    <t>Pete Takahito</t>
  </si>
  <si>
    <t>Wilson Jones Impact Binders</t>
  </si>
  <si>
    <t>Newell 34</t>
  </si>
  <si>
    <t>Polycom CX300 Desktop Phone USB VoIP phone</t>
  </si>
  <si>
    <t>Boston 1799 Powerhouse Electric Pencil Sharpener</t>
  </si>
  <si>
    <t>Wilson Jones Four-Pocket Poly Binders</t>
  </si>
  <si>
    <t>Sterilite Show Offs Storage Containers</t>
  </si>
  <si>
    <t>Jack Lebron</t>
  </si>
  <si>
    <t>Alliance Super-Size Bands, Assorted Sizes</t>
  </si>
  <si>
    <t>BlueLounge Milo Smartphone Stand, White/Metallic</t>
  </si>
  <si>
    <t>Aaron Hawkins</t>
  </si>
  <si>
    <t>Logitech G500s Laser Gaming Mouse with Adjustable Weight Tuning</t>
  </si>
  <si>
    <t>12/23/2014</t>
  </si>
  <si>
    <t>Letter or Legal Size Expandable Poly String Tie Envelopes</t>
  </si>
  <si>
    <t>Tennsco Commercial Shelving</t>
  </si>
  <si>
    <t>Cindy Chapman</t>
  </si>
  <si>
    <t>Samsung HM1900 Bluetooth Headset</t>
  </si>
  <si>
    <t>Sarah Jordon</t>
  </si>
  <si>
    <t>Cisco SPA112 2 Port Phone Adapter</t>
  </si>
  <si>
    <t>Bruce Geld</t>
  </si>
  <si>
    <t>12/14/2016</t>
  </si>
  <si>
    <t>Laurel Beltran</t>
  </si>
  <si>
    <t>Candace McMahon</t>
  </si>
  <si>
    <t>Xerox 221</t>
  </si>
  <si>
    <t>Evan Henry</t>
  </si>
  <si>
    <t>Plantronics Encore H101 Dual Earpieces Headset</t>
  </si>
  <si>
    <t>2/16/2015</t>
  </si>
  <si>
    <t>2/25/2017</t>
  </si>
  <si>
    <t>Disposable Triple-Filter Dust Bags</t>
  </si>
  <si>
    <t>Memorex Mini Travel Drive 64 GB USB 2.0 Flash Drive</t>
  </si>
  <si>
    <t>10/30/2016</t>
  </si>
  <si>
    <t>5/30/2015</t>
  </si>
  <si>
    <t>Motorola Droid Maxx</t>
  </si>
  <si>
    <t>Tony Sayre</t>
  </si>
  <si>
    <t>Xerox 1893</t>
  </si>
  <si>
    <t>Kensington Expert Mouse Optical USB Trackball for PC or Mac</t>
  </si>
  <si>
    <t>Patrick Ryan</t>
  </si>
  <si>
    <t>Tenex Chairmats For Use with Hard Floors</t>
  </si>
  <si>
    <t>Acco Flexible ACCOHIDE Square Ring Data Binder, Dark Blue, 11 1/2" X 14" 7/8"</t>
  </si>
  <si>
    <t>Fellowes Command Center 5-outlet power strip</t>
  </si>
  <si>
    <t>8/13/2015</t>
  </si>
  <si>
    <t>Rush Hierlooms Collection 1" Thick Stackable Bookcases</t>
  </si>
  <si>
    <t>Barricks 18" x 48" Non-Folding Utility Table with Bottom Storage Shelf</t>
  </si>
  <si>
    <t>Liz Carlisle</t>
  </si>
  <si>
    <t>Cindy Schnelling</t>
  </si>
  <si>
    <t>Tenex Personal Filing Tote With Secure Closure Lid, Black/Frost</t>
  </si>
  <si>
    <t>Xerox 1900</t>
  </si>
  <si>
    <t>OIC Stacking Trays</t>
  </si>
  <si>
    <t>Global Armless Task Chair, Royal Blue</t>
  </si>
  <si>
    <t>3/30/2017</t>
  </si>
  <si>
    <t>Dave Hallsten</t>
  </si>
  <si>
    <t>Eldon Executive Woodline II Cherry Finish Desk Accessories</t>
  </si>
  <si>
    <t>9/13/2015</t>
  </si>
  <si>
    <t>Message Book, Wirebound, Four 5 1/2" X 4" Forms/Pg., 200 Dupl. Sets/Book</t>
  </si>
  <si>
    <t>Tenex Traditional Chairmats for Hard Floors, Average Lip, 36" x 48"</t>
  </si>
  <si>
    <t>Jack O'Briant</t>
  </si>
  <si>
    <t>Anna Häberlin</t>
  </si>
  <si>
    <t>Polycom VoiceStation 500 Conference phone</t>
  </si>
  <si>
    <t>7/14/2015</t>
  </si>
  <si>
    <t>Binney &amp; Smith inkTank Desk Highlighter, Chisel Tip, Yellow, 12/Box</t>
  </si>
  <si>
    <t>Speediset Carbonless Redi-Letter 7" x 8 1/2"</t>
  </si>
  <si>
    <t>Heather Jas</t>
  </si>
  <si>
    <t>Mark Hamilton</t>
  </si>
  <si>
    <t>Xerox 204</t>
  </si>
  <si>
    <t>KeyTronic E03601U1 - Keyboard - Beige</t>
  </si>
  <si>
    <t>Russell D'Ascenzo</t>
  </si>
  <si>
    <t>6/20/2014</t>
  </si>
  <si>
    <t>Sam Craven</t>
  </si>
  <si>
    <t>Hon Metal Bookcases, Black</t>
  </si>
  <si>
    <t>Stephanie Ulpright</t>
  </si>
  <si>
    <t>Avery Metallic Poly Binders</t>
  </si>
  <si>
    <t>Acco 6 Outlet Guardian Premium Plus Surge Suppressor</t>
  </si>
  <si>
    <t>Smead Alpha-Z Color-Coded Name Labels First Letter Starter Set</t>
  </si>
  <si>
    <t>Ooma Telo VoIP Home Phone System</t>
  </si>
  <si>
    <t>Telephone Message Books with Fax/Mobile Section, 4 1/4" x 6"</t>
  </si>
  <si>
    <t>Xerox 200</t>
  </si>
  <si>
    <t>Okidata MB491 Multifunction Printer</t>
  </si>
  <si>
    <t>Fred Chung</t>
  </si>
  <si>
    <t>Akro Stacking Bins</t>
  </si>
  <si>
    <t>Rosewill 107 Normal Keys USB Wired Standard Keyboard</t>
  </si>
  <si>
    <t>Nick Crebassa</t>
  </si>
  <si>
    <t>PayAnywhere Card Reader</t>
  </si>
  <si>
    <t>Darren Budd</t>
  </si>
  <si>
    <t>Xerox 1882</t>
  </si>
  <si>
    <t>Memorex 25GB 6X Branded Blu-Ray Recordable Disc, 30/Pack</t>
  </si>
  <si>
    <t>Boston Home &amp; Office Model 2000 Electric Pencil Sharpeners</t>
  </si>
  <si>
    <t>Newell 31</t>
  </si>
  <si>
    <t>Premium Transparent Presentation Covers, No Pattern/Clear, 8 1/2" x 11"</t>
  </si>
  <si>
    <t>Maxell Pro 80 Minute CD-R, 10/Pack</t>
  </si>
  <si>
    <t>Imation Swivel Flash Drive USB flash drive - 8 GB</t>
  </si>
  <si>
    <t>Acrylic Self-Standing Desk Frames</t>
  </si>
  <si>
    <t>Elite 5" Scissors</t>
  </si>
  <si>
    <t>Acco Side-Punched Conventional Columnar Pads</t>
  </si>
  <si>
    <t>Avery 492</t>
  </si>
  <si>
    <t>Adjustable Personal File Tote</t>
  </si>
  <si>
    <t>Avery 05222 Permanent Self-Adhesive File Folder Labels for Typewriters, on Rolls, White, 250/Roll</t>
  </si>
  <si>
    <t>Prismacolor Color Pencil Set</t>
  </si>
  <si>
    <t>Eldon Regeneration Recycled Desk Accessories, Black</t>
  </si>
  <si>
    <t>Maureen Fritzler</t>
  </si>
  <si>
    <t>6/19/2015</t>
  </si>
  <si>
    <t>Verbatim Slim CD and DVD Storage Cases, 50/Pack</t>
  </si>
  <si>
    <t>Samsung Galaxy S4 Active</t>
  </si>
  <si>
    <t>Vivian Mathis</t>
  </si>
  <si>
    <t>Office Star - Mid Back Dual function Ergonomic High Back Chair with 2-Way Adjustable Arms</t>
  </si>
  <si>
    <t>Acco Banker's Clasps, 5 3/4"-Long</t>
  </si>
  <si>
    <t>Logitech Wireless Anywhere Mouse MX for PC and Mac</t>
  </si>
  <si>
    <t>2/16/2017</t>
  </si>
  <si>
    <t>Acco Economy Flexible Poly Round Ring Binder</t>
  </si>
  <si>
    <t>2/27/2015</t>
  </si>
  <si>
    <t>Ed Jacobs</t>
  </si>
  <si>
    <t>Balt Split Level Computer Training Table</t>
  </si>
  <si>
    <t>Dixon Ticonderoga Core-Lock Colored Pencils</t>
  </si>
  <si>
    <t>Nathan Cano</t>
  </si>
  <si>
    <t>Office Star - Contemporary Task Swivel chair with Loop Arms, Charcoal</t>
  </si>
  <si>
    <t>Avery 515</t>
  </si>
  <si>
    <t>TOPS 4 x 6 Fluorescent Color Memo Sheets, 500 Sheets per Pack</t>
  </si>
  <si>
    <t>Executive Impressions 13" Chairman Wall Clock</t>
  </si>
  <si>
    <t>4/15/2014</t>
  </si>
  <si>
    <t>Katrina Edelman</t>
  </si>
  <si>
    <t>Ibico EB-19 Dual Function Manual Binding System</t>
  </si>
  <si>
    <t>Duane Huffman</t>
  </si>
  <si>
    <t>10/28/2017</t>
  </si>
  <si>
    <t>Logitech G430 Surround Sound Gaming Headset with Dolby 7.1 Technology</t>
  </si>
  <si>
    <t>2/17/2017</t>
  </si>
  <si>
    <t>GBC Poly Designer Binding Covers</t>
  </si>
  <si>
    <t>Economy #2 Pencils</t>
  </si>
  <si>
    <t>Eldon "L" Workstation Diamond Chairmat</t>
  </si>
  <si>
    <t>10/23/2015</t>
  </si>
  <si>
    <t>6/15/2015</t>
  </si>
  <si>
    <t>DAX Copper Panel Document Frame, 5 x 7 Size</t>
  </si>
  <si>
    <t>1/29/2017</t>
  </si>
  <si>
    <t>Maxell 74 Minute CDR, 10/Pack</t>
  </si>
  <si>
    <t>Micro Innovations Wireless Classic Keyboard with Mouse</t>
  </si>
  <si>
    <t>Bush Heritage Pine Collection 5-Shelf Bookcase, Albany Pine Finish, *Special Order</t>
  </si>
  <si>
    <t>LG G3</t>
  </si>
  <si>
    <t>Riverleaf Stik-Withit Designer Note Cubes</t>
  </si>
  <si>
    <t>6/30/2016</t>
  </si>
  <si>
    <t>Maureen Gnade</t>
  </si>
  <si>
    <t>Newell 348</t>
  </si>
  <si>
    <t>Susan Pistek</t>
  </si>
  <si>
    <t>Eldon Expressions Wood and Plastic Desk Accessories, Oak</t>
  </si>
  <si>
    <t>Black &amp; Decker Filter for Double Action Dustbuster Cordless Vac BLDV7210</t>
  </si>
  <si>
    <t>Charles Sheldon</t>
  </si>
  <si>
    <t>Dana Kaydos</t>
  </si>
  <si>
    <t>WD My Passport Ultra 1TB Portable External Hard Drive</t>
  </si>
  <si>
    <t>Canon PC170 Desktop Personal Copier</t>
  </si>
  <si>
    <t>Khloe Miller</t>
  </si>
  <si>
    <t>Memorex 25GB 6X Branded Blu-Ray Recordable Disc, 15/Pack</t>
  </si>
  <si>
    <t>Anna Andreadi</t>
  </si>
  <si>
    <t>Jackery Bar Premium Fast-charging Portable Charger</t>
  </si>
  <si>
    <t>Permanent Self-Adhesive File Folder Labels for Typewriters, 1 1/8 x 3 1/2, White</t>
  </si>
  <si>
    <t>9/20/2015</t>
  </si>
  <si>
    <t>Cisco IP Phone 7961G VoIP phone - Dark gray</t>
  </si>
  <si>
    <t>Ibico EPK-21 Electric Binding System</t>
  </si>
  <si>
    <t>Holmes Visible Mist Ultrasonic Humidifier with 2.3-Gallon Output per Day, Replacement Filter</t>
  </si>
  <si>
    <t>Dorothy Dickinson</t>
  </si>
  <si>
    <t>Kingston Digital DataTraveler 8GB USB 2.0</t>
  </si>
  <si>
    <t>7/27/2017</t>
  </si>
  <si>
    <t>HP Designjet T520 Inkjet Large Format Printer - 24" Color</t>
  </si>
  <si>
    <t>5/19/2014</t>
  </si>
  <si>
    <t>Amy Hunt</t>
  </si>
  <si>
    <t>3/14/2015</t>
  </si>
  <si>
    <t>Tracy Poddar</t>
  </si>
  <si>
    <t>Global Enterprise Series Seating High-Back Swivel/Tilt Chairs</t>
  </si>
  <si>
    <t>Eileen Kiefer</t>
  </si>
  <si>
    <t>Cyra Reiten</t>
  </si>
  <si>
    <t>O'Sullivan 5-Shelf Heavy-Duty Bookcases</t>
  </si>
  <si>
    <t>Hammermill Color Copier Paper (28Lb. and 96 Bright)</t>
  </si>
  <si>
    <t>Angele Hood</t>
  </si>
  <si>
    <t>Xerox 1933</t>
  </si>
  <si>
    <t>Green Canvas Binder for 8-1/2" x 14" Sheets</t>
  </si>
  <si>
    <t>Safco Value Mate Steel Bookcase, Baked Enamel Finish on Steel, Black</t>
  </si>
  <si>
    <t>Xerox 1975</t>
  </si>
  <si>
    <t>Neil Französisch</t>
  </si>
  <si>
    <t>Newell 323</t>
  </si>
  <si>
    <t>Bill Shonely</t>
  </si>
  <si>
    <t>Mead 1st Gear 2" Zipper Binder, Asst. Colors</t>
  </si>
  <si>
    <t>Avery 487</t>
  </si>
  <si>
    <t>8/22/2014</t>
  </si>
  <si>
    <t>DAX Wood Document Frame.</t>
  </si>
  <si>
    <t>2/14/2015</t>
  </si>
  <si>
    <t>1/25/2016</t>
  </si>
  <si>
    <t>Xerox 208</t>
  </si>
  <si>
    <t>Roger Demir</t>
  </si>
  <si>
    <t>Memorex Micro Travel Drive 4 GB</t>
  </si>
  <si>
    <t>#6 3/4 Gummed Flap White Envelopes</t>
  </si>
  <si>
    <t>DAX Two-Tone Silver Metal Document Frame</t>
  </si>
  <si>
    <t>Alex Grayson</t>
  </si>
  <si>
    <t>Avery 503</t>
  </si>
  <si>
    <t>Holmes 99% HEPA Air Purifier</t>
  </si>
  <si>
    <t>4/30/2014</t>
  </si>
  <si>
    <t>10/25/2015</t>
  </si>
  <si>
    <t>SANFORD Major Accent Highlighters</t>
  </si>
  <si>
    <t>Hon 4-Shelf Metal Bookcases</t>
  </si>
  <si>
    <t>Global Adaptabilities Conference Tables</t>
  </si>
  <si>
    <t>Newell 316</t>
  </si>
  <si>
    <t>Fellowes Staxonsteel Drawer Files</t>
  </si>
  <si>
    <t>Avery Hi-Liter Smear-Safe Highlighters</t>
  </si>
  <si>
    <t>Inter-Office Recycled Envelopes, Brown Kraft, Button-String,10" x 13" , 100/Box</t>
  </si>
  <si>
    <t>Riverside Furniture Stanwyck Manor Table Series</t>
  </si>
  <si>
    <t>Fellowes Recycled Storage Drawers</t>
  </si>
  <si>
    <t>3/28/2014</t>
  </si>
  <si>
    <t>Xerox 1892</t>
  </si>
  <si>
    <t>Seidio BD2-HK3IPH5-BK DILEX Case and Holster Combo for Apple iPhone 5/5s - Black</t>
  </si>
  <si>
    <t>Vivek Sundaresam</t>
  </si>
  <si>
    <t>TOPS "Important Message" Pads, Canary, 4-1/4 x 5-1/2, 50 Sheets per Pad</t>
  </si>
  <si>
    <t>2/20/2014</t>
  </si>
  <si>
    <t>Southworth 25% Cotton Premium Laser Paper and Envelopes</t>
  </si>
  <si>
    <t>Jensen SMPS-640 - speaker phone</t>
  </si>
  <si>
    <t>Master Caster Door Stop, Large Brown</t>
  </si>
  <si>
    <t>4/19/2014</t>
  </si>
  <si>
    <t>Fellowes Desktop Hanging File Manager</t>
  </si>
  <si>
    <t>Nu-Dell Oak Frame</t>
  </si>
  <si>
    <t>Tom Stivers</t>
  </si>
  <si>
    <t>Hoover Replacement Belts For Soft Guard &amp; Commercial Ltweight Upright Vacs, 2/Pk</t>
  </si>
  <si>
    <t>5/26/2015</t>
  </si>
  <si>
    <t>Xerox 1937</t>
  </si>
  <si>
    <t>DAX Cubicle Frames, 8-1/2 x 11</t>
  </si>
  <si>
    <t>Sauder Camden County Collection Library</t>
  </si>
  <si>
    <t>9/16/2016</t>
  </si>
  <si>
    <t>Canon PC-428 Personal Copier</t>
  </si>
  <si>
    <t>Office Star - Ergonomic Mid Back Chair with 2-Way Adjustable Arms</t>
  </si>
  <si>
    <t>Dennis Bolton</t>
  </si>
  <si>
    <t>Xerox 1917</t>
  </si>
  <si>
    <t>SanDisk Cruzer 16 GB USB Flash Drive</t>
  </si>
  <si>
    <t>Imation 30456 USB Flash Drive 8GB</t>
  </si>
  <si>
    <t>Panasonic KX TS208W Corded phone</t>
  </si>
  <si>
    <t>12/22/2014</t>
  </si>
  <si>
    <t>Nick Radford</t>
  </si>
  <si>
    <t>SanDisk Cruzer 4 GB USB Flash Drive</t>
  </si>
  <si>
    <t>AmazonBasics 3-Button USB Wired Mouse</t>
  </si>
  <si>
    <t>Tyvek Interoffice Envelopes, 9 1/2" x 12 1/2", 100/Box</t>
  </si>
  <si>
    <t>Cari Schnelling</t>
  </si>
  <si>
    <t>Kleencut Forged Office Shears by Acme United Corporation</t>
  </si>
  <si>
    <t>Avery Triangle Shaped Sheet Lifters, Black, 2/Pack</t>
  </si>
  <si>
    <t>Monica Federle</t>
  </si>
  <si>
    <t>Dixon Ticonderoga Pencils</t>
  </si>
  <si>
    <t>DAX Contemporary Wood Frame with Silver Metal Mat, Desktop, 11 x 14 Size</t>
  </si>
  <si>
    <t>Liz Willingham</t>
  </si>
  <si>
    <t>Texas Instrument TI-15 Fraction Calculator</t>
  </si>
  <si>
    <t>1/13/2015</t>
  </si>
  <si>
    <t>Deflect-o EconoMat Nonstudded, No Bevel Mat</t>
  </si>
  <si>
    <t>OIC Thumb-Tacks</t>
  </si>
  <si>
    <t>Sanford EarthWrite Recycled Pencils, Medium Soft, #2</t>
  </si>
  <si>
    <t>10/17/2014</t>
  </si>
  <si>
    <t>10/14/2014</t>
  </si>
  <si>
    <t>Hon Every-Day Chair Series Swivel Task Chairs</t>
  </si>
  <si>
    <t>Alex Russell</t>
  </si>
  <si>
    <t>Karen Seio</t>
  </si>
  <si>
    <t>SmartStand Mobile Device Holder, Assorted Colors</t>
  </si>
  <si>
    <t>Aaron Bergman</t>
  </si>
  <si>
    <t>Euro Pro Shark Stick Mini Vacuum</t>
  </si>
  <si>
    <t>1/31/2016</t>
  </si>
  <si>
    <t>Astroparche Fine Business Paper</t>
  </si>
  <si>
    <t>Zebra ZM400 Thermal Label Printer</t>
  </si>
  <si>
    <t>Lisa Ryan</t>
  </si>
  <si>
    <t>Letter Size File</t>
  </si>
  <si>
    <t>Samsung Galaxy S4</t>
  </si>
  <si>
    <t>Shahid Shariari</t>
  </si>
  <si>
    <t>Office Star Flex Back Scooter Chair with Aluminum Finish Frame</t>
  </si>
  <si>
    <t>Samsung Convoy 3</t>
  </si>
  <si>
    <t>Eldon Imàge Series Desk Accessories, Clear</t>
  </si>
  <si>
    <t>Avery 491</t>
  </si>
  <si>
    <t>Xerox 209</t>
  </si>
  <si>
    <t>Peel &amp; Seel Recycled Catalog Envelopes, Brown</t>
  </si>
  <si>
    <t>Avanti 1.7 Cu. Ft. Refrigerator</t>
  </si>
  <si>
    <t>Acme Design Stainless Steel Bent Scissors</t>
  </si>
  <si>
    <t>8/14/2016</t>
  </si>
  <si>
    <t>Avery 495</t>
  </si>
  <si>
    <t>iOttie HLCRIO102 Car Mount</t>
  </si>
  <si>
    <t>Avery Hi-Liter GlideStik Fluorescent Highlighter, Yellow Ink</t>
  </si>
  <si>
    <t>Eldon 500 Class Desk Accessories</t>
  </si>
  <si>
    <t>Jason Klamczynski</t>
  </si>
  <si>
    <t>EcoTones Memo Sheets</t>
  </si>
  <si>
    <t>1/21/2014</t>
  </si>
  <si>
    <t>Xerox 1906</t>
  </si>
  <si>
    <t>Don Miller</t>
  </si>
  <si>
    <t>Muhammed Lee</t>
  </si>
  <si>
    <t>Kingston Digital DataTraveler 64GB USB 2.0</t>
  </si>
  <si>
    <t>GBC VeloBinder Strips</t>
  </si>
  <si>
    <t>Xerox 1963</t>
  </si>
  <si>
    <t>Logitech Z-906 Speaker sys - home theater - 5.1-CH</t>
  </si>
  <si>
    <t>Marc Harrigan</t>
  </si>
  <si>
    <t>Frank Carlisle</t>
  </si>
  <si>
    <t>Sanyo Counter Height Refrigerator with Crisper, 3.6 Cubic Foot, Stainless Steel/Black</t>
  </si>
  <si>
    <t>Luxo Adjustable Task Clamp Lamp</t>
  </si>
  <si>
    <t>Unpadded Memo Slips</t>
  </si>
  <si>
    <t>Barrel Sharpener</t>
  </si>
  <si>
    <t>4/28/2017</t>
  </si>
  <si>
    <t>2/14/2014</t>
  </si>
  <si>
    <t>Thea Hudgings</t>
  </si>
  <si>
    <t>SAFCO PlanMaster Boards, 60w x 37-1/2d, White Melamine</t>
  </si>
  <si>
    <t>HP Officejet Pro 8600 e-All-In-One Printer, Copier, Scanner, Fax</t>
  </si>
  <si>
    <t>Black Print Carbonless 8 1/2" x 8 1/4" Rapid Memo Book</t>
  </si>
  <si>
    <t>Lunatik TT5L-002 Taktik Strike Impact Protection System for iPhone 5</t>
  </si>
  <si>
    <t>Iris 3-Drawer Stacking Bin, Black</t>
  </si>
  <si>
    <t>Sarah Brown</t>
  </si>
  <si>
    <t>Hunt Boston Vacuum Mount KS Pencil Sharpener</t>
  </si>
  <si>
    <t>Barry Gonzalez</t>
  </si>
  <si>
    <t>Hon Comfortask Task/Swivel Chairs</t>
  </si>
  <si>
    <t>2/15/2014</t>
  </si>
  <si>
    <t>Career Cubicle Clock, 8 1/4", Black</t>
  </si>
  <si>
    <t>5/15/2015</t>
  </si>
  <si>
    <t>Boston 16765 Mini Stand Up Battery Pencil Sharpener</t>
  </si>
  <si>
    <t>5/28/2014</t>
  </si>
  <si>
    <t>7/28/2016</t>
  </si>
  <si>
    <t>Avery 475</t>
  </si>
  <si>
    <t>Barry Weirich</t>
  </si>
  <si>
    <t>Tenex B1-RE Series Chair Mats for Low Pile Carpets</t>
  </si>
  <si>
    <t>7/18/2015</t>
  </si>
  <si>
    <t>Doug O'Connell</t>
  </si>
  <si>
    <t>Griffin GC17055 Auxiliary Audio Cable</t>
  </si>
  <si>
    <t>Rogers Profile Extra Capacity Storage Tub</t>
  </si>
  <si>
    <t>RCA ViSYS 25825 Wireless digital phone</t>
  </si>
  <si>
    <t>Xerox 1914</t>
  </si>
  <si>
    <t>Barry Pond</t>
  </si>
  <si>
    <t>Acme Titanium Bonded Scissors</t>
  </si>
  <si>
    <t>5/25/2017</t>
  </si>
  <si>
    <t>Ibico Recycled Linen-Style Covers</t>
  </si>
  <si>
    <t>Xerox 207</t>
  </si>
  <si>
    <t>Trudy Schmidt</t>
  </si>
  <si>
    <t>Okidata B400 Printer</t>
  </si>
  <si>
    <t>Xerox 1947</t>
  </si>
  <si>
    <t>Evan Minnotte</t>
  </si>
  <si>
    <t>Sony Micro Vault Click 4 GB USB 2.0 Flash Drive</t>
  </si>
  <si>
    <t>Mark Haberlin</t>
  </si>
  <si>
    <t>Xerox 193</t>
  </si>
  <si>
    <t>iOttie XL Car Mount</t>
  </si>
  <si>
    <t>Hoover Commercial Lightweight Upright Vacuum with E-Z Empty Dirt Cup</t>
  </si>
  <si>
    <t>5/18/2015</t>
  </si>
  <si>
    <t>Contemporary Borderless Frame</t>
  </si>
  <si>
    <t>3D Systems Cube Printer, 2nd Generation, White</t>
  </si>
  <si>
    <t>Panasonic KX - TS880B Telephone</t>
  </si>
  <si>
    <t>Acco Recycled 2" Capacity Laser Printer Hanging Data Binders</t>
  </si>
  <si>
    <t>Xerox 1936</t>
  </si>
  <si>
    <t>Avery Legal 4-Ring Binder</t>
  </si>
  <si>
    <t>Avaya 5410 Digital phone</t>
  </si>
  <si>
    <t>Shirley Schmidt</t>
  </si>
  <si>
    <t>2/27/2014</t>
  </si>
  <si>
    <t>Wirebound Voice Message Log Book</t>
  </si>
  <si>
    <t>Victoria Pisteka</t>
  </si>
  <si>
    <t>9/16/2015</t>
  </si>
  <si>
    <t>Tensor Brushed Steel Torchiere Floor Lamp</t>
  </si>
  <si>
    <t>Ricoh - Ink Collector Unit for GX3000 Series Printers</t>
  </si>
  <si>
    <t>Wirebound Message Forms, Four 2 3/4 x 5 Forms per Page, Pink Paper</t>
  </si>
  <si>
    <t>6/28/2015</t>
  </si>
  <si>
    <t>Avery 479</t>
  </si>
  <si>
    <t>5/31/2014</t>
  </si>
  <si>
    <t>Okidata C610n Printer</t>
  </si>
  <si>
    <t>Xerox 229</t>
  </si>
  <si>
    <t>Acme Galleria Hot Forged Steel Scissors with Colored Handles</t>
  </si>
  <si>
    <t>Ionia McGrath</t>
  </si>
  <si>
    <t>Nu-Dell EZ-Mount Plastic Wall Frames</t>
  </si>
  <si>
    <t>Tensor Track Tree Floor Lamp</t>
  </si>
  <si>
    <t>Hon Olson Stacker Chairs</t>
  </si>
  <si>
    <t>Belkin 7-Outlet SurgeMaster Home Series</t>
  </si>
  <si>
    <t>Griffin GC36547 PowerJolt SE Lightning Charger</t>
  </si>
  <si>
    <t>Deflect-o DuraMat Antistatic Studded Beveled Mat for Medium Pile Carpeting</t>
  </si>
  <si>
    <t>Motorola L703CM</t>
  </si>
  <si>
    <t>7/20/2016</t>
  </si>
  <si>
    <t>Hoover Commercial Lightweight Upright Vacuum</t>
  </si>
  <si>
    <t>Xerox 1976</t>
  </si>
  <si>
    <t>Black Avery Memo-Size 3-Ring Binder, 5 1/2" x 8 1/2"</t>
  </si>
  <si>
    <t>Xerox 1983</t>
  </si>
  <si>
    <t>2/14/2016</t>
  </si>
  <si>
    <t>Tenex Chairmat w/ Average Lip, 45" x 53"</t>
  </si>
  <si>
    <t>Brother MFC-9340CDW LED All-In-One Printer, Copier Scanner</t>
  </si>
  <si>
    <t>Avery 484</t>
  </si>
  <si>
    <t>1/14/2016</t>
  </si>
  <si>
    <t>Electrix Fluorescent Magnifier Lamps &amp; Weighted Base</t>
  </si>
  <si>
    <t>3/29/2014</t>
  </si>
  <si>
    <t>10/16/2016</t>
  </si>
  <si>
    <t>Space Solutions Industrial Galvanized Steel Shelving.</t>
  </si>
  <si>
    <t>Craig Molinari</t>
  </si>
  <si>
    <t>Plantronics Single Ear Headset</t>
  </si>
  <si>
    <t>2/22/2014</t>
  </si>
  <si>
    <t>Zebra GK420t Direct Thermal/Thermal Transfer Printer</t>
  </si>
  <si>
    <t>Fred Wasserman</t>
  </si>
  <si>
    <t>Tensor "Hersey Kiss" Styled Floor Lamp</t>
  </si>
  <si>
    <t>Memorex Mini Travel Drive 32 GB USB 2.0 Flash Drive</t>
  </si>
  <si>
    <t>Hoover Commercial SteamVac</t>
  </si>
  <si>
    <t>Xerox 1938</t>
  </si>
  <si>
    <t>NETGEAR RangeMax WNR1000 Wireless Router</t>
  </si>
  <si>
    <t>1/28/2015</t>
  </si>
  <si>
    <t>Xerox 1899</t>
  </si>
  <si>
    <t>Hewlett-Packard Desktjet 6988DT Refurbished Printer</t>
  </si>
  <si>
    <t>Bush Westfield Collection Bookcases, Dark Cherry Finish, Fully Assembled</t>
  </si>
  <si>
    <t>Executive Impressions 16-1/2" Circular Wall Clock</t>
  </si>
  <si>
    <t>Lindsay Castell</t>
  </si>
  <si>
    <t>Okidata MB760 Printer</t>
  </si>
  <si>
    <t>5/22/2015</t>
  </si>
  <si>
    <t>Dixon Ticonderoga Core-Lock Colored Pencils, 48-Color Set</t>
  </si>
  <si>
    <t>Harold Engle</t>
  </si>
  <si>
    <t>Executive Impressions 14" Contract Wall Clock with Quartz Movement</t>
  </si>
  <si>
    <t>Sterling Rubber Bands by Alliance</t>
  </si>
  <si>
    <t>Kensington 6 Outlet SmartSocket Surge Protector</t>
  </si>
  <si>
    <t>Maxell CD-R Discs</t>
  </si>
  <si>
    <t>Avery Hi-Liter Pen Style Six-Color Fluorescent Set</t>
  </si>
  <si>
    <t>Acme Design Line 8" Stainless Steel Bent Scissors w/Champagne Handles, 3-1/8" Cut</t>
  </si>
  <si>
    <t>Star Micronics TSP100 TSP143LAN Receipt Printer</t>
  </si>
  <si>
    <t>Brendan Dodson</t>
  </si>
  <si>
    <t>Harold Dahlen</t>
  </si>
  <si>
    <t>Carl Jackson</t>
  </si>
  <si>
    <t>Xerox 1955</t>
  </si>
  <si>
    <t>Snap-A-Way Black Print Carbonless Speed Message, No Reply Area, Duplicate</t>
  </si>
  <si>
    <t>1/4 Fold Party Design Invitations &amp; White Envelopes, 24 8-1/2" X 11" Cards, 25 Env./Pack</t>
  </si>
  <si>
    <t>Hewlett-Packard Deskjet F4180 All-in-One Color Ink-jet - Printer / copier / scanner</t>
  </si>
  <si>
    <t>Lexmark 20R1285 X6650 Wireless All-in-One Printer</t>
  </si>
  <si>
    <t>1/26/2015</t>
  </si>
  <si>
    <t>Nokia Lumia 1020</t>
  </si>
  <si>
    <t>Acme Serrated Blade Letter Opener</t>
  </si>
  <si>
    <t>Okidata B401 Printer</t>
  </si>
  <si>
    <t>Xerox Blank Computer Paper</t>
  </si>
  <si>
    <t>4009 Highlighters</t>
  </si>
  <si>
    <t>1/23/2014</t>
  </si>
  <si>
    <t>Global Enterprise Series Seating Low-Back Swivel/Tilt Chairs</t>
  </si>
  <si>
    <t>Roy Skaria</t>
  </si>
  <si>
    <t>Self-Adhesive Address Labels for Typewriters with Dispenser Box</t>
  </si>
  <si>
    <t>Office Star - Task Chair with Contemporary Loop Arms</t>
  </si>
  <si>
    <t>Grip Seal Envelopes</t>
  </si>
  <si>
    <t>Sung Chung</t>
  </si>
  <si>
    <t>10/27/2014</t>
  </si>
  <si>
    <t>Ricardo Emerson</t>
  </si>
  <si>
    <t>Penpower WorldCard Pro Card Scanner</t>
  </si>
  <si>
    <t>Sony 8GB Class 10 Micro SDHC R40 Memory Card</t>
  </si>
  <si>
    <t>2/17/2014</t>
  </si>
  <si>
    <t>RCA ViSYS 25425RE1 Corded phone</t>
  </si>
  <si>
    <t>Susan MacKendrick</t>
  </si>
  <si>
    <t>Cisco 8961 IP Phone Charcoal</t>
  </si>
  <si>
    <t>Eureka Hand Vacuum, Bagless</t>
  </si>
  <si>
    <t>LG G2</t>
  </si>
  <si>
    <t>6/18/2014</t>
  </si>
  <si>
    <t>Eldon Jumbo ProFile Portable File Boxes Graphite/Black</t>
  </si>
  <si>
    <t>Grand Total</t>
  </si>
  <si>
    <t>Unit Sold</t>
  </si>
  <si>
    <t>Total Profit</t>
  </si>
  <si>
    <t>Units Sold</t>
  </si>
  <si>
    <t>Average sales</t>
  </si>
  <si>
    <t>Row Labels</t>
  </si>
  <si>
    <t>Sum of Sales</t>
  </si>
  <si>
    <t>Sum of Units Sold</t>
  </si>
  <si>
    <t>GRAND SALES</t>
  </si>
  <si>
    <t>Units sold:</t>
  </si>
  <si>
    <t>total profit</t>
  </si>
  <si>
    <t>Details for Sum of Sales - Region: South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</si>
</sst>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14" fontId="0" fillId="0" borderId="0" xfId="0" applyNumberFormat="1"/>
    <xf numFmtId="0" fontId="16" fillId="0" borderId="0" xfId="0" applyFont="1"/>
    <xf numFmtId="0" fontId="0" fillId="34" borderId="11" xfId="0" applyFill="1" applyBorder="1"/>
    <xf numFmtId="0" fontId="0" fillId="0" borderId="11" xfId="0" applyBorder="1"/>
    <xf numFmtId="0" fontId="0" fillId="34" borderId="10" xfId="0" applyFill="1" applyBorder="1"/>
    <xf numFmtId="0" fontId="0" fillId="0" borderId="10" xfId="0" applyBorder="1"/>
    <xf numFmtId="0" fontId="0" fillId="0" borderId="12" xfId="0" applyBorder="1"/>
    <xf numFmtId="0" fontId="0" fillId="34" borderId="12" xfId="0" applyFill="1" applyBorder="1"/>
    <xf numFmtId="0" fontId="0" fillId="0" borderId="0" xfId="0" pivotButton="1"/>
    <xf numFmtId="0" fontId="0" fillId="0" borderId="0" xfId="0" applyAlignment="1">
      <alignment horizontal="left"/>
    </xf>
    <xf numFmtId="0" fontId="13" fillId="33" borderId="10" xfId="0" applyFont="1" applyFill="1" applyBorder="1"/>
    <xf numFmtId="0" fontId="13" fillId="33" borderId="11" xfId="0" applyFont="1" applyFill="1" applyBorder="1"/>
    <xf numFmtId="0" fontId="13" fillId="33" borderId="12" xfId="0" applyFont="1" applyFill="1" applyBorder="1"/>
    <xf numFmtId="14" fontId="0" fillId="34" borderId="10" xfId="0" applyNumberFormat="1" applyFill="1" applyBorder="1"/>
    <xf numFmtId="14" fontId="0" fillId="0" borderId="10" xfId="0" applyNumberFormat="1" applyBorder="1"/>
    <xf numFmtId="0" fontId="13" fillId="33" borderId="0" xfId="0" applyFont="1" applyFill="1"/>
    <xf numFmtId="164" fontId="0" fillId="0" borderId="0" xfId="0" applyNumberFormat="1"/>
    <xf numFmtId="0" fontId="0" fillId="0" borderId="0" xfId="0" applyAlignment="1">
      <alignment horizontal="left" indent="1"/>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[DASHBORAD OF SALES.xlsx]Pivot Table and Chart!PivotTable24</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388888888888889"/>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111111111111111"/>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8.8888888888888934E-2"/>
              <c:y val="0.101851851851851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0277777777777777"/>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 and Chart'!$B$3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0C2E-4626-BE32-297A917D607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0C2E-4626-BE32-297A917D607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0C2E-4626-BE32-297A917D607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0C2E-4626-BE32-297A917D6078}"/>
              </c:ext>
            </c:extLst>
          </c:dPt>
          <c:dLbls>
            <c:dLbl>
              <c:idx val="0"/>
              <c:layout>
                <c:manualLayout>
                  <c:x val="0.1111111111111111"/>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C2E-4626-BE32-297A917D6078}"/>
                </c:ext>
              </c:extLst>
            </c:dLbl>
            <c:dLbl>
              <c:idx val="1"/>
              <c:layout>
                <c:manualLayout>
                  <c:x val="0.1388888888888889"/>
                  <c:y val="1.85185185185184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C2E-4626-BE32-297A917D6078}"/>
                </c:ext>
              </c:extLst>
            </c:dLbl>
            <c:dLbl>
              <c:idx val="2"/>
              <c:layout>
                <c:manualLayout>
                  <c:x val="-8.8888888888888934E-2"/>
                  <c:y val="0.101851851851851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C2E-4626-BE32-297A917D6078}"/>
                </c:ext>
              </c:extLst>
            </c:dLbl>
            <c:dLbl>
              <c:idx val="3"/>
              <c:layout>
                <c:manualLayout>
                  <c:x val="-0.10277777777777777"/>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C2E-4626-BE32-297A917D607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and Chart'!$A$4:$A$8</c:f>
              <c:strCache>
                <c:ptCount val="4"/>
                <c:pt idx="0">
                  <c:v>Central</c:v>
                </c:pt>
                <c:pt idx="1">
                  <c:v>East</c:v>
                </c:pt>
                <c:pt idx="2">
                  <c:v>South</c:v>
                </c:pt>
                <c:pt idx="3">
                  <c:v>West</c:v>
                </c:pt>
              </c:strCache>
            </c:strRef>
          </c:cat>
          <c:val>
            <c:numRef>
              <c:f>'Pivot Table and Chart'!$B$4:$B$8</c:f>
              <c:numCache>
                <c:formatCode>"₹"\ #,##0.00</c:formatCode>
                <c:ptCount val="4"/>
                <c:pt idx="0">
                  <c:v>3786.4912000000004</c:v>
                </c:pt>
                <c:pt idx="1">
                  <c:v>3467.6060000000002</c:v>
                </c:pt>
                <c:pt idx="2">
                  <c:v>2085.0135</c:v>
                </c:pt>
                <c:pt idx="3">
                  <c:v>5661.8879999999999</c:v>
                </c:pt>
              </c:numCache>
            </c:numRef>
          </c:val>
          <c:extLst>
            <c:ext xmlns:c16="http://schemas.microsoft.com/office/drawing/2014/chart" uri="{C3380CC4-5D6E-409C-BE32-E72D297353CC}">
              <c16:uniqueId val="{00000000-0C2E-4626-BE32-297A917D6078}"/>
            </c:ext>
          </c:extLst>
        </c:ser>
        <c:dLbls>
          <c:showLegendKey val="0"/>
          <c:showVal val="1"/>
          <c:showCatName val="0"/>
          <c:showSerName val="0"/>
          <c:showPercent val="0"/>
          <c:showBubbleSize val="0"/>
          <c:showLeaderLines val="1"/>
        </c:dLbls>
        <c:firstSliceAng val="0"/>
        <c:holeSize val="52"/>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[DASHBORAD OF SALES.xlsx]Pivot Table and Chart!PivotTable27</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and Chart'!$K$3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Chart'!$J$4:$J$16</c:f>
              <c:strCache>
                <c:ptCount val="12"/>
                <c:pt idx="0">
                  <c:v>#10-4 1/8" x 9 1/2" Premium Diagonal Seam Envelopes</c:v>
                </c:pt>
                <c:pt idx="1">
                  <c:v>Chromcraft Rectangular Conference Tables</c:v>
                </c:pt>
                <c:pt idx="2">
                  <c:v>Bretford CR4500 Series Slim Rectangular Table</c:v>
                </c:pt>
                <c:pt idx="3">
                  <c:v>Newell 318</c:v>
                </c:pt>
                <c:pt idx="4">
                  <c:v>GE 30524EE4</c:v>
                </c:pt>
                <c:pt idx="5">
                  <c:v>Riverside Palais Royal Lawyers Bookcase, Royale Cherry Finish</c:v>
                </c:pt>
                <c:pt idx="6">
                  <c:v>Acco Six-Outlet Power Strip, 4' Cord Length</c:v>
                </c:pt>
                <c:pt idx="7">
                  <c:v>Eldon Expressions Wood and Plastic Desk Accessories, Cherry Wood</c:v>
                </c:pt>
                <c:pt idx="8">
                  <c:v>Stur-D-Stor Shelving, Vertical 5-Shelf: 72"H x 36"W x 18 1/2"D</c:v>
                </c:pt>
                <c:pt idx="9">
                  <c:v>Acco Pressboard Covers with Storage Hooks, 14 7/8" x 11", Executive Red</c:v>
                </c:pt>
                <c:pt idx="10">
                  <c:v>Mitel 5320 IP Phone VoIP phone</c:v>
                </c:pt>
                <c:pt idx="11">
                  <c:v>BOSTON Model 1800 Electric Pencil Sharpeners, Putty/Woodgrain</c:v>
                </c:pt>
              </c:strCache>
            </c:strRef>
          </c:cat>
          <c:val>
            <c:numRef>
              <c:f>'Pivot Table and Chart'!$K$4:$K$16</c:f>
              <c:numCache>
                <c:formatCode>General</c:formatCode>
                <c:ptCount val="12"/>
                <c:pt idx="0">
                  <c:v>9</c:v>
                </c:pt>
                <c:pt idx="1">
                  <c:v>9</c:v>
                </c:pt>
                <c:pt idx="2">
                  <c:v>8</c:v>
                </c:pt>
                <c:pt idx="3">
                  <c:v>7</c:v>
                </c:pt>
                <c:pt idx="4">
                  <c:v>7</c:v>
                </c:pt>
                <c:pt idx="5">
                  <c:v>7</c:v>
                </c:pt>
                <c:pt idx="6">
                  <c:v>7</c:v>
                </c:pt>
                <c:pt idx="7">
                  <c:v>7</c:v>
                </c:pt>
                <c:pt idx="8">
                  <c:v>6</c:v>
                </c:pt>
                <c:pt idx="9">
                  <c:v>6</c:v>
                </c:pt>
                <c:pt idx="10">
                  <c:v>6</c:v>
                </c:pt>
                <c:pt idx="11">
                  <c:v>6</c:v>
                </c:pt>
              </c:numCache>
            </c:numRef>
          </c:val>
          <c:extLst>
            <c:ext xmlns:c16="http://schemas.microsoft.com/office/drawing/2014/chart" uri="{C3380CC4-5D6E-409C-BE32-E72D297353CC}">
              <c16:uniqueId val="{00000000-8F26-4ED0-B8EF-9952E6177BA2}"/>
            </c:ext>
          </c:extLst>
        </c:ser>
        <c:dLbls>
          <c:showLegendKey val="0"/>
          <c:showVal val="1"/>
          <c:showCatName val="0"/>
          <c:showSerName val="0"/>
          <c:showPercent val="0"/>
          <c:showBubbleSize val="0"/>
        </c:dLbls>
        <c:gapWidth val="150"/>
        <c:axId val="985910896"/>
        <c:axId val="985912336"/>
      </c:barChart>
      <c:catAx>
        <c:axId val="985910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912336"/>
        <c:crosses val="autoZero"/>
        <c:auto val="1"/>
        <c:lblAlgn val="ctr"/>
        <c:lblOffset val="100"/>
        <c:noMultiLvlLbl val="0"/>
      </c:catAx>
      <c:valAx>
        <c:axId val="985912336"/>
        <c:scaling>
          <c:orientation val="minMax"/>
        </c:scaling>
        <c:delete val="1"/>
        <c:axPos val="b"/>
        <c:numFmt formatCode="General" sourceLinked="1"/>
        <c:majorTickMark val="none"/>
        <c:minorTickMark val="none"/>
        <c:tickLblPos val="nextTo"/>
        <c:crossAx val="985910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[DASHBORAD OF SALES.xlsx]Pivot Table and Chart!PivotTable26</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423467630803662E-3"/>
          <c:y val="8.4767310259797793E-2"/>
          <c:w val="0.93888137605716193"/>
          <c:h val="0.58497172549563758"/>
        </c:manualLayout>
      </c:layout>
      <c:barChart>
        <c:barDir val="col"/>
        <c:grouping val="clustered"/>
        <c:varyColors val="0"/>
        <c:ser>
          <c:idx val="0"/>
          <c:order val="0"/>
          <c:tx>
            <c:strRef>
              <c:f>'Pivot Table and Chart'!$H$3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Chart'!$G$4:$G$14</c:f>
              <c:strCache>
                <c:ptCount val="10"/>
                <c:pt idx="0">
                  <c:v>Brosina Hoffman</c:v>
                </c:pt>
                <c:pt idx="1">
                  <c:v>Tracy Blumstein</c:v>
                </c:pt>
                <c:pt idx="2">
                  <c:v>Gene Hale</c:v>
                </c:pt>
                <c:pt idx="3">
                  <c:v>Steve Nguyen</c:v>
                </c:pt>
                <c:pt idx="4">
                  <c:v>Emily Burns</c:v>
                </c:pt>
                <c:pt idx="5">
                  <c:v>Claire Gute</c:v>
                </c:pt>
                <c:pt idx="6">
                  <c:v>Sean O'Donnell</c:v>
                </c:pt>
                <c:pt idx="7">
                  <c:v>Pete Kriz</c:v>
                </c:pt>
                <c:pt idx="8">
                  <c:v>Irene Maddox</c:v>
                </c:pt>
                <c:pt idx="9">
                  <c:v>Zuschuss Donatelli</c:v>
                </c:pt>
              </c:strCache>
            </c:strRef>
          </c:cat>
          <c:val>
            <c:numRef>
              <c:f>'Pivot Table and Chart'!$H$4:$H$14</c:f>
              <c:numCache>
                <c:formatCode>"₹"\ #,##0.00</c:formatCode>
                <c:ptCount val="10"/>
                <c:pt idx="0">
                  <c:v>3714.3040000000001</c:v>
                </c:pt>
                <c:pt idx="1">
                  <c:v>3329.4340000000002</c:v>
                </c:pt>
                <c:pt idx="2">
                  <c:v>1288.4640000000002</c:v>
                </c:pt>
                <c:pt idx="3">
                  <c:v>1228.9531999999999</c:v>
                </c:pt>
                <c:pt idx="4">
                  <c:v>1044.6300000000001</c:v>
                </c:pt>
                <c:pt idx="5">
                  <c:v>993.90000000000009</c:v>
                </c:pt>
                <c:pt idx="6">
                  <c:v>979.94550000000004</c:v>
                </c:pt>
                <c:pt idx="7">
                  <c:v>665.88</c:v>
                </c:pt>
                <c:pt idx="8">
                  <c:v>407.976</c:v>
                </c:pt>
                <c:pt idx="9">
                  <c:v>244.76</c:v>
                </c:pt>
              </c:numCache>
            </c:numRef>
          </c:val>
          <c:extLst>
            <c:ext xmlns:c16="http://schemas.microsoft.com/office/drawing/2014/chart" uri="{C3380CC4-5D6E-409C-BE32-E72D297353CC}">
              <c16:uniqueId val="{00000000-A09D-49EC-A1C0-6394B8DDBA68}"/>
            </c:ext>
          </c:extLst>
        </c:ser>
        <c:dLbls>
          <c:dLblPos val="outEnd"/>
          <c:showLegendKey val="0"/>
          <c:showVal val="1"/>
          <c:showCatName val="0"/>
          <c:showSerName val="0"/>
          <c:showPercent val="0"/>
          <c:showBubbleSize val="0"/>
        </c:dLbls>
        <c:gapWidth val="50"/>
        <c:overlap val="-27"/>
        <c:axId val="985983856"/>
        <c:axId val="985984336"/>
      </c:barChart>
      <c:catAx>
        <c:axId val="985983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984336"/>
        <c:crosses val="autoZero"/>
        <c:auto val="1"/>
        <c:lblAlgn val="ctr"/>
        <c:lblOffset val="100"/>
        <c:noMultiLvlLbl val="0"/>
      </c:catAx>
      <c:valAx>
        <c:axId val="985984336"/>
        <c:scaling>
          <c:orientation val="minMax"/>
        </c:scaling>
        <c:delete val="1"/>
        <c:axPos val="l"/>
        <c:numFmt formatCode="&quot;₹&quot;\ #,##0.00" sourceLinked="1"/>
        <c:majorTickMark val="none"/>
        <c:minorTickMark val="none"/>
        <c:tickLblPos val="nextTo"/>
        <c:crossAx val="985983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[DASHBORAD OF SALES.xlsx]Pivot Table and Chart!PivotTable25</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7106737559206496"/>
          <c:y val="7.7916969703294606E-2"/>
          <c:w val="0.51586798133116984"/>
          <c:h val="0.88986898946085147"/>
        </c:manualLayout>
      </c:layout>
      <c:barChart>
        <c:barDir val="bar"/>
        <c:grouping val="clustered"/>
        <c:varyColors val="0"/>
        <c:ser>
          <c:idx val="0"/>
          <c:order val="0"/>
          <c:tx>
            <c:strRef>
              <c:f>'Pivot Table and Chart'!$E$3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Chart'!$D$4:$D$14</c:f>
              <c:strCache>
                <c:ptCount val="10"/>
                <c:pt idx="0">
                  <c:v>Riverside Palais Royal Lawyers Bookcase, Royale Cherry Finish</c:v>
                </c:pt>
                <c:pt idx="1">
                  <c:v>Bretford CR4500 Series Slim Rectangular Table</c:v>
                </c:pt>
                <c:pt idx="2">
                  <c:v>Chromcraft Rectangular Conference Tables</c:v>
                </c:pt>
                <c:pt idx="3">
                  <c:v>GE 30524EE4</c:v>
                </c:pt>
                <c:pt idx="4">
                  <c:v>Konftel 250 Conference phone - Charcoal black</c:v>
                </c:pt>
                <c:pt idx="5">
                  <c:v>Mitel 5320 IP Phone VoIP phone</c:v>
                </c:pt>
                <c:pt idx="6">
                  <c:v>Hon Deluxe Fabric Upholstered Stacking Chairs, Rounded Back</c:v>
                </c:pt>
                <c:pt idx="7">
                  <c:v>Stur-D-Stor Shelving, Vertical 5-Shelf: 72"H x 36"W x 18 1/2"D</c:v>
                </c:pt>
                <c:pt idx="8">
                  <c:v>Atlantic Metals Mobile 3-Shelf Bookcases, Custom Colors</c:v>
                </c:pt>
                <c:pt idx="9">
                  <c:v>Fellowes PB200 Plastic Comb Binding Machine</c:v>
                </c:pt>
              </c:strCache>
            </c:strRef>
          </c:cat>
          <c:val>
            <c:numRef>
              <c:f>'Pivot Table and Chart'!$E$4:$E$14</c:f>
              <c:numCache>
                <c:formatCode>"₹"\ #,##0.00</c:formatCode>
                <c:ptCount val="10"/>
                <c:pt idx="0">
                  <c:v>3083.43</c:v>
                </c:pt>
                <c:pt idx="1">
                  <c:v>2002.2075</c:v>
                </c:pt>
                <c:pt idx="2">
                  <c:v>1706.184</c:v>
                </c:pt>
                <c:pt idx="3">
                  <c:v>1097.5440000000001</c:v>
                </c:pt>
                <c:pt idx="4">
                  <c:v>911.42399999999998</c:v>
                </c:pt>
                <c:pt idx="5">
                  <c:v>907.15200000000004</c:v>
                </c:pt>
                <c:pt idx="6">
                  <c:v>731.94</c:v>
                </c:pt>
                <c:pt idx="7">
                  <c:v>665.88</c:v>
                </c:pt>
                <c:pt idx="8">
                  <c:v>532.39919999999995</c:v>
                </c:pt>
                <c:pt idx="9">
                  <c:v>407.976</c:v>
                </c:pt>
              </c:numCache>
            </c:numRef>
          </c:val>
          <c:extLst>
            <c:ext xmlns:c16="http://schemas.microsoft.com/office/drawing/2014/chart" uri="{C3380CC4-5D6E-409C-BE32-E72D297353CC}">
              <c16:uniqueId val="{00000000-3C70-4FF1-B193-9D4A5E407147}"/>
            </c:ext>
          </c:extLst>
        </c:ser>
        <c:dLbls>
          <c:dLblPos val="outEnd"/>
          <c:showLegendKey val="0"/>
          <c:showVal val="1"/>
          <c:showCatName val="0"/>
          <c:showSerName val="0"/>
          <c:showPercent val="0"/>
          <c:showBubbleSize val="0"/>
        </c:dLbls>
        <c:gapWidth val="0"/>
        <c:axId val="982688320"/>
        <c:axId val="982672480"/>
      </c:barChart>
      <c:catAx>
        <c:axId val="982688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982672480"/>
        <c:crosses val="autoZero"/>
        <c:auto val="1"/>
        <c:lblAlgn val="ctr"/>
        <c:lblOffset val="100"/>
        <c:noMultiLvlLbl val="0"/>
      </c:catAx>
      <c:valAx>
        <c:axId val="982672480"/>
        <c:scaling>
          <c:orientation val="minMax"/>
        </c:scaling>
        <c:delete val="1"/>
        <c:axPos val="b"/>
        <c:numFmt formatCode="&quot;₹&quot;\ #,##0.00" sourceLinked="1"/>
        <c:majorTickMark val="none"/>
        <c:minorTickMark val="none"/>
        <c:tickLblPos val="nextTo"/>
        <c:crossAx val="982688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800">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[DASHBORAD OF SALES.xlsx]Pivot Table and Chart!PivotTable24</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388888888888889"/>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111111111111111"/>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8.8888888888888934E-2"/>
              <c:y val="0.101851851851851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0277777777777777"/>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111111111111111"/>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8256675130910949"/>
              <c:y val="-7.40738847018694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5184298633448287"/>
              <c:y val="7.21508099638564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3844507577555792"/>
              <c:y val="-0.173161943913255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1611522484401636"/>
              <c:y val="0.15151670092409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 and Chart'!$B$3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086-4E88-813C-FD808B922F7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086-4E88-813C-FD808B922F7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086-4E88-813C-FD808B922F7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086-4E88-813C-FD808B922F78}"/>
              </c:ext>
            </c:extLst>
          </c:dPt>
          <c:dLbls>
            <c:dLbl>
              <c:idx val="0"/>
              <c:layout>
                <c:manualLayout>
                  <c:x val="0.18256675130910949"/>
                  <c:y val="-7.40738847018694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086-4E88-813C-FD808B922F78}"/>
                </c:ext>
              </c:extLst>
            </c:dLbl>
            <c:dLbl>
              <c:idx val="1"/>
              <c:layout>
                <c:manualLayout>
                  <c:x val="0.15184298633448287"/>
                  <c:y val="7.21508099638564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086-4E88-813C-FD808B922F78}"/>
                </c:ext>
              </c:extLst>
            </c:dLbl>
            <c:dLbl>
              <c:idx val="2"/>
              <c:layout>
                <c:manualLayout>
                  <c:x val="-0.11611522484401636"/>
                  <c:y val="0.15151670092409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086-4E88-813C-FD808B922F78}"/>
                </c:ext>
              </c:extLst>
            </c:dLbl>
            <c:dLbl>
              <c:idx val="3"/>
              <c:layout>
                <c:manualLayout>
                  <c:x val="-0.13844507577555792"/>
                  <c:y val="-0.173161943913255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086-4E88-813C-FD808B922F7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and Chart'!$A$4:$A$8</c:f>
              <c:strCache>
                <c:ptCount val="4"/>
                <c:pt idx="0">
                  <c:v>Central</c:v>
                </c:pt>
                <c:pt idx="1">
                  <c:v>East</c:v>
                </c:pt>
                <c:pt idx="2">
                  <c:v>South</c:v>
                </c:pt>
                <c:pt idx="3">
                  <c:v>West</c:v>
                </c:pt>
              </c:strCache>
            </c:strRef>
          </c:cat>
          <c:val>
            <c:numRef>
              <c:f>'Pivot Table and Chart'!$B$4:$B$8</c:f>
              <c:numCache>
                <c:formatCode>"₹"\ #,##0.00</c:formatCode>
                <c:ptCount val="4"/>
                <c:pt idx="0">
                  <c:v>3786.4912000000004</c:v>
                </c:pt>
                <c:pt idx="1">
                  <c:v>3467.6060000000002</c:v>
                </c:pt>
                <c:pt idx="2">
                  <c:v>2085.0135</c:v>
                </c:pt>
                <c:pt idx="3">
                  <c:v>5661.8879999999999</c:v>
                </c:pt>
              </c:numCache>
            </c:numRef>
          </c:val>
          <c:extLst>
            <c:ext xmlns:c16="http://schemas.microsoft.com/office/drawing/2014/chart" uri="{C3380CC4-5D6E-409C-BE32-E72D297353CC}">
              <c16:uniqueId val="{00000008-5086-4E88-813C-FD808B922F78}"/>
            </c:ext>
          </c:extLst>
        </c:ser>
        <c:dLbls>
          <c:showLegendKey val="0"/>
          <c:showVal val="1"/>
          <c:showCatName val="0"/>
          <c:showSerName val="0"/>
          <c:showPercent val="0"/>
          <c:showBubbleSize val="0"/>
          <c:showLeaderLines val="1"/>
        </c:dLbls>
        <c:firstSliceAng val="0"/>
        <c:holeSize val="52"/>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[DASHBORAD OF SALES.xlsx]Pivot Table and Chart!PivotTable25</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95753818204807"/>
          <c:y val="6.8776391768774647E-2"/>
          <c:w val="0.51586798133116984"/>
          <c:h val="0.88986898946085147"/>
        </c:manualLayout>
      </c:layout>
      <c:barChart>
        <c:barDir val="bar"/>
        <c:grouping val="clustered"/>
        <c:varyColors val="0"/>
        <c:ser>
          <c:idx val="0"/>
          <c:order val="0"/>
          <c:tx>
            <c:strRef>
              <c:f>'Pivot Table and Chart'!$E$3</c:f>
              <c:strCache>
                <c:ptCount val="1"/>
                <c:pt idx="0">
                  <c:v>Total</c:v>
                </c:pt>
              </c:strCache>
            </c:strRef>
          </c:tx>
          <c:spPr>
            <a:solidFill>
              <a:schemeClr val="accent1"/>
            </a:solidFill>
            <a:ln>
              <a:noFill/>
            </a:ln>
            <a:effectLst/>
          </c:spPr>
          <c:invertIfNegative val="0"/>
          <c:dLbls>
            <c:spPr>
              <a:solidFill>
                <a:schemeClr val="bg1"/>
              </a:solid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Chart'!$D$4:$D$14</c:f>
              <c:strCache>
                <c:ptCount val="10"/>
                <c:pt idx="0">
                  <c:v>Riverside Palais Royal Lawyers Bookcase, Royale Cherry Finish</c:v>
                </c:pt>
                <c:pt idx="1">
                  <c:v>Bretford CR4500 Series Slim Rectangular Table</c:v>
                </c:pt>
                <c:pt idx="2">
                  <c:v>Chromcraft Rectangular Conference Tables</c:v>
                </c:pt>
                <c:pt idx="3">
                  <c:v>GE 30524EE4</c:v>
                </c:pt>
                <c:pt idx="4">
                  <c:v>Konftel 250 Conference phone - Charcoal black</c:v>
                </c:pt>
                <c:pt idx="5">
                  <c:v>Mitel 5320 IP Phone VoIP phone</c:v>
                </c:pt>
                <c:pt idx="6">
                  <c:v>Hon Deluxe Fabric Upholstered Stacking Chairs, Rounded Back</c:v>
                </c:pt>
                <c:pt idx="7">
                  <c:v>Stur-D-Stor Shelving, Vertical 5-Shelf: 72"H x 36"W x 18 1/2"D</c:v>
                </c:pt>
                <c:pt idx="8">
                  <c:v>Atlantic Metals Mobile 3-Shelf Bookcases, Custom Colors</c:v>
                </c:pt>
                <c:pt idx="9">
                  <c:v>Fellowes PB200 Plastic Comb Binding Machine</c:v>
                </c:pt>
              </c:strCache>
            </c:strRef>
          </c:cat>
          <c:val>
            <c:numRef>
              <c:f>'Pivot Table and Chart'!$E$4:$E$14</c:f>
              <c:numCache>
                <c:formatCode>"₹"\ #,##0.00</c:formatCode>
                <c:ptCount val="10"/>
                <c:pt idx="0">
                  <c:v>3083.43</c:v>
                </c:pt>
                <c:pt idx="1">
                  <c:v>2002.2075</c:v>
                </c:pt>
                <c:pt idx="2">
                  <c:v>1706.184</c:v>
                </c:pt>
                <c:pt idx="3">
                  <c:v>1097.5440000000001</c:v>
                </c:pt>
                <c:pt idx="4">
                  <c:v>911.42399999999998</c:v>
                </c:pt>
                <c:pt idx="5">
                  <c:v>907.15200000000004</c:v>
                </c:pt>
                <c:pt idx="6">
                  <c:v>731.94</c:v>
                </c:pt>
                <c:pt idx="7">
                  <c:v>665.88</c:v>
                </c:pt>
                <c:pt idx="8">
                  <c:v>532.39919999999995</c:v>
                </c:pt>
                <c:pt idx="9">
                  <c:v>407.976</c:v>
                </c:pt>
              </c:numCache>
            </c:numRef>
          </c:val>
          <c:extLst>
            <c:ext xmlns:c16="http://schemas.microsoft.com/office/drawing/2014/chart" uri="{C3380CC4-5D6E-409C-BE32-E72D297353CC}">
              <c16:uniqueId val="{00000000-F2D7-42D3-87A6-C6A433096367}"/>
            </c:ext>
          </c:extLst>
        </c:ser>
        <c:dLbls>
          <c:dLblPos val="outEnd"/>
          <c:showLegendKey val="0"/>
          <c:showVal val="1"/>
          <c:showCatName val="0"/>
          <c:showSerName val="0"/>
          <c:showPercent val="0"/>
          <c:showBubbleSize val="0"/>
        </c:dLbls>
        <c:gapWidth val="50"/>
        <c:axId val="982688320"/>
        <c:axId val="982672480"/>
      </c:barChart>
      <c:catAx>
        <c:axId val="982688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982672480"/>
        <c:crosses val="autoZero"/>
        <c:auto val="1"/>
        <c:lblAlgn val="ctr"/>
        <c:lblOffset val="100"/>
        <c:noMultiLvlLbl val="0"/>
      </c:catAx>
      <c:valAx>
        <c:axId val="982672480"/>
        <c:scaling>
          <c:orientation val="minMax"/>
        </c:scaling>
        <c:delete val="1"/>
        <c:axPos val="b"/>
        <c:numFmt formatCode="&quot;₹&quot;\ #,##0.00" sourceLinked="1"/>
        <c:majorTickMark val="none"/>
        <c:minorTickMark val="none"/>
        <c:tickLblPos val="nextTo"/>
        <c:crossAx val="982688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800">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[DASHBORAD OF SALES.xlsx]Pivot Table and Chart!PivotTable26</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18623942838117E-2"/>
          <c:y val="7.248318029941403E-2"/>
          <c:w val="0.93888137605716193"/>
          <c:h val="0.58497172549563758"/>
        </c:manualLayout>
      </c:layout>
      <c:barChart>
        <c:barDir val="col"/>
        <c:grouping val="clustered"/>
        <c:varyColors val="0"/>
        <c:ser>
          <c:idx val="0"/>
          <c:order val="0"/>
          <c:tx>
            <c:strRef>
              <c:f>'Pivot Table and Chart'!$H$3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Chart'!$G$4:$G$14</c:f>
              <c:strCache>
                <c:ptCount val="10"/>
                <c:pt idx="0">
                  <c:v>Brosina Hoffman</c:v>
                </c:pt>
                <c:pt idx="1">
                  <c:v>Tracy Blumstein</c:v>
                </c:pt>
                <c:pt idx="2">
                  <c:v>Gene Hale</c:v>
                </c:pt>
                <c:pt idx="3">
                  <c:v>Steve Nguyen</c:v>
                </c:pt>
                <c:pt idx="4">
                  <c:v>Emily Burns</c:v>
                </c:pt>
                <c:pt idx="5">
                  <c:v>Claire Gute</c:v>
                </c:pt>
                <c:pt idx="6">
                  <c:v>Sean O'Donnell</c:v>
                </c:pt>
                <c:pt idx="7">
                  <c:v>Pete Kriz</c:v>
                </c:pt>
                <c:pt idx="8">
                  <c:v>Irene Maddox</c:v>
                </c:pt>
                <c:pt idx="9">
                  <c:v>Zuschuss Donatelli</c:v>
                </c:pt>
              </c:strCache>
            </c:strRef>
          </c:cat>
          <c:val>
            <c:numRef>
              <c:f>'Pivot Table and Chart'!$H$4:$H$14</c:f>
              <c:numCache>
                <c:formatCode>"₹"\ #,##0.00</c:formatCode>
                <c:ptCount val="10"/>
                <c:pt idx="0">
                  <c:v>3714.3040000000001</c:v>
                </c:pt>
                <c:pt idx="1">
                  <c:v>3329.4340000000002</c:v>
                </c:pt>
                <c:pt idx="2">
                  <c:v>1288.4640000000002</c:v>
                </c:pt>
                <c:pt idx="3">
                  <c:v>1228.9531999999999</c:v>
                </c:pt>
                <c:pt idx="4">
                  <c:v>1044.6300000000001</c:v>
                </c:pt>
                <c:pt idx="5">
                  <c:v>993.90000000000009</c:v>
                </c:pt>
                <c:pt idx="6">
                  <c:v>979.94550000000004</c:v>
                </c:pt>
                <c:pt idx="7">
                  <c:v>665.88</c:v>
                </c:pt>
                <c:pt idx="8">
                  <c:v>407.976</c:v>
                </c:pt>
                <c:pt idx="9">
                  <c:v>244.76</c:v>
                </c:pt>
              </c:numCache>
            </c:numRef>
          </c:val>
          <c:extLst>
            <c:ext xmlns:c16="http://schemas.microsoft.com/office/drawing/2014/chart" uri="{C3380CC4-5D6E-409C-BE32-E72D297353CC}">
              <c16:uniqueId val="{00000000-15C5-45E1-9810-9AAB195E3810}"/>
            </c:ext>
          </c:extLst>
        </c:ser>
        <c:dLbls>
          <c:dLblPos val="outEnd"/>
          <c:showLegendKey val="0"/>
          <c:showVal val="1"/>
          <c:showCatName val="0"/>
          <c:showSerName val="0"/>
          <c:showPercent val="0"/>
          <c:showBubbleSize val="0"/>
        </c:dLbls>
        <c:gapWidth val="50"/>
        <c:overlap val="-27"/>
        <c:axId val="985983856"/>
        <c:axId val="985984336"/>
      </c:barChart>
      <c:catAx>
        <c:axId val="985983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984336"/>
        <c:crosses val="autoZero"/>
        <c:auto val="1"/>
        <c:lblAlgn val="ctr"/>
        <c:lblOffset val="100"/>
        <c:noMultiLvlLbl val="0"/>
      </c:catAx>
      <c:valAx>
        <c:axId val="985984336"/>
        <c:scaling>
          <c:orientation val="minMax"/>
        </c:scaling>
        <c:delete val="1"/>
        <c:axPos val="l"/>
        <c:numFmt formatCode="&quot;₹&quot;\ #,##0.00" sourceLinked="1"/>
        <c:majorTickMark val="none"/>
        <c:minorTickMark val="none"/>
        <c:tickLblPos val="nextTo"/>
        <c:crossAx val="985983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[DASHBORAD OF SALES.xlsx]Pivot Table and Chart!PivotTable27</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and Chart'!$K$3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Chart'!$J$4:$J$16</c:f>
              <c:strCache>
                <c:ptCount val="12"/>
                <c:pt idx="0">
                  <c:v>#10-4 1/8" x 9 1/2" Premium Diagonal Seam Envelopes</c:v>
                </c:pt>
                <c:pt idx="1">
                  <c:v>Chromcraft Rectangular Conference Tables</c:v>
                </c:pt>
                <c:pt idx="2">
                  <c:v>Bretford CR4500 Series Slim Rectangular Table</c:v>
                </c:pt>
                <c:pt idx="3">
                  <c:v>Newell 318</c:v>
                </c:pt>
                <c:pt idx="4">
                  <c:v>GE 30524EE4</c:v>
                </c:pt>
                <c:pt idx="5">
                  <c:v>Riverside Palais Royal Lawyers Bookcase, Royale Cherry Finish</c:v>
                </c:pt>
                <c:pt idx="6">
                  <c:v>Acco Six-Outlet Power Strip, 4' Cord Length</c:v>
                </c:pt>
                <c:pt idx="7">
                  <c:v>Eldon Expressions Wood and Plastic Desk Accessories, Cherry Wood</c:v>
                </c:pt>
                <c:pt idx="8">
                  <c:v>Stur-D-Stor Shelving, Vertical 5-Shelf: 72"H x 36"W x 18 1/2"D</c:v>
                </c:pt>
                <c:pt idx="9">
                  <c:v>Acco Pressboard Covers with Storage Hooks, 14 7/8" x 11", Executive Red</c:v>
                </c:pt>
                <c:pt idx="10">
                  <c:v>Mitel 5320 IP Phone VoIP phone</c:v>
                </c:pt>
                <c:pt idx="11">
                  <c:v>BOSTON Model 1800 Electric Pencil Sharpeners, Putty/Woodgrain</c:v>
                </c:pt>
              </c:strCache>
            </c:strRef>
          </c:cat>
          <c:val>
            <c:numRef>
              <c:f>'Pivot Table and Chart'!$K$4:$K$16</c:f>
              <c:numCache>
                <c:formatCode>General</c:formatCode>
                <c:ptCount val="12"/>
                <c:pt idx="0">
                  <c:v>9</c:v>
                </c:pt>
                <c:pt idx="1">
                  <c:v>9</c:v>
                </c:pt>
                <c:pt idx="2">
                  <c:v>8</c:v>
                </c:pt>
                <c:pt idx="3">
                  <c:v>7</c:v>
                </c:pt>
                <c:pt idx="4">
                  <c:v>7</c:v>
                </c:pt>
                <c:pt idx="5">
                  <c:v>7</c:v>
                </c:pt>
                <c:pt idx="6">
                  <c:v>7</c:v>
                </c:pt>
                <c:pt idx="7">
                  <c:v>7</c:v>
                </c:pt>
                <c:pt idx="8">
                  <c:v>6</c:v>
                </c:pt>
                <c:pt idx="9">
                  <c:v>6</c:v>
                </c:pt>
                <c:pt idx="10">
                  <c:v>6</c:v>
                </c:pt>
                <c:pt idx="11">
                  <c:v>6</c:v>
                </c:pt>
              </c:numCache>
            </c:numRef>
          </c:val>
          <c:extLst>
            <c:ext xmlns:c16="http://schemas.microsoft.com/office/drawing/2014/chart" uri="{C3380CC4-5D6E-409C-BE32-E72D297353CC}">
              <c16:uniqueId val="{00000000-C3F1-4532-97EC-813821BF9B17}"/>
            </c:ext>
          </c:extLst>
        </c:ser>
        <c:dLbls>
          <c:showLegendKey val="0"/>
          <c:showVal val="1"/>
          <c:showCatName val="0"/>
          <c:showSerName val="0"/>
          <c:showPercent val="0"/>
          <c:showBubbleSize val="0"/>
        </c:dLbls>
        <c:gapWidth val="150"/>
        <c:axId val="985910896"/>
        <c:axId val="985912336"/>
      </c:barChart>
      <c:catAx>
        <c:axId val="985910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912336"/>
        <c:crosses val="autoZero"/>
        <c:auto val="1"/>
        <c:lblAlgn val="ctr"/>
        <c:lblOffset val="100"/>
        <c:noMultiLvlLbl val="0"/>
      </c:catAx>
      <c:valAx>
        <c:axId val="985912336"/>
        <c:scaling>
          <c:orientation val="minMax"/>
        </c:scaling>
        <c:delete val="1"/>
        <c:axPos val="b"/>
        <c:numFmt formatCode="General" sourceLinked="1"/>
        <c:majorTickMark val="none"/>
        <c:minorTickMark val="none"/>
        <c:tickLblPos val="nextTo"/>
        <c:crossAx val="985910896"/>
        <c:crosses val="autoZero"/>
        <c:crossBetween val="between"/>
      </c:valAx>
      <c:spPr>
        <a:solidFill>
          <a:schemeClr val="bg1"/>
        </a:solid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iagrams/_rels/data1.xml.rels><?xml version="1.0" encoding="UTF-8" standalone="yes"?>
<Relationships xmlns="http://schemas.openxmlformats.org/package/2006/relationships"><Relationship Id="rId8" Type="http://schemas.openxmlformats.org/officeDocument/2006/relationships/image" Target="../media/image16.svg"/><Relationship Id="rId3" Type="http://schemas.openxmlformats.org/officeDocument/2006/relationships/image" Target="../media/image11.png"/><Relationship Id="rId7" Type="http://schemas.openxmlformats.org/officeDocument/2006/relationships/image" Target="../media/image15.png"/><Relationship Id="rId2" Type="http://schemas.openxmlformats.org/officeDocument/2006/relationships/image" Target="../media/image10.svg"/><Relationship Id="rId1" Type="http://schemas.openxmlformats.org/officeDocument/2006/relationships/image" Target="../media/image9.png"/><Relationship Id="rId6" Type="http://schemas.openxmlformats.org/officeDocument/2006/relationships/image" Target="../media/image14.svg"/><Relationship Id="rId5" Type="http://schemas.openxmlformats.org/officeDocument/2006/relationships/image" Target="../media/image13.png"/><Relationship Id="rId4" Type="http://schemas.openxmlformats.org/officeDocument/2006/relationships/image" Target="../media/image12.svg"/></Relationships>
</file>

<file path=xl/diagrams/_rels/drawing1.xml.rels><?xml version="1.0" encoding="UTF-8" standalone="yes"?>
<Relationships xmlns="http://schemas.openxmlformats.org/package/2006/relationships"><Relationship Id="rId8" Type="http://schemas.openxmlformats.org/officeDocument/2006/relationships/image" Target="../media/image16.svg"/><Relationship Id="rId3" Type="http://schemas.openxmlformats.org/officeDocument/2006/relationships/image" Target="../media/image11.png"/><Relationship Id="rId7" Type="http://schemas.openxmlformats.org/officeDocument/2006/relationships/image" Target="../media/image15.png"/><Relationship Id="rId2" Type="http://schemas.openxmlformats.org/officeDocument/2006/relationships/image" Target="../media/image10.svg"/><Relationship Id="rId1" Type="http://schemas.openxmlformats.org/officeDocument/2006/relationships/image" Target="../media/image9.png"/><Relationship Id="rId6" Type="http://schemas.openxmlformats.org/officeDocument/2006/relationships/image" Target="../media/image14.svg"/><Relationship Id="rId5" Type="http://schemas.openxmlformats.org/officeDocument/2006/relationships/image" Target="../media/image13.png"/><Relationship Id="rId4" Type="http://schemas.openxmlformats.org/officeDocument/2006/relationships/image" Target="../media/image12.svg"/></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2C669775-C3D0-4723-9204-73C0EA04D267}" type="doc">
      <dgm:prSet loTypeId="urn:microsoft.com/office/officeart/2005/8/layout/vList4" loCatId="picture" qsTypeId="urn:microsoft.com/office/officeart/2005/8/quickstyle/simple1" qsCatId="simple" csTypeId="urn:microsoft.com/office/officeart/2005/8/colors/accent1_2" csCatId="accent1" phldr="1"/>
      <dgm:spPr/>
      <dgm:t>
        <a:bodyPr/>
        <a:lstStyle/>
        <a:p>
          <a:endParaRPr lang="en-IN"/>
        </a:p>
      </dgm:t>
    </dgm:pt>
    <dgm:pt modelId="{A9596928-5DD3-4E5A-A649-87FA7B91C8C3}">
      <dgm:prSet phldrT="[Text]"/>
      <dgm:spPr/>
      <dgm:t>
        <a:bodyPr/>
        <a:lstStyle/>
        <a:p>
          <a:r>
            <a:rPr lang="en-IN"/>
            <a:t>West Region</a:t>
          </a:r>
        </a:p>
      </dgm:t>
    </dgm:pt>
    <dgm:pt modelId="{E9B247DD-9B33-4B1C-ACB4-69E3B6CA4E74}" type="parTrans" cxnId="{819E9EC7-3616-4581-83BA-81D9D96E21AC}">
      <dgm:prSet/>
      <dgm:spPr/>
      <dgm:t>
        <a:bodyPr/>
        <a:lstStyle/>
        <a:p>
          <a:endParaRPr lang="en-IN"/>
        </a:p>
      </dgm:t>
    </dgm:pt>
    <dgm:pt modelId="{DDDD4E0C-BDC6-4B03-A191-7DF052BB32F1}" type="sibTrans" cxnId="{819E9EC7-3616-4581-83BA-81D9D96E21AC}">
      <dgm:prSet/>
      <dgm:spPr/>
      <dgm:t>
        <a:bodyPr/>
        <a:lstStyle/>
        <a:p>
          <a:endParaRPr lang="en-IN"/>
        </a:p>
      </dgm:t>
    </dgm:pt>
    <dgm:pt modelId="{BCDB2096-7F71-40EF-8282-7E0FB19B01BB}">
      <dgm:prSet phldrT="[Text]"/>
      <dgm:spPr/>
      <dgm:t>
        <a:bodyPr/>
        <a:lstStyle/>
        <a:p>
          <a:r>
            <a:rPr lang="en-IN"/>
            <a:t>Best Product:Chromcraft Rectangular Conference Tables </a:t>
          </a:r>
        </a:p>
      </dgm:t>
    </dgm:pt>
    <dgm:pt modelId="{A37842EF-77CB-4C53-83B1-1E0182B5E228}" type="parTrans" cxnId="{8C2D5F08-385C-49ED-B841-BFE2A49D5B73}">
      <dgm:prSet/>
      <dgm:spPr/>
      <dgm:t>
        <a:bodyPr/>
        <a:lstStyle/>
        <a:p>
          <a:endParaRPr lang="en-IN"/>
        </a:p>
      </dgm:t>
    </dgm:pt>
    <dgm:pt modelId="{96AA672A-3CA9-4AE1-BF5A-64931DEE5A48}" type="sibTrans" cxnId="{8C2D5F08-385C-49ED-B841-BFE2A49D5B73}">
      <dgm:prSet/>
      <dgm:spPr/>
      <dgm:t>
        <a:bodyPr/>
        <a:lstStyle/>
        <a:p>
          <a:endParaRPr lang="en-IN"/>
        </a:p>
      </dgm:t>
    </dgm:pt>
    <dgm:pt modelId="{8B72DB0B-699C-4E52-A7E4-4388AEA331DE}">
      <dgm:prSet phldrT="[Text]"/>
      <dgm:spPr/>
      <dgm:t>
        <a:bodyPr/>
        <a:lstStyle/>
        <a:p>
          <a:r>
            <a:rPr lang="en-IN"/>
            <a:t>Worst Product: Newell 322 </a:t>
          </a:r>
        </a:p>
      </dgm:t>
    </dgm:pt>
    <dgm:pt modelId="{7ED596BE-4B86-4AB2-A6F7-1646ED977D21}" type="parTrans" cxnId="{DD1D3101-6C81-4A22-8BC8-5A35D11F0A30}">
      <dgm:prSet/>
      <dgm:spPr/>
      <dgm:t>
        <a:bodyPr/>
        <a:lstStyle/>
        <a:p>
          <a:endParaRPr lang="en-IN"/>
        </a:p>
      </dgm:t>
    </dgm:pt>
    <dgm:pt modelId="{B0D06D00-619F-4C0A-85E3-733506D61796}" type="sibTrans" cxnId="{DD1D3101-6C81-4A22-8BC8-5A35D11F0A30}">
      <dgm:prSet/>
      <dgm:spPr/>
      <dgm:t>
        <a:bodyPr/>
        <a:lstStyle/>
        <a:p>
          <a:endParaRPr lang="en-IN"/>
        </a:p>
      </dgm:t>
    </dgm:pt>
    <dgm:pt modelId="{DC2FEBB7-C17C-4B8E-A648-CDD44CD9340B}">
      <dgm:prSet phldrT="[Text]"/>
      <dgm:spPr/>
      <dgm:t>
        <a:bodyPr/>
        <a:lstStyle/>
        <a:p>
          <a:r>
            <a:rPr lang="en-IN"/>
            <a:t>South Region</a:t>
          </a:r>
        </a:p>
      </dgm:t>
    </dgm:pt>
    <dgm:pt modelId="{48578F45-AED8-433D-A228-36C99068DB9C}" type="parTrans" cxnId="{01B9D06E-2A85-47C3-A99D-BF0768D1E375}">
      <dgm:prSet/>
      <dgm:spPr/>
      <dgm:t>
        <a:bodyPr/>
        <a:lstStyle/>
        <a:p>
          <a:endParaRPr lang="en-IN"/>
        </a:p>
      </dgm:t>
    </dgm:pt>
    <dgm:pt modelId="{C37D5D0D-9AC0-4BE4-BDB2-808C6FF9A28C}" type="sibTrans" cxnId="{01B9D06E-2A85-47C3-A99D-BF0768D1E375}">
      <dgm:prSet/>
      <dgm:spPr/>
      <dgm:t>
        <a:bodyPr/>
        <a:lstStyle/>
        <a:p>
          <a:endParaRPr lang="en-IN"/>
        </a:p>
      </dgm:t>
    </dgm:pt>
    <dgm:pt modelId="{6F403721-2929-40EF-BC7E-2BA570B16793}">
      <dgm:prSet phldrT="[Text]"/>
      <dgm:spPr/>
      <dgm:t>
        <a:bodyPr/>
        <a:lstStyle/>
        <a:p>
          <a:r>
            <a:rPr lang="en-IN"/>
            <a:t>Best Product: Bretford CR4500 Series Slim Rectangular Table </a:t>
          </a:r>
        </a:p>
      </dgm:t>
    </dgm:pt>
    <dgm:pt modelId="{75F6B0E6-2B89-4786-A03B-694FB26A99F0}" type="parTrans" cxnId="{5EC3C1EC-70FC-497B-BAE8-B97316DD83C6}">
      <dgm:prSet/>
      <dgm:spPr/>
      <dgm:t>
        <a:bodyPr/>
        <a:lstStyle/>
        <a:p>
          <a:endParaRPr lang="en-IN"/>
        </a:p>
      </dgm:t>
    </dgm:pt>
    <dgm:pt modelId="{9326655C-3031-47D3-90EF-D870648B5A14}" type="sibTrans" cxnId="{5EC3C1EC-70FC-497B-BAE8-B97316DD83C6}">
      <dgm:prSet/>
      <dgm:spPr/>
      <dgm:t>
        <a:bodyPr/>
        <a:lstStyle/>
        <a:p>
          <a:endParaRPr lang="en-IN"/>
        </a:p>
      </dgm:t>
    </dgm:pt>
    <dgm:pt modelId="{8DC1C2E0-F105-4C5F-B05A-8FAC59FF8D95}">
      <dgm:prSet phldrT="[Text]"/>
      <dgm:spPr/>
      <dgm:t>
        <a:bodyPr/>
        <a:lstStyle/>
        <a:p>
          <a:r>
            <a:rPr lang="en-IN"/>
            <a:t>Worst Product: Xerox 1967 </a:t>
          </a:r>
        </a:p>
      </dgm:t>
    </dgm:pt>
    <dgm:pt modelId="{66BC4872-86EC-4891-951D-0324F7F89858}" type="parTrans" cxnId="{8259A814-703A-4BEA-BEB7-F8ED1EA269B4}">
      <dgm:prSet/>
      <dgm:spPr/>
      <dgm:t>
        <a:bodyPr/>
        <a:lstStyle/>
        <a:p>
          <a:endParaRPr lang="en-IN"/>
        </a:p>
      </dgm:t>
    </dgm:pt>
    <dgm:pt modelId="{214680C1-9A94-4EAC-B275-096D7A85F2FF}" type="sibTrans" cxnId="{8259A814-703A-4BEA-BEB7-F8ED1EA269B4}">
      <dgm:prSet/>
      <dgm:spPr/>
      <dgm:t>
        <a:bodyPr/>
        <a:lstStyle/>
        <a:p>
          <a:endParaRPr lang="en-IN"/>
        </a:p>
      </dgm:t>
    </dgm:pt>
    <dgm:pt modelId="{9770A7C7-AEED-4BA3-812F-04A41757446D}">
      <dgm:prSet phldrT="[Text]"/>
      <dgm:spPr/>
      <dgm:t>
        <a:bodyPr/>
        <a:lstStyle/>
        <a:p>
          <a:r>
            <a:rPr lang="en-IN"/>
            <a:t>East Region</a:t>
          </a:r>
        </a:p>
      </dgm:t>
    </dgm:pt>
    <dgm:pt modelId="{9D463745-75C1-4DFC-ACCA-233BA2B8040C}" type="parTrans" cxnId="{5C631086-7B1A-4921-B0CC-BACFD7A00802}">
      <dgm:prSet/>
      <dgm:spPr/>
      <dgm:t>
        <a:bodyPr/>
        <a:lstStyle/>
        <a:p>
          <a:endParaRPr lang="en-IN"/>
        </a:p>
      </dgm:t>
    </dgm:pt>
    <dgm:pt modelId="{6CC52AE4-F295-401D-8459-DE04DD7C63F0}" type="sibTrans" cxnId="{5C631086-7B1A-4921-B0CC-BACFD7A00802}">
      <dgm:prSet/>
      <dgm:spPr/>
      <dgm:t>
        <a:bodyPr/>
        <a:lstStyle/>
        <a:p>
          <a:endParaRPr lang="en-IN"/>
        </a:p>
      </dgm:t>
    </dgm:pt>
    <dgm:pt modelId="{FC51B9A9-F56E-4DF2-973A-C1ED2F76E573}">
      <dgm:prSet phldrT="[Text]"/>
      <dgm:spPr/>
      <dgm:t>
        <a:bodyPr/>
        <a:lstStyle/>
        <a:p>
          <a:r>
            <a:rPr lang="en-IN"/>
            <a:t>Best Product: Riverside Palais Royal Lawyers Bookcase, Royale Cherry Finish </a:t>
          </a:r>
        </a:p>
      </dgm:t>
    </dgm:pt>
    <dgm:pt modelId="{0F40E38E-D7FF-4D09-BE1A-F305A6FEBF8E}" type="parTrans" cxnId="{95A37177-C947-468A-BB03-8D5F73CBD0D0}">
      <dgm:prSet/>
      <dgm:spPr/>
      <dgm:t>
        <a:bodyPr/>
        <a:lstStyle/>
        <a:p>
          <a:endParaRPr lang="en-IN"/>
        </a:p>
      </dgm:t>
    </dgm:pt>
    <dgm:pt modelId="{465EB5FC-FF12-4400-9041-C9C3763F3F47}" type="sibTrans" cxnId="{95A37177-C947-468A-BB03-8D5F73CBD0D0}">
      <dgm:prSet/>
      <dgm:spPr/>
      <dgm:t>
        <a:bodyPr/>
        <a:lstStyle/>
        <a:p>
          <a:endParaRPr lang="en-IN"/>
        </a:p>
      </dgm:t>
    </dgm:pt>
    <dgm:pt modelId="{0BDC1F73-F89D-43EE-976B-34F87C827360}">
      <dgm:prSet phldrT="[Text]"/>
      <dgm:spPr/>
      <dgm:t>
        <a:bodyPr/>
        <a:lstStyle/>
        <a:p>
          <a:r>
            <a:rPr lang="en-IN"/>
            <a:t>Worst Product: Poly String Tie Envelopes </a:t>
          </a:r>
        </a:p>
      </dgm:t>
    </dgm:pt>
    <dgm:pt modelId="{1D5CE6EA-7AF5-4424-8378-B9E1FE3D4655}" type="parTrans" cxnId="{6F409928-2B9A-437F-8031-ED26E94B1252}">
      <dgm:prSet/>
      <dgm:spPr/>
      <dgm:t>
        <a:bodyPr/>
        <a:lstStyle/>
        <a:p>
          <a:endParaRPr lang="en-IN"/>
        </a:p>
      </dgm:t>
    </dgm:pt>
    <dgm:pt modelId="{0B9DA72C-4A1F-48C1-9D74-FCD3D3E47E6B}" type="sibTrans" cxnId="{6F409928-2B9A-437F-8031-ED26E94B1252}">
      <dgm:prSet/>
      <dgm:spPr/>
      <dgm:t>
        <a:bodyPr/>
        <a:lstStyle/>
        <a:p>
          <a:endParaRPr lang="en-IN"/>
        </a:p>
      </dgm:t>
    </dgm:pt>
    <dgm:pt modelId="{C8090CAF-DFE6-45D9-BC26-DE2B618ABDAD}">
      <dgm:prSet phldrT="[Text]"/>
      <dgm:spPr/>
      <dgm:t>
        <a:bodyPr/>
        <a:lstStyle/>
        <a:p>
          <a:r>
            <a:rPr lang="en-IN"/>
            <a:t>Central Region</a:t>
          </a:r>
        </a:p>
        <a:p>
          <a:r>
            <a:rPr lang="en-IN"/>
            <a:t>Best Product: Storex DuraTech Recycled Plastic Frosted Binders </a:t>
          </a:r>
        </a:p>
        <a:p>
          <a:r>
            <a:rPr lang="en-IN"/>
            <a:t>Worst Product: GE 30524EE4 </a:t>
          </a:r>
        </a:p>
      </dgm:t>
    </dgm:pt>
    <dgm:pt modelId="{AB341848-2B39-4C07-ACB0-E17233502A6C}" type="parTrans" cxnId="{854F4876-A885-4202-8089-28BFB6044D0C}">
      <dgm:prSet/>
      <dgm:spPr/>
      <dgm:t>
        <a:bodyPr/>
        <a:lstStyle/>
        <a:p>
          <a:endParaRPr lang="en-IN"/>
        </a:p>
      </dgm:t>
    </dgm:pt>
    <dgm:pt modelId="{044ADB3F-C4C4-4557-BF1C-D308CDC5C6B4}" type="sibTrans" cxnId="{854F4876-A885-4202-8089-28BFB6044D0C}">
      <dgm:prSet/>
      <dgm:spPr/>
      <dgm:t>
        <a:bodyPr/>
        <a:lstStyle/>
        <a:p>
          <a:endParaRPr lang="en-IN"/>
        </a:p>
      </dgm:t>
    </dgm:pt>
    <dgm:pt modelId="{456500E8-75FD-4B78-9E41-53914637B87B}" type="pres">
      <dgm:prSet presAssocID="{2C669775-C3D0-4723-9204-73C0EA04D267}" presName="linear" presStyleCnt="0">
        <dgm:presLayoutVars>
          <dgm:dir/>
          <dgm:resizeHandles val="exact"/>
        </dgm:presLayoutVars>
      </dgm:prSet>
      <dgm:spPr/>
    </dgm:pt>
    <dgm:pt modelId="{3D30AC30-8564-4004-AFBF-6F463545BCED}" type="pres">
      <dgm:prSet presAssocID="{A9596928-5DD3-4E5A-A649-87FA7B91C8C3}" presName="comp" presStyleCnt="0"/>
      <dgm:spPr/>
    </dgm:pt>
    <dgm:pt modelId="{AF7FE562-B7B6-47B9-96A7-E0A72D58D8A0}" type="pres">
      <dgm:prSet presAssocID="{A9596928-5DD3-4E5A-A649-87FA7B91C8C3}" presName="box" presStyleLbl="node1" presStyleIdx="0" presStyleCnt="4"/>
      <dgm:spPr/>
    </dgm:pt>
    <dgm:pt modelId="{61E1AEB2-C492-47DC-A44A-B4FC11E58941}" type="pres">
      <dgm:prSet presAssocID="{A9596928-5DD3-4E5A-A649-87FA7B91C8C3}" presName="img" presStyleLbl="fgImgPlace1" presStyleIdx="0" presStyleCnt="4" custScaleX="98652"/>
      <dgm:spPr>
        <a:blipFill>
          <a:blip xmlns:r="http://schemas.openxmlformats.org/officeDocument/2006/relationships" r:embed="rId1">
            <a:extLst>
              <a:ext uri="{96DAC541-7B7A-43D3-8B79-37D633B846F1}">
                <asvg:svgBlip xmlns:asvg="http://schemas.microsoft.com/office/drawing/2016/SVG/main" r:embed="rId2"/>
              </a:ext>
            </a:extLst>
          </a:blip>
          <a:srcRect/>
          <a:stretch>
            <a:fillRect l="-6000" r="-6000"/>
          </a:stretch>
        </a:blipFill>
      </dgm:spPr>
      <dgm:extLst>
        <a:ext uri="{E40237B7-FDA0-4F09-8148-C483321AD2D9}">
          <dgm14:cNvPr xmlns:dgm14="http://schemas.microsoft.com/office/drawing/2010/diagram" id="0" name="" descr="Caret Left with solid fill"/>
        </a:ext>
      </dgm:extLst>
    </dgm:pt>
    <dgm:pt modelId="{304010B1-7D80-407B-89E2-4281FC51B234}" type="pres">
      <dgm:prSet presAssocID="{A9596928-5DD3-4E5A-A649-87FA7B91C8C3}" presName="text" presStyleLbl="node1" presStyleIdx="0" presStyleCnt="4">
        <dgm:presLayoutVars>
          <dgm:bulletEnabled val="1"/>
        </dgm:presLayoutVars>
      </dgm:prSet>
      <dgm:spPr/>
    </dgm:pt>
    <dgm:pt modelId="{8CEEFD17-5175-4E03-9DBC-D300F272B08A}" type="pres">
      <dgm:prSet presAssocID="{DDDD4E0C-BDC6-4B03-A191-7DF052BB32F1}" presName="spacer" presStyleCnt="0"/>
      <dgm:spPr/>
    </dgm:pt>
    <dgm:pt modelId="{3350280B-05E6-4EE6-964D-3B7934B38490}" type="pres">
      <dgm:prSet presAssocID="{DC2FEBB7-C17C-4B8E-A648-CDD44CD9340B}" presName="comp" presStyleCnt="0"/>
      <dgm:spPr/>
    </dgm:pt>
    <dgm:pt modelId="{328D3299-890A-48C1-A2D9-3A1AA6B84F31}" type="pres">
      <dgm:prSet presAssocID="{DC2FEBB7-C17C-4B8E-A648-CDD44CD9340B}" presName="box" presStyleLbl="node1" presStyleIdx="1" presStyleCnt="4"/>
      <dgm:spPr/>
    </dgm:pt>
    <dgm:pt modelId="{7A93379C-E627-4871-ADB4-F2AB3CB2CFD0}" type="pres">
      <dgm:prSet presAssocID="{DC2FEBB7-C17C-4B8E-A648-CDD44CD9340B}" presName="img" presStyleLbl="fgImgPlace1" presStyleIdx="1" presStyleCnt="4"/>
      <dgm:spPr>
        <a:blipFill>
          <a:blip xmlns:r="http://schemas.openxmlformats.org/officeDocument/2006/relationships" r:embed="rId3">
            <a:extLst>
              <a:ext uri="{96DAC541-7B7A-43D3-8B79-37D633B846F1}">
                <asvg:svgBlip xmlns:asvg="http://schemas.microsoft.com/office/drawing/2016/SVG/main" r:embed="rId4"/>
              </a:ext>
            </a:extLst>
          </a:blip>
          <a:srcRect/>
          <a:stretch>
            <a:fillRect l="-6000" r="-6000"/>
          </a:stretch>
        </a:blipFill>
      </dgm:spPr>
      <dgm:extLst>
        <a:ext uri="{E40237B7-FDA0-4F09-8148-C483321AD2D9}">
          <dgm14:cNvPr xmlns:dgm14="http://schemas.microsoft.com/office/drawing/2010/diagram" id="0" name="" descr="Caret Down with solid fill"/>
        </a:ext>
      </dgm:extLst>
    </dgm:pt>
    <dgm:pt modelId="{C2D49669-2573-447F-8F46-E81D6CD51E0E}" type="pres">
      <dgm:prSet presAssocID="{DC2FEBB7-C17C-4B8E-A648-CDD44CD9340B}" presName="text" presStyleLbl="node1" presStyleIdx="1" presStyleCnt="4">
        <dgm:presLayoutVars>
          <dgm:bulletEnabled val="1"/>
        </dgm:presLayoutVars>
      </dgm:prSet>
      <dgm:spPr/>
    </dgm:pt>
    <dgm:pt modelId="{606E54B1-65EE-47AC-848E-D00A44BD982A}" type="pres">
      <dgm:prSet presAssocID="{C37D5D0D-9AC0-4BE4-BDB2-808C6FF9A28C}" presName="spacer" presStyleCnt="0"/>
      <dgm:spPr/>
    </dgm:pt>
    <dgm:pt modelId="{768BD0A4-8EE8-47F4-ABB4-5509903641BE}" type="pres">
      <dgm:prSet presAssocID="{9770A7C7-AEED-4BA3-812F-04A41757446D}" presName="comp" presStyleCnt="0"/>
      <dgm:spPr/>
    </dgm:pt>
    <dgm:pt modelId="{F54BE720-4B6F-44E7-97C9-2ADE0A9BA611}" type="pres">
      <dgm:prSet presAssocID="{9770A7C7-AEED-4BA3-812F-04A41757446D}" presName="box" presStyleLbl="node1" presStyleIdx="2" presStyleCnt="4"/>
      <dgm:spPr/>
    </dgm:pt>
    <dgm:pt modelId="{700E4D40-CE0E-4A3F-AE13-55794A11FD22}" type="pres">
      <dgm:prSet presAssocID="{9770A7C7-AEED-4BA3-812F-04A41757446D}" presName="img" presStyleLbl="fgImgPlace1" presStyleIdx="2" presStyleCnt="4"/>
      <dgm:spPr>
        <a:blipFill>
          <a:blip xmlns:r="http://schemas.openxmlformats.org/officeDocument/2006/relationships" r:embed="rId5">
            <a:extLst>
              <a:ext uri="{96DAC541-7B7A-43D3-8B79-37D633B846F1}">
                <asvg:svgBlip xmlns:asvg="http://schemas.microsoft.com/office/drawing/2016/SVG/main" r:embed="rId6"/>
              </a:ext>
            </a:extLst>
          </a:blip>
          <a:srcRect/>
          <a:stretch>
            <a:fillRect l="-6000" r="-6000"/>
          </a:stretch>
        </a:blipFill>
      </dgm:spPr>
      <dgm:extLst>
        <a:ext uri="{E40237B7-FDA0-4F09-8148-C483321AD2D9}">
          <dgm14:cNvPr xmlns:dgm14="http://schemas.microsoft.com/office/drawing/2010/diagram" id="0" name="" descr="Caret Right with solid fill"/>
        </a:ext>
      </dgm:extLst>
    </dgm:pt>
    <dgm:pt modelId="{DF6D1D0C-AFAF-4564-B739-9E23C4B99E69}" type="pres">
      <dgm:prSet presAssocID="{9770A7C7-AEED-4BA3-812F-04A41757446D}" presName="text" presStyleLbl="node1" presStyleIdx="2" presStyleCnt="4">
        <dgm:presLayoutVars>
          <dgm:bulletEnabled val="1"/>
        </dgm:presLayoutVars>
      </dgm:prSet>
      <dgm:spPr/>
    </dgm:pt>
    <dgm:pt modelId="{43D81188-DCC6-4D4E-A1BF-ADF3224A95A1}" type="pres">
      <dgm:prSet presAssocID="{6CC52AE4-F295-401D-8459-DE04DD7C63F0}" presName="spacer" presStyleCnt="0"/>
      <dgm:spPr/>
    </dgm:pt>
    <dgm:pt modelId="{70862D8D-92C3-4C8C-99AB-E4C3B775C2AF}" type="pres">
      <dgm:prSet presAssocID="{C8090CAF-DFE6-45D9-BC26-DE2B618ABDAD}" presName="comp" presStyleCnt="0"/>
      <dgm:spPr/>
    </dgm:pt>
    <dgm:pt modelId="{B5B3A204-4BA3-4E49-A474-5F34DB5026E4}" type="pres">
      <dgm:prSet presAssocID="{C8090CAF-DFE6-45D9-BC26-DE2B618ABDAD}" presName="box" presStyleLbl="node1" presStyleIdx="3" presStyleCnt="4"/>
      <dgm:spPr/>
    </dgm:pt>
    <dgm:pt modelId="{5962343A-352A-4ACC-A8FA-A9BF46FC9F55}" type="pres">
      <dgm:prSet presAssocID="{C8090CAF-DFE6-45D9-BC26-DE2B618ABDAD}" presName="img" presStyleLbl="fgImgPlace1" presStyleIdx="3" presStyleCnt="4" custScaleX="98652"/>
      <dgm:spPr>
        <a:blipFill>
          <a:blip xmlns:r="http://schemas.openxmlformats.org/officeDocument/2006/relationships" r:embed="rId7">
            <a:extLst>
              <a:ext uri="{96DAC541-7B7A-43D3-8B79-37D633B846F1}">
                <asvg:svgBlip xmlns:asvg="http://schemas.microsoft.com/office/drawing/2016/SVG/main" r:embed="rId8"/>
              </a:ext>
            </a:extLst>
          </a:blip>
          <a:srcRect/>
          <a:stretch>
            <a:fillRect l="-6000" r="-6000"/>
          </a:stretch>
        </a:blipFill>
      </dgm:spPr>
      <dgm:extLst>
        <a:ext uri="{E40237B7-FDA0-4F09-8148-C483321AD2D9}">
          <dgm14:cNvPr xmlns:dgm14="http://schemas.microsoft.com/office/drawing/2010/diagram" id="0" name="" descr="World with solid fill"/>
        </a:ext>
      </dgm:extLst>
    </dgm:pt>
    <dgm:pt modelId="{B9868B1B-951A-49CD-84E3-DBD575CC4A88}" type="pres">
      <dgm:prSet presAssocID="{C8090CAF-DFE6-45D9-BC26-DE2B618ABDAD}" presName="text" presStyleLbl="node1" presStyleIdx="3" presStyleCnt="4">
        <dgm:presLayoutVars>
          <dgm:bulletEnabled val="1"/>
        </dgm:presLayoutVars>
      </dgm:prSet>
      <dgm:spPr/>
    </dgm:pt>
  </dgm:ptLst>
  <dgm:cxnLst>
    <dgm:cxn modelId="{DD1D3101-6C81-4A22-8BC8-5A35D11F0A30}" srcId="{A9596928-5DD3-4E5A-A649-87FA7B91C8C3}" destId="{8B72DB0B-699C-4E52-A7E4-4388AEA331DE}" srcOrd="1" destOrd="0" parTransId="{7ED596BE-4B86-4AB2-A6F7-1646ED977D21}" sibTransId="{B0D06D00-619F-4C0A-85E3-733506D61796}"/>
    <dgm:cxn modelId="{0FE68607-8282-4717-8977-14F8F89E373C}" type="presOf" srcId="{8B72DB0B-699C-4E52-A7E4-4388AEA331DE}" destId="{304010B1-7D80-407B-89E2-4281FC51B234}" srcOrd="1" destOrd="2" presId="urn:microsoft.com/office/officeart/2005/8/layout/vList4"/>
    <dgm:cxn modelId="{8C2D5F08-385C-49ED-B841-BFE2A49D5B73}" srcId="{A9596928-5DD3-4E5A-A649-87FA7B91C8C3}" destId="{BCDB2096-7F71-40EF-8282-7E0FB19B01BB}" srcOrd="0" destOrd="0" parTransId="{A37842EF-77CB-4C53-83B1-1E0182B5E228}" sibTransId="{96AA672A-3CA9-4AE1-BF5A-64931DEE5A48}"/>
    <dgm:cxn modelId="{DA4F5410-0C3A-4FD8-9AD3-3DC56C8048D4}" type="presOf" srcId="{8DC1C2E0-F105-4C5F-B05A-8FAC59FF8D95}" destId="{328D3299-890A-48C1-A2D9-3A1AA6B84F31}" srcOrd="0" destOrd="2" presId="urn:microsoft.com/office/officeart/2005/8/layout/vList4"/>
    <dgm:cxn modelId="{8259A814-703A-4BEA-BEB7-F8ED1EA269B4}" srcId="{DC2FEBB7-C17C-4B8E-A648-CDD44CD9340B}" destId="{8DC1C2E0-F105-4C5F-B05A-8FAC59FF8D95}" srcOrd="1" destOrd="0" parTransId="{66BC4872-86EC-4891-951D-0324F7F89858}" sibTransId="{214680C1-9A94-4EAC-B275-096D7A85F2FF}"/>
    <dgm:cxn modelId="{9C81311C-AFF3-42EB-8AC3-CAD9C426F512}" type="presOf" srcId="{0BDC1F73-F89D-43EE-976B-34F87C827360}" destId="{DF6D1D0C-AFAF-4564-B739-9E23C4B99E69}" srcOrd="1" destOrd="2" presId="urn:microsoft.com/office/officeart/2005/8/layout/vList4"/>
    <dgm:cxn modelId="{6F409928-2B9A-437F-8031-ED26E94B1252}" srcId="{9770A7C7-AEED-4BA3-812F-04A41757446D}" destId="{0BDC1F73-F89D-43EE-976B-34F87C827360}" srcOrd="1" destOrd="0" parTransId="{1D5CE6EA-7AF5-4424-8378-B9E1FE3D4655}" sibTransId="{0B9DA72C-4A1F-48C1-9D74-FCD3D3E47E6B}"/>
    <dgm:cxn modelId="{6887ED36-0F74-4164-8EC4-86ADE74EA297}" type="presOf" srcId="{FC51B9A9-F56E-4DF2-973A-C1ED2F76E573}" destId="{DF6D1D0C-AFAF-4564-B739-9E23C4B99E69}" srcOrd="1" destOrd="1" presId="urn:microsoft.com/office/officeart/2005/8/layout/vList4"/>
    <dgm:cxn modelId="{D6550637-E5F8-4576-89EE-4C3A0A6D04D8}" type="presOf" srcId="{A9596928-5DD3-4E5A-A649-87FA7B91C8C3}" destId="{AF7FE562-B7B6-47B9-96A7-E0A72D58D8A0}" srcOrd="0" destOrd="0" presId="urn:microsoft.com/office/officeart/2005/8/layout/vList4"/>
    <dgm:cxn modelId="{11C77438-ADD5-4126-B526-4D7562E1B0B0}" type="presOf" srcId="{DC2FEBB7-C17C-4B8E-A648-CDD44CD9340B}" destId="{C2D49669-2573-447F-8F46-E81D6CD51E0E}" srcOrd="1" destOrd="0" presId="urn:microsoft.com/office/officeart/2005/8/layout/vList4"/>
    <dgm:cxn modelId="{39FA2369-5ECC-4CC3-B9EC-CB8527B14AD4}" type="presOf" srcId="{0BDC1F73-F89D-43EE-976B-34F87C827360}" destId="{F54BE720-4B6F-44E7-97C9-2ADE0A9BA611}" srcOrd="0" destOrd="2" presId="urn:microsoft.com/office/officeart/2005/8/layout/vList4"/>
    <dgm:cxn modelId="{01B9D06E-2A85-47C3-A99D-BF0768D1E375}" srcId="{2C669775-C3D0-4723-9204-73C0EA04D267}" destId="{DC2FEBB7-C17C-4B8E-A648-CDD44CD9340B}" srcOrd="1" destOrd="0" parTransId="{48578F45-AED8-433D-A228-36C99068DB9C}" sibTransId="{C37D5D0D-9AC0-4BE4-BDB2-808C6FF9A28C}"/>
    <dgm:cxn modelId="{A1717B4F-39D4-4EC3-B417-B6FB688601E1}" type="presOf" srcId="{9770A7C7-AEED-4BA3-812F-04A41757446D}" destId="{DF6D1D0C-AFAF-4564-B739-9E23C4B99E69}" srcOrd="1" destOrd="0" presId="urn:microsoft.com/office/officeart/2005/8/layout/vList4"/>
    <dgm:cxn modelId="{7732EF73-551B-4853-BD5A-AE746F849CBB}" type="presOf" srcId="{BCDB2096-7F71-40EF-8282-7E0FB19B01BB}" destId="{304010B1-7D80-407B-89E2-4281FC51B234}" srcOrd="1" destOrd="1" presId="urn:microsoft.com/office/officeart/2005/8/layout/vList4"/>
    <dgm:cxn modelId="{854F4876-A885-4202-8089-28BFB6044D0C}" srcId="{2C669775-C3D0-4723-9204-73C0EA04D267}" destId="{C8090CAF-DFE6-45D9-BC26-DE2B618ABDAD}" srcOrd="3" destOrd="0" parTransId="{AB341848-2B39-4C07-ACB0-E17233502A6C}" sibTransId="{044ADB3F-C4C4-4557-BF1C-D308CDC5C6B4}"/>
    <dgm:cxn modelId="{5E9ACD76-B92D-478C-8171-8185A373D2C9}" type="presOf" srcId="{C8090CAF-DFE6-45D9-BC26-DE2B618ABDAD}" destId="{B5B3A204-4BA3-4E49-A474-5F34DB5026E4}" srcOrd="0" destOrd="0" presId="urn:microsoft.com/office/officeart/2005/8/layout/vList4"/>
    <dgm:cxn modelId="{95A37177-C947-468A-BB03-8D5F73CBD0D0}" srcId="{9770A7C7-AEED-4BA3-812F-04A41757446D}" destId="{FC51B9A9-F56E-4DF2-973A-C1ED2F76E573}" srcOrd="0" destOrd="0" parTransId="{0F40E38E-D7FF-4D09-BE1A-F305A6FEBF8E}" sibTransId="{465EB5FC-FF12-4400-9041-C9C3763F3F47}"/>
    <dgm:cxn modelId="{76747A59-B2DC-4808-BD9B-7352176A0A61}" type="presOf" srcId="{8DC1C2E0-F105-4C5F-B05A-8FAC59FF8D95}" destId="{C2D49669-2573-447F-8F46-E81D6CD51E0E}" srcOrd="1" destOrd="2" presId="urn:microsoft.com/office/officeart/2005/8/layout/vList4"/>
    <dgm:cxn modelId="{F75D9B59-8825-40F9-823C-7430B739C391}" type="presOf" srcId="{A9596928-5DD3-4E5A-A649-87FA7B91C8C3}" destId="{304010B1-7D80-407B-89E2-4281FC51B234}" srcOrd="1" destOrd="0" presId="urn:microsoft.com/office/officeart/2005/8/layout/vList4"/>
    <dgm:cxn modelId="{5C631086-7B1A-4921-B0CC-BACFD7A00802}" srcId="{2C669775-C3D0-4723-9204-73C0EA04D267}" destId="{9770A7C7-AEED-4BA3-812F-04A41757446D}" srcOrd="2" destOrd="0" parTransId="{9D463745-75C1-4DFC-ACCA-233BA2B8040C}" sibTransId="{6CC52AE4-F295-401D-8459-DE04DD7C63F0}"/>
    <dgm:cxn modelId="{25CA81A8-A06C-4DE1-A044-51C012FAC5A7}" type="presOf" srcId="{6F403721-2929-40EF-BC7E-2BA570B16793}" destId="{328D3299-890A-48C1-A2D9-3A1AA6B84F31}" srcOrd="0" destOrd="1" presId="urn:microsoft.com/office/officeart/2005/8/layout/vList4"/>
    <dgm:cxn modelId="{4806DAA8-CC1F-42C5-8D86-2CF94199CCCF}" type="presOf" srcId="{C8090CAF-DFE6-45D9-BC26-DE2B618ABDAD}" destId="{B9868B1B-951A-49CD-84E3-DBD575CC4A88}" srcOrd="1" destOrd="0" presId="urn:microsoft.com/office/officeart/2005/8/layout/vList4"/>
    <dgm:cxn modelId="{7106D7B8-30F3-453F-8CB6-4C55FE8ED252}" type="presOf" srcId="{6F403721-2929-40EF-BC7E-2BA570B16793}" destId="{C2D49669-2573-447F-8F46-E81D6CD51E0E}" srcOrd="1" destOrd="1" presId="urn:microsoft.com/office/officeart/2005/8/layout/vList4"/>
    <dgm:cxn modelId="{F83AE6B9-E020-4829-B775-E35BC7D205DD}" type="presOf" srcId="{8B72DB0B-699C-4E52-A7E4-4388AEA331DE}" destId="{AF7FE562-B7B6-47B9-96A7-E0A72D58D8A0}" srcOrd="0" destOrd="2" presId="urn:microsoft.com/office/officeart/2005/8/layout/vList4"/>
    <dgm:cxn modelId="{89CFD7BB-BF91-4337-AFC0-37C656E43F83}" type="presOf" srcId="{FC51B9A9-F56E-4DF2-973A-C1ED2F76E573}" destId="{F54BE720-4B6F-44E7-97C9-2ADE0A9BA611}" srcOrd="0" destOrd="1" presId="urn:microsoft.com/office/officeart/2005/8/layout/vList4"/>
    <dgm:cxn modelId="{819E9EC7-3616-4581-83BA-81D9D96E21AC}" srcId="{2C669775-C3D0-4723-9204-73C0EA04D267}" destId="{A9596928-5DD3-4E5A-A649-87FA7B91C8C3}" srcOrd="0" destOrd="0" parTransId="{E9B247DD-9B33-4B1C-ACB4-69E3B6CA4E74}" sibTransId="{DDDD4E0C-BDC6-4B03-A191-7DF052BB32F1}"/>
    <dgm:cxn modelId="{F5E044CB-8830-47AF-8953-959BF0536B23}" type="presOf" srcId="{2C669775-C3D0-4723-9204-73C0EA04D267}" destId="{456500E8-75FD-4B78-9E41-53914637B87B}" srcOrd="0" destOrd="0" presId="urn:microsoft.com/office/officeart/2005/8/layout/vList4"/>
    <dgm:cxn modelId="{D7A3D2E0-577C-4FFE-B96C-3E4D8A36AE59}" type="presOf" srcId="{DC2FEBB7-C17C-4B8E-A648-CDD44CD9340B}" destId="{328D3299-890A-48C1-A2D9-3A1AA6B84F31}" srcOrd="0" destOrd="0" presId="urn:microsoft.com/office/officeart/2005/8/layout/vList4"/>
    <dgm:cxn modelId="{BE1871E4-D291-4370-A9D8-F8F7AADB27BE}" type="presOf" srcId="{9770A7C7-AEED-4BA3-812F-04A41757446D}" destId="{F54BE720-4B6F-44E7-97C9-2ADE0A9BA611}" srcOrd="0" destOrd="0" presId="urn:microsoft.com/office/officeart/2005/8/layout/vList4"/>
    <dgm:cxn modelId="{0E11E7E8-6BCA-48E1-B349-C08529992A37}" type="presOf" srcId="{BCDB2096-7F71-40EF-8282-7E0FB19B01BB}" destId="{AF7FE562-B7B6-47B9-96A7-E0A72D58D8A0}" srcOrd="0" destOrd="1" presId="urn:microsoft.com/office/officeart/2005/8/layout/vList4"/>
    <dgm:cxn modelId="{5EC3C1EC-70FC-497B-BAE8-B97316DD83C6}" srcId="{DC2FEBB7-C17C-4B8E-A648-CDD44CD9340B}" destId="{6F403721-2929-40EF-BC7E-2BA570B16793}" srcOrd="0" destOrd="0" parTransId="{75F6B0E6-2B89-4786-A03B-694FB26A99F0}" sibTransId="{9326655C-3031-47D3-90EF-D870648B5A14}"/>
    <dgm:cxn modelId="{681D8CE9-70A7-4D4E-B289-B522D25CDAB3}" type="presParOf" srcId="{456500E8-75FD-4B78-9E41-53914637B87B}" destId="{3D30AC30-8564-4004-AFBF-6F463545BCED}" srcOrd="0" destOrd="0" presId="urn:microsoft.com/office/officeart/2005/8/layout/vList4"/>
    <dgm:cxn modelId="{D202FE20-CE1D-4823-9059-FD2CFA185961}" type="presParOf" srcId="{3D30AC30-8564-4004-AFBF-6F463545BCED}" destId="{AF7FE562-B7B6-47B9-96A7-E0A72D58D8A0}" srcOrd="0" destOrd="0" presId="urn:microsoft.com/office/officeart/2005/8/layout/vList4"/>
    <dgm:cxn modelId="{7D178939-DDB4-4CC0-8E81-B51454C04DFC}" type="presParOf" srcId="{3D30AC30-8564-4004-AFBF-6F463545BCED}" destId="{61E1AEB2-C492-47DC-A44A-B4FC11E58941}" srcOrd="1" destOrd="0" presId="urn:microsoft.com/office/officeart/2005/8/layout/vList4"/>
    <dgm:cxn modelId="{4D91CC53-3D7E-4BAD-96AE-F8469140EAC2}" type="presParOf" srcId="{3D30AC30-8564-4004-AFBF-6F463545BCED}" destId="{304010B1-7D80-407B-89E2-4281FC51B234}" srcOrd="2" destOrd="0" presId="urn:microsoft.com/office/officeart/2005/8/layout/vList4"/>
    <dgm:cxn modelId="{7A7D0289-7B1A-46DB-BFFD-600E77A71700}" type="presParOf" srcId="{456500E8-75FD-4B78-9E41-53914637B87B}" destId="{8CEEFD17-5175-4E03-9DBC-D300F272B08A}" srcOrd="1" destOrd="0" presId="urn:microsoft.com/office/officeart/2005/8/layout/vList4"/>
    <dgm:cxn modelId="{D7F4F962-7A0E-4349-B745-C4875430BFEA}" type="presParOf" srcId="{456500E8-75FD-4B78-9E41-53914637B87B}" destId="{3350280B-05E6-4EE6-964D-3B7934B38490}" srcOrd="2" destOrd="0" presId="urn:microsoft.com/office/officeart/2005/8/layout/vList4"/>
    <dgm:cxn modelId="{D37C50D3-CD17-4276-B539-9B1A014B3908}" type="presParOf" srcId="{3350280B-05E6-4EE6-964D-3B7934B38490}" destId="{328D3299-890A-48C1-A2D9-3A1AA6B84F31}" srcOrd="0" destOrd="0" presId="urn:microsoft.com/office/officeart/2005/8/layout/vList4"/>
    <dgm:cxn modelId="{0E17EFA0-E5E2-4CAA-9080-0D1D0C9A898E}" type="presParOf" srcId="{3350280B-05E6-4EE6-964D-3B7934B38490}" destId="{7A93379C-E627-4871-ADB4-F2AB3CB2CFD0}" srcOrd="1" destOrd="0" presId="urn:microsoft.com/office/officeart/2005/8/layout/vList4"/>
    <dgm:cxn modelId="{1FFD237D-A02C-493A-BEB6-141EA92505F2}" type="presParOf" srcId="{3350280B-05E6-4EE6-964D-3B7934B38490}" destId="{C2D49669-2573-447F-8F46-E81D6CD51E0E}" srcOrd="2" destOrd="0" presId="urn:microsoft.com/office/officeart/2005/8/layout/vList4"/>
    <dgm:cxn modelId="{6967FA4A-6149-4E5E-84E6-05C267D1789A}" type="presParOf" srcId="{456500E8-75FD-4B78-9E41-53914637B87B}" destId="{606E54B1-65EE-47AC-848E-D00A44BD982A}" srcOrd="3" destOrd="0" presId="urn:microsoft.com/office/officeart/2005/8/layout/vList4"/>
    <dgm:cxn modelId="{8A576BBF-815C-458E-BCFD-27AA6D9049D5}" type="presParOf" srcId="{456500E8-75FD-4B78-9E41-53914637B87B}" destId="{768BD0A4-8EE8-47F4-ABB4-5509903641BE}" srcOrd="4" destOrd="0" presId="urn:microsoft.com/office/officeart/2005/8/layout/vList4"/>
    <dgm:cxn modelId="{8F222C72-2548-4FAD-AAFD-30A6B84258DD}" type="presParOf" srcId="{768BD0A4-8EE8-47F4-ABB4-5509903641BE}" destId="{F54BE720-4B6F-44E7-97C9-2ADE0A9BA611}" srcOrd="0" destOrd="0" presId="urn:microsoft.com/office/officeart/2005/8/layout/vList4"/>
    <dgm:cxn modelId="{D89E690D-5F1E-4B51-B4C9-BADCB4A42166}" type="presParOf" srcId="{768BD0A4-8EE8-47F4-ABB4-5509903641BE}" destId="{700E4D40-CE0E-4A3F-AE13-55794A11FD22}" srcOrd="1" destOrd="0" presId="urn:microsoft.com/office/officeart/2005/8/layout/vList4"/>
    <dgm:cxn modelId="{13D4EA3D-7EC6-4BB4-A548-6F1B769818CB}" type="presParOf" srcId="{768BD0A4-8EE8-47F4-ABB4-5509903641BE}" destId="{DF6D1D0C-AFAF-4564-B739-9E23C4B99E69}" srcOrd="2" destOrd="0" presId="urn:microsoft.com/office/officeart/2005/8/layout/vList4"/>
    <dgm:cxn modelId="{D894F00F-3205-431B-A214-7E52332D6ED9}" type="presParOf" srcId="{456500E8-75FD-4B78-9E41-53914637B87B}" destId="{43D81188-DCC6-4D4E-A1BF-ADF3224A95A1}" srcOrd="5" destOrd="0" presId="urn:microsoft.com/office/officeart/2005/8/layout/vList4"/>
    <dgm:cxn modelId="{EC3C2A4E-B6E8-4DDE-84E4-723D21C4FAD9}" type="presParOf" srcId="{456500E8-75FD-4B78-9E41-53914637B87B}" destId="{70862D8D-92C3-4C8C-99AB-E4C3B775C2AF}" srcOrd="6" destOrd="0" presId="urn:microsoft.com/office/officeart/2005/8/layout/vList4"/>
    <dgm:cxn modelId="{7D19639A-4218-4155-A4E2-7B1CDA603890}" type="presParOf" srcId="{70862D8D-92C3-4C8C-99AB-E4C3B775C2AF}" destId="{B5B3A204-4BA3-4E49-A474-5F34DB5026E4}" srcOrd="0" destOrd="0" presId="urn:microsoft.com/office/officeart/2005/8/layout/vList4"/>
    <dgm:cxn modelId="{119384A7-86C2-42D4-B445-4E597F36B037}" type="presParOf" srcId="{70862D8D-92C3-4C8C-99AB-E4C3B775C2AF}" destId="{5962343A-352A-4ACC-A8FA-A9BF46FC9F55}" srcOrd="1" destOrd="0" presId="urn:microsoft.com/office/officeart/2005/8/layout/vList4"/>
    <dgm:cxn modelId="{5F01E18F-5A0E-46A4-B144-A1229B7C8E3A}" type="presParOf" srcId="{70862D8D-92C3-4C8C-99AB-E4C3B775C2AF}" destId="{B9868B1B-951A-49CD-84E3-DBD575CC4A88}" srcOrd="2" destOrd="0" presId="urn:microsoft.com/office/officeart/2005/8/layout/vList4"/>
  </dgm:cxnLst>
  <dgm:bg/>
  <dgm:whole/>
  <dgm:extLst>
    <a:ext uri="http://schemas.microsoft.com/office/drawing/2008/diagram">
      <dsp:dataModelExt xmlns:dsp="http://schemas.microsoft.com/office/drawing/2008/diagram" relId="rId16"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8A10631F-F9F9-4A97-A165-61C40447810E}" type="doc">
      <dgm:prSet loTypeId="urn:microsoft.com/office/officeart/2005/8/layout/vList2" loCatId="list" qsTypeId="urn:microsoft.com/office/officeart/2005/8/quickstyle/simple1" qsCatId="simple" csTypeId="urn:microsoft.com/office/officeart/2005/8/colors/accent1_2" csCatId="accent1" phldr="1"/>
      <dgm:spPr/>
      <dgm:t>
        <a:bodyPr/>
        <a:lstStyle/>
        <a:p>
          <a:endParaRPr lang="en-IN"/>
        </a:p>
      </dgm:t>
    </dgm:pt>
    <dgm:pt modelId="{F79BB8DB-1F3D-46B2-AF84-57A42C5A157C}">
      <dgm:prSet phldrT="[Text]" custT="1"/>
      <dgm:spPr/>
      <dgm:t>
        <a:bodyPr/>
        <a:lstStyle/>
        <a:p>
          <a:r>
            <a:rPr lang="en-IN" sz="2000">
              <a:latin typeface="Times New Roman" panose="02020603050405020304" pitchFamily="18" charset="0"/>
              <a:cs typeface="Times New Roman" panose="02020603050405020304" pitchFamily="18" charset="0"/>
            </a:rPr>
            <a:t>        Best Selling  Product:</a:t>
          </a:r>
        </a:p>
      </dgm:t>
    </dgm:pt>
    <dgm:pt modelId="{B467A8DD-EF90-4FF4-B29A-D37CD555B648}" type="parTrans" cxnId="{4CEDEFC3-2FDC-41D7-8A1B-548A0CBC593A}">
      <dgm:prSet/>
      <dgm:spPr/>
      <dgm:t>
        <a:bodyPr/>
        <a:lstStyle/>
        <a:p>
          <a:endParaRPr lang="en-IN"/>
        </a:p>
      </dgm:t>
    </dgm:pt>
    <dgm:pt modelId="{F0E01C6D-7899-4D3C-A64F-D1998FDDFC99}" type="sibTrans" cxnId="{4CEDEFC3-2FDC-41D7-8A1B-548A0CBC593A}">
      <dgm:prSet/>
      <dgm:spPr/>
      <dgm:t>
        <a:bodyPr/>
        <a:lstStyle/>
        <a:p>
          <a:endParaRPr lang="en-IN"/>
        </a:p>
      </dgm:t>
    </dgm:pt>
    <dgm:pt modelId="{EDF18D3C-C734-4C73-BC99-2317BF4735A5}">
      <dgm:prSet phldrT="[Text]" custT="1"/>
      <dgm:spPr/>
      <dgm:t>
        <a:bodyPr/>
        <a:lstStyle/>
        <a:p>
          <a:pPr>
            <a:buNone/>
          </a:pPr>
          <a:r>
            <a:rPr lang="en-IN" sz="1400" b="0" i="0" u="none">
              <a:latin typeface="Times New Roman" panose="02020603050405020304" pitchFamily="18" charset="0"/>
              <a:cs typeface="Times New Roman" panose="02020603050405020304" pitchFamily="18" charset="0"/>
            </a:rPr>
            <a:t>Riverside Palais Royal Lawyers Bookcase, Royale Cherry Finish</a:t>
          </a:r>
          <a:r>
            <a:rPr lang="en-IN" sz="1400">
              <a:latin typeface="Times New Roman" panose="02020603050405020304" pitchFamily="18" charset="0"/>
              <a:cs typeface="Times New Roman" panose="02020603050405020304" pitchFamily="18" charset="0"/>
            </a:rPr>
            <a:t> </a:t>
          </a:r>
        </a:p>
      </dgm:t>
    </dgm:pt>
    <dgm:pt modelId="{4AF7A61C-C2BA-4A49-89E7-C9C3A9F44EA8}" type="parTrans" cxnId="{1ED18442-948B-44F7-B166-110A9F59A07E}">
      <dgm:prSet/>
      <dgm:spPr/>
      <dgm:t>
        <a:bodyPr/>
        <a:lstStyle/>
        <a:p>
          <a:endParaRPr lang="en-IN"/>
        </a:p>
      </dgm:t>
    </dgm:pt>
    <dgm:pt modelId="{82406D5C-105C-476E-AD83-766CA9F1D665}" type="sibTrans" cxnId="{1ED18442-948B-44F7-B166-110A9F59A07E}">
      <dgm:prSet/>
      <dgm:spPr/>
      <dgm:t>
        <a:bodyPr/>
        <a:lstStyle/>
        <a:p>
          <a:endParaRPr lang="en-IN"/>
        </a:p>
      </dgm:t>
    </dgm:pt>
    <dgm:pt modelId="{BFE7A2AC-272B-416F-B0C7-745C5902B78B}">
      <dgm:prSet phldrT="[Text]" custT="1"/>
      <dgm:spPr/>
      <dgm:t>
        <a:bodyPr/>
        <a:lstStyle/>
        <a:p>
          <a:r>
            <a:rPr lang="en-IN" sz="2000">
              <a:latin typeface="Times New Roman" panose="02020603050405020304" pitchFamily="18" charset="0"/>
              <a:cs typeface="Times New Roman" panose="02020603050405020304" pitchFamily="18" charset="0"/>
            </a:rPr>
            <a:t>        Worst Selling Product:</a:t>
          </a:r>
        </a:p>
      </dgm:t>
    </dgm:pt>
    <dgm:pt modelId="{9F3EBF36-D5A0-4685-8DED-3F1FC98B3F96}" type="parTrans" cxnId="{D0622723-479D-46C5-A31A-245CF2C40662}">
      <dgm:prSet/>
      <dgm:spPr/>
      <dgm:t>
        <a:bodyPr/>
        <a:lstStyle/>
        <a:p>
          <a:endParaRPr lang="en-IN"/>
        </a:p>
      </dgm:t>
    </dgm:pt>
    <dgm:pt modelId="{EDDBD404-EDCD-40EB-A5EC-06A35686C0B7}" type="sibTrans" cxnId="{D0622723-479D-46C5-A31A-245CF2C40662}">
      <dgm:prSet/>
      <dgm:spPr/>
      <dgm:t>
        <a:bodyPr/>
        <a:lstStyle/>
        <a:p>
          <a:endParaRPr lang="en-IN"/>
        </a:p>
      </dgm:t>
    </dgm:pt>
    <dgm:pt modelId="{9BAE92AF-7D45-49CA-85BB-55364027E9AC}">
      <dgm:prSet phldrT="[Text]" custT="1"/>
      <dgm:spPr/>
      <dgm:t>
        <a:bodyPr/>
        <a:lstStyle/>
        <a:p>
          <a:pPr>
            <a:buNone/>
          </a:pPr>
          <a:r>
            <a:rPr lang="en-IN" sz="1400" b="0" i="0" u="none">
              <a:latin typeface="Times New Roman" panose="02020603050405020304" pitchFamily="18" charset="0"/>
              <a:cs typeface="Times New Roman" panose="02020603050405020304" pitchFamily="18" charset="0"/>
            </a:rPr>
            <a:t>Storex DuraTech Recycled Plastic Frosted Binders</a:t>
          </a:r>
          <a:r>
            <a:rPr lang="en-IN" sz="1400">
              <a:latin typeface="Times New Roman" panose="02020603050405020304" pitchFamily="18" charset="0"/>
              <a:cs typeface="Times New Roman" panose="02020603050405020304" pitchFamily="18" charset="0"/>
            </a:rPr>
            <a:t> </a:t>
          </a:r>
        </a:p>
      </dgm:t>
    </dgm:pt>
    <dgm:pt modelId="{49BB6E5A-E3BE-42F9-82ED-99ABE037693B}" type="parTrans" cxnId="{70F69185-E600-4B79-914E-520C3B8115BA}">
      <dgm:prSet/>
      <dgm:spPr/>
      <dgm:t>
        <a:bodyPr/>
        <a:lstStyle/>
        <a:p>
          <a:endParaRPr lang="en-IN"/>
        </a:p>
      </dgm:t>
    </dgm:pt>
    <dgm:pt modelId="{94B7D0F0-34BE-45E7-A9CD-3FDB2118F00E}" type="sibTrans" cxnId="{70F69185-E600-4B79-914E-520C3B8115BA}">
      <dgm:prSet/>
      <dgm:spPr/>
      <dgm:t>
        <a:bodyPr/>
        <a:lstStyle/>
        <a:p>
          <a:endParaRPr lang="en-IN"/>
        </a:p>
      </dgm:t>
    </dgm:pt>
    <dgm:pt modelId="{47FD05B3-2994-4129-8E03-8C6DB8CEBFD4}" type="pres">
      <dgm:prSet presAssocID="{8A10631F-F9F9-4A97-A165-61C40447810E}" presName="linear" presStyleCnt="0">
        <dgm:presLayoutVars>
          <dgm:animLvl val="lvl"/>
          <dgm:resizeHandles val="exact"/>
        </dgm:presLayoutVars>
      </dgm:prSet>
      <dgm:spPr/>
    </dgm:pt>
    <dgm:pt modelId="{7A0BD90F-B351-4793-8F9D-37075EF696A6}" type="pres">
      <dgm:prSet presAssocID="{F79BB8DB-1F3D-46B2-AF84-57A42C5A157C}" presName="parentText" presStyleLbl="node1" presStyleIdx="0" presStyleCnt="2" custLinFactNeighborX="-756" custLinFactNeighborY="-2485">
        <dgm:presLayoutVars>
          <dgm:chMax val="0"/>
          <dgm:bulletEnabled val="1"/>
        </dgm:presLayoutVars>
      </dgm:prSet>
      <dgm:spPr/>
    </dgm:pt>
    <dgm:pt modelId="{6E68D72B-9142-4E19-8098-68AB75BCA124}" type="pres">
      <dgm:prSet presAssocID="{F79BB8DB-1F3D-46B2-AF84-57A42C5A157C}" presName="childText" presStyleLbl="revTx" presStyleIdx="0" presStyleCnt="2">
        <dgm:presLayoutVars>
          <dgm:bulletEnabled val="1"/>
        </dgm:presLayoutVars>
      </dgm:prSet>
      <dgm:spPr/>
    </dgm:pt>
    <dgm:pt modelId="{B94044CD-0F26-4D5C-86AD-33A0AE7E7D38}" type="pres">
      <dgm:prSet presAssocID="{BFE7A2AC-272B-416F-B0C7-745C5902B78B}" presName="parentText" presStyleLbl="node1" presStyleIdx="1" presStyleCnt="2" custLinFactNeighborX="-2519" custLinFactNeighborY="-4434">
        <dgm:presLayoutVars>
          <dgm:chMax val="0"/>
          <dgm:bulletEnabled val="1"/>
        </dgm:presLayoutVars>
      </dgm:prSet>
      <dgm:spPr/>
    </dgm:pt>
    <dgm:pt modelId="{F0756CFA-BB5D-48C0-82D8-23C8AB48887A}" type="pres">
      <dgm:prSet presAssocID="{BFE7A2AC-272B-416F-B0C7-745C5902B78B}" presName="childText" presStyleLbl="revTx" presStyleIdx="1" presStyleCnt="2">
        <dgm:presLayoutVars>
          <dgm:bulletEnabled val="1"/>
        </dgm:presLayoutVars>
      </dgm:prSet>
      <dgm:spPr/>
    </dgm:pt>
  </dgm:ptLst>
  <dgm:cxnLst>
    <dgm:cxn modelId="{D0622723-479D-46C5-A31A-245CF2C40662}" srcId="{8A10631F-F9F9-4A97-A165-61C40447810E}" destId="{BFE7A2AC-272B-416F-B0C7-745C5902B78B}" srcOrd="1" destOrd="0" parTransId="{9F3EBF36-D5A0-4685-8DED-3F1FC98B3F96}" sibTransId="{EDDBD404-EDCD-40EB-A5EC-06A35686C0B7}"/>
    <dgm:cxn modelId="{B48ECF33-9D7C-45ED-A200-6FBC8554CA96}" type="presOf" srcId="{8A10631F-F9F9-4A97-A165-61C40447810E}" destId="{47FD05B3-2994-4129-8E03-8C6DB8CEBFD4}" srcOrd="0" destOrd="0" presId="urn:microsoft.com/office/officeart/2005/8/layout/vList2"/>
    <dgm:cxn modelId="{1ED18442-948B-44F7-B166-110A9F59A07E}" srcId="{F79BB8DB-1F3D-46B2-AF84-57A42C5A157C}" destId="{EDF18D3C-C734-4C73-BC99-2317BF4735A5}" srcOrd="0" destOrd="0" parTransId="{4AF7A61C-C2BA-4A49-89E7-C9C3A9F44EA8}" sibTransId="{82406D5C-105C-476E-AD83-766CA9F1D665}"/>
    <dgm:cxn modelId="{1775CD42-6CD6-4492-9F1F-366BA46A3330}" type="presOf" srcId="{BFE7A2AC-272B-416F-B0C7-745C5902B78B}" destId="{B94044CD-0F26-4D5C-86AD-33A0AE7E7D38}" srcOrd="0" destOrd="0" presId="urn:microsoft.com/office/officeart/2005/8/layout/vList2"/>
    <dgm:cxn modelId="{97D00F7B-115C-4588-A03D-CC744ABFA6D0}" type="presOf" srcId="{F79BB8DB-1F3D-46B2-AF84-57A42C5A157C}" destId="{7A0BD90F-B351-4793-8F9D-37075EF696A6}" srcOrd="0" destOrd="0" presId="urn:microsoft.com/office/officeart/2005/8/layout/vList2"/>
    <dgm:cxn modelId="{D84A427E-1466-4150-B52C-4406F0DC2120}" type="presOf" srcId="{9BAE92AF-7D45-49CA-85BB-55364027E9AC}" destId="{F0756CFA-BB5D-48C0-82D8-23C8AB48887A}" srcOrd="0" destOrd="0" presId="urn:microsoft.com/office/officeart/2005/8/layout/vList2"/>
    <dgm:cxn modelId="{8A696780-EC1C-43B6-9DF5-BC5A7C277B8C}" type="presOf" srcId="{EDF18D3C-C734-4C73-BC99-2317BF4735A5}" destId="{6E68D72B-9142-4E19-8098-68AB75BCA124}" srcOrd="0" destOrd="0" presId="urn:microsoft.com/office/officeart/2005/8/layout/vList2"/>
    <dgm:cxn modelId="{70F69185-E600-4B79-914E-520C3B8115BA}" srcId="{BFE7A2AC-272B-416F-B0C7-745C5902B78B}" destId="{9BAE92AF-7D45-49CA-85BB-55364027E9AC}" srcOrd="0" destOrd="0" parTransId="{49BB6E5A-E3BE-42F9-82ED-99ABE037693B}" sibTransId="{94B7D0F0-34BE-45E7-A9CD-3FDB2118F00E}"/>
    <dgm:cxn modelId="{4CEDEFC3-2FDC-41D7-8A1B-548A0CBC593A}" srcId="{8A10631F-F9F9-4A97-A165-61C40447810E}" destId="{F79BB8DB-1F3D-46B2-AF84-57A42C5A157C}" srcOrd="0" destOrd="0" parTransId="{B467A8DD-EF90-4FF4-B29A-D37CD555B648}" sibTransId="{F0E01C6D-7899-4D3C-A64F-D1998FDDFC99}"/>
    <dgm:cxn modelId="{2510D0A0-8025-4849-954E-5A80FB607011}" type="presParOf" srcId="{47FD05B3-2994-4129-8E03-8C6DB8CEBFD4}" destId="{7A0BD90F-B351-4793-8F9D-37075EF696A6}" srcOrd="0" destOrd="0" presId="urn:microsoft.com/office/officeart/2005/8/layout/vList2"/>
    <dgm:cxn modelId="{FD31D7D5-6F00-4FA0-8DB2-ED7CB5907A2C}" type="presParOf" srcId="{47FD05B3-2994-4129-8E03-8C6DB8CEBFD4}" destId="{6E68D72B-9142-4E19-8098-68AB75BCA124}" srcOrd="1" destOrd="0" presId="urn:microsoft.com/office/officeart/2005/8/layout/vList2"/>
    <dgm:cxn modelId="{34439856-722F-4933-89D1-9FD3BF07F610}" type="presParOf" srcId="{47FD05B3-2994-4129-8E03-8C6DB8CEBFD4}" destId="{B94044CD-0F26-4D5C-86AD-33A0AE7E7D38}" srcOrd="2" destOrd="0" presId="urn:microsoft.com/office/officeart/2005/8/layout/vList2"/>
    <dgm:cxn modelId="{F59D183F-E9A8-4B57-B0DF-937D22228151}" type="presParOf" srcId="{47FD05B3-2994-4129-8E03-8C6DB8CEBFD4}" destId="{F0756CFA-BB5D-48C0-82D8-23C8AB48887A}" srcOrd="3" destOrd="0" presId="urn:microsoft.com/office/officeart/2005/8/layout/vList2"/>
  </dgm:cxnLst>
  <dgm:bg/>
  <dgm:whole/>
  <dgm:extLst>
    <a:ext uri="http://schemas.microsoft.com/office/drawing/2008/diagram">
      <dsp:dataModelExt xmlns:dsp="http://schemas.microsoft.com/office/drawing/2008/diagram" relId="rId21"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AF7FE562-B7B6-47B9-96A7-E0A72D58D8A0}">
      <dsp:nvSpPr>
        <dsp:cNvPr id="0" name=""/>
        <dsp:cNvSpPr/>
      </dsp:nvSpPr>
      <dsp:spPr>
        <a:xfrm>
          <a:off x="0" y="0"/>
          <a:ext cx="3837588" cy="1059041"/>
        </a:xfrm>
        <a:prstGeom prst="roundRect">
          <a:avLst>
            <a:gd name="adj" fmla="val 10000"/>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3340" tIns="53340" rIns="53340" bIns="53340" numCol="1" spcCol="1270" anchor="t" anchorCtr="0">
          <a:noAutofit/>
        </a:bodyPr>
        <a:lstStyle/>
        <a:p>
          <a:pPr marL="0" lvl="0" indent="0" algn="l" defTabSz="622300">
            <a:lnSpc>
              <a:spcPct val="90000"/>
            </a:lnSpc>
            <a:spcBef>
              <a:spcPct val="0"/>
            </a:spcBef>
            <a:spcAft>
              <a:spcPct val="35000"/>
            </a:spcAft>
            <a:buNone/>
          </a:pPr>
          <a:r>
            <a:rPr lang="en-IN" sz="1400" kern="1200"/>
            <a:t>West Region</a:t>
          </a:r>
        </a:p>
        <a:p>
          <a:pPr marL="57150" lvl="1" indent="-57150" algn="l" defTabSz="488950">
            <a:lnSpc>
              <a:spcPct val="90000"/>
            </a:lnSpc>
            <a:spcBef>
              <a:spcPct val="0"/>
            </a:spcBef>
            <a:spcAft>
              <a:spcPct val="15000"/>
            </a:spcAft>
            <a:buChar char="•"/>
          </a:pPr>
          <a:r>
            <a:rPr lang="en-IN" sz="1100" kern="1200"/>
            <a:t>Best Product:Chromcraft Rectangular Conference Tables </a:t>
          </a:r>
        </a:p>
        <a:p>
          <a:pPr marL="57150" lvl="1" indent="-57150" algn="l" defTabSz="488950">
            <a:lnSpc>
              <a:spcPct val="90000"/>
            </a:lnSpc>
            <a:spcBef>
              <a:spcPct val="0"/>
            </a:spcBef>
            <a:spcAft>
              <a:spcPct val="15000"/>
            </a:spcAft>
            <a:buChar char="•"/>
          </a:pPr>
          <a:r>
            <a:rPr lang="en-IN" sz="1100" kern="1200"/>
            <a:t>Worst Product: Newell 322 </a:t>
          </a:r>
        </a:p>
      </dsp:txBody>
      <dsp:txXfrm>
        <a:off x="873421" y="0"/>
        <a:ext cx="2964166" cy="1059041"/>
      </dsp:txXfrm>
    </dsp:sp>
    <dsp:sp modelId="{61E1AEB2-C492-47DC-A44A-B4FC11E58941}">
      <dsp:nvSpPr>
        <dsp:cNvPr id="0" name=""/>
        <dsp:cNvSpPr/>
      </dsp:nvSpPr>
      <dsp:spPr>
        <a:xfrm>
          <a:off x="111077" y="105904"/>
          <a:ext cx="757171" cy="847233"/>
        </a:xfrm>
        <a:prstGeom prst="roundRect">
          <a:avLst>
            <a:gd name="adj" fmla="val 10000"/>
          </a:avLst>
        </a:prstGeom>
        <a:blipFill>
          <a:blip xmlns:r="http://schemas.openxmlformats.org/officeDocument/2006/relationships" r:embed="rId1">
            <a:extLst>
              <a:ext uri="{96DAC541-7B7A-43D3-8B79-37D633B846F1}">
                <asvg:svgBlip xmlns:asvg="http://schemas.microsoft.com/office/drawing/2016/SVG/main" r:embed="rId2"/>
              </a:ext>
            </a:extLst>
          </a:blip>
          <a:srcRect/>
          <a:stretch>
            <a:fillRect l="-6000" r="-6000"/>
          </a:stretch>
        </a:blip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328D3299-890A-48C1-A2D9-3A1AA6B84F31}">
      <dsp:nvSpPr>
        <dsp:cNvPr id="0" name=""/>
        <dsp:cNvSpPr/>
      </dsp:nvSpPr>
      <dsp:spPr>
        <a:xfrm>
          <a:off x="0" y="1164945"/>
          <a:ext cx="3837588" cy="1059041"/>
        </a:xfrm>
        <a:prstGeom prst="roundRect">
          <a:avLst>
            <a:gd name="adj" fmla="val 10000"/>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3340" tIns="53340" rIns="53340" bIns="53340" numCol="1" spcCol="1270" anchor="t" anchorCtr="0">
          <a:noAutofit/>
        </a:bodyPr>
        <a:lstStyle/>
        <a:p>
          <a:pPr marL="0" lvl="0" indent="0" algn="l" defTabSz="622300">
            <a:lnSpc>
              <a:spcPct val="90000"/>
            </a:lnSpc>
            <a:spcBef>
              <a:spcPct val="0"/>
            </a:spcBef>
            <a:spcAft>
              <a:spcPct val="35000"/>
            </a:spcAft>
            <a:buNone/>
          </a:pPr>
          <a:r>
            <a:rPr lang="en-IN" sz="1400" kern="1200"/>
            <a:t>South Region</a:t>
          </a:r>
        </a:p>
        <a:p>
          <a:pPr marL="57150" lvl="1" indent="-57150" algn="l" defTabSz="488950">
            <a:lnSpc>
              <a:spcPct val="90000"/>
            </a:lnSpc>
            <a:spcBef>
              <a:spcPct val="0"/>
            </a:spcBef>
            <a:spcAft>
              <a:spcPct val="15000"/>
            </a:spcAft>
            <a:buChar char="•"/>
          </a:pPr>
          <a:r>
            <a:rPr lang="en-IN" sz="1100" kern="1200"/>
            <a:t>Best Product: Bretford CR4500 Series Slim Rectangular Table </a:t>
          </a:r>
        </a:p>
        <a:p>
          <a:pPr marL="57150" lvl="1" indent="-57150" algn="l" defTabSz="488950">
            <a:lnSpc>
              <a:spcPct val="90000"/>
            </a:lnSpc>
            <a:spcBef>
              <a:spcPct val="0"/>
            </a:spcBef>
            <a:spcAft>
              <a:spcPct val="15000"/>
            </a:spcAft>
            <a:buChar char="•"/>
          </a:pPr>
          <a:r>
            <a:rPr lang="en-IN" sz="1100" kern="1200"/>
            <a:t>Worst Product: Xerox 1967 </a:t>
          </a:r>
        </a:p>
      </dsp:txBody>
      <dsp:txXfrm>
        <a:off x="873421" y="1164945"/>
        <a:ext cx="2964166" cy="1059041"/>
      </dsp:txXfrm>
    </dsp:sp>
    <dsp:sp modelId="{7A93379C-E627-4871-ADB4-F2AB3CB2CFD0}">
      <dsp:nvSpPr>
        <dsp:cNvPr id="0" name=""/>
        <dsp:cNvSpPr/>
      </dsp:nvSpPr>
      <dsp:spPr>
        <a:xfrm>
          <a:off x="105904" y="1270849"/>
          <a:ext cx="767517" cy="847233"/>
        </a:xfrm>
        <a:prstGeom prst="roundRect">
          <a:avLst>
            <a:gd name="adj" fmla="val 10000"/>
          </a:avLst>
        </a:prstGeom>
        <a:blipFill>
          <a:blip xmlns:r="http://schemas.openxmlformats.org/officeDocument/2006/relationships" r:embed="rId3">
            <a:extLst>
              <a:ext uri="{96DAC541-7B7A-43D3-8B79-37D633B846F1}">
                <asvg:svgBlip xmlns:asvg="http://schemas.microsoft.com/office/drawing/2016/SVG/main" r:embed="rId4"/>
              </a:ext>
            </a:extLst>
          </a:blip>
          <a:srcRect/>
          <a:stretch>
            <a:fillRect l="-6000" r="-6000"/>
          </a:stretch>
        </a:blip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F54BE720-4B6F-44E7-97C9-2ADE0A9BA611}">
      <dsp:nvSpPr>
        <dsp:cNvPr id="0" name=""/>
        <dsp:cNvSpPr/>
      </dsp:nvSpPr>
      <dsp:spPr>
        <a:xfrm>
          <a:off x="0" y="2329891"/>
          <a:ext cx="3837588" cy="1059041"/>
        </a:xfrm>
        <a:prstGeom prst="roundRect">
          <a:avLst>
            <a:gd name="adj" fmla="val 10000"/>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3340" tIns="53340" rIns="53340" bIns="53340" numCol="1" spcCol="1270" anchor="t" anchorCtr="0">
          <a:noAutofit/>
        </a:bodyPr>
        <a:lstStyle/>
        <a:p>
          <a:pPr marL="0" lvl="0" indent="0" algn="l" defTabSz="622300">
            <a:lnSpc>
              <a:spcPct val="90000"/>
            </a:lnSpc>
            <a:spcBef>
              <a:spcPct val="0"/>
            </a:spcBef>
            <a:spcAft>
              <a:spcPct val="35000"/>
            </a:spcAft>
            <a:buNone/>
          </a:pPr>
          <a:r>
            <a:rPr lang="en-IN" sz="1400" kern="1200"/>
            <a:t>East Region</a:t>
          </a:r>
        </a:p>
        <a:p>
          <a:pPr marL="57150" lvl="1" indent="-57150" algn="l" defTabSz="488950">
            <a:lnSpc>
              <a:spcPct val="90000"/>
            </a:lnSpc>
            <a:spcBef>
              <a:spcPct val="0"/>
            </a:spcBef>
            <a:spcAft>
              <a:spcPct val="15000"/>
            </a:spcAft>
            <a:buChar char="•"/>
          </a:pPr>
          <a:r>
            <a:rPr lang="en-IN" sz="1100" kern="1200"/>
            <a:t>Best Product: Riverside Palais Royal Lawyers Bookcase, Royale Cherry Finish </a:t>
          </a:r>
        </a:p>
        <a:p>
          <a:pPr marL="57150" lvl="1" indent="-57150" algn="l" defTabSz="488950">
            <a:lnSpc>
              <a:spcPct val="90000"/>
            </a:lnSpc>
            <a:spcBef>
              <a:spcPct val="0"/>
            </a:spcBef>
            <a:spcAft>
              <a:spcPct val="15000"/>
            </a:spcAft>
            <a:buChar char="•"/>
          </a:pPr>
          <a:r>
            <a:rPr lang="en-IN" sz="1100" kern="1200"/>
            <a:t>Worst Product: Poly String Tie Envelopes </a:t>
          </a:r>
        </a:p>
      </dsp:txBody>
      <dsp:txXfrm>
        <a:off x="873421" y="2329891"/>
        <a:ext cx="2964166" cy="1059041"/>
      </dsp:txXfrm>
    </dsp:sp>
    <dsp:sp modelId="{700E4D40-CE0E-4A3F-AE13-55794A11FD22}">
      <dsp:nvSpPr>
        <dsp:cNvPr id="0" name=""/>
        <dsp:cNvSpPr/>
      </dsp:nvSpPr>
      <dsp:spPr>
        <a:xfrm>
          <a:off x="105904" y="2435795"/>
          <a:ext cx="767517" cy="847233"/>
        </a:xfrm>
        <a:prstGeom prst="roundRect">
          <a:avLst>
            <a:gd name="adj" fmla="val 10000"/>
          </a:avLst>
        </a:prstGeom>
        <a:blipFill>
          <a:blip xmlns:r="http://schemas.openxmlformats.org/officeDocument/2006/relationships" r:embed="rId5">
            <a:extLst>
              <a:ext uri="{96DAC541-7B7A-43D3-8B79-37D633B846F1}">
                <asvg:svgBlip xmlns:asvg="http://schemas.microsoft.com/office/drawing/2016/SVG/main" r:embed="rId6"/>
              </a:ext>
            </a:extLst>
          </a:blip>
          <a:srcRect/>
          <a:stretch>
            <a:fillRect l="-6000" r="-6000"/>
          </a:stretch>
        </a:blip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B5B3A204-4BA3-4E49-A474-5F34DB5026E4}">
      <dsp:nvSpPr>
        <dsp:cNvPr id="0" name=""/>
        <dsp:cNvSpPr/>
      </dsp:nvSpPr>
      <dsp:spPr>
        <a:xfrm>
          <a:off x="0" y="3494837"/>
          <a:ext cx="3837588" cy="1059041"/>
        </a:xfrm>
        <a:prstGeom prst="roundRect">
          <a:avLst>
            <a:gd name="adj" fmla="val 10000"/>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3340" tIns="53340" rIns="53340" bIns="53340" numCol="1" spcCol="1270" anchor="ctr" anchorCtr="0">
          <a:noAutofit/>
        </a:bodyPr>
        <a:lstStyle/>
        <a:p>
          <a:pPr marL="0" lvl="0" indent="0" algn="l" defTabSz="622300">
            <a:lnSpc>
              <a:spcPct val="90000"/>
            </a:lnSpc>
            <a:spcBef>
              <a:spcPct val="0"/>
            </a:spcBef>
            <a:spcAft>
              <a:spcPct val="35000"/>
            </a:spcAft>
            <a:buNone/>
          </a:pPr>
          <a:r>
            <a:rPr lang="en-IN" sz="1400" kern="1200"/>
            <a:t>Central Region</a:t>
          </a:r>
        </a:p>
        <a:p>
          <a:pPr marL="0" lvl="0" indent="0" algn="l" defTabSz="622300">
            <a:lnSpc>
              <a:spcPct val="90000"/>
            </a:lnSpc>
            <a:spcBef>
              <a:spcPct val="0"/>
            </a:spcBef>
            <a:spcAft>
              <a:spcPct val="35000"/>
            </a:spcAft>
            <a:buNone/>
          </a:pPr>
          <a:r>
            <a:rPr lang="en-IN" sz="1400" kern="1200"/>
            <a:t>Best Product: Storex DuraTech Recycled Plastic Frosted Binders </a:t>
          </a:r>
        </a:p>
        <a:p>
          <a:pPr marL="0" lvl="0" indent="0" algn="l" defTabSz="622300">
            <a:lnSpc>
              <a:spcPct val="90000"/>
            </a:lnSpc>
            <a:spcBef>
              <a:spcPct val="0"/>
            </a:spcBef>
            <a:spcAft>
              <a:spcPct val="35000"/>
            </a:spcAft>
            <a:buNone/>
          </a:pPr>
          <a:r>
            <a:rPr lang="en-IN" sz="1400" kern="1200"/>
            <a:t>Worst Product: GE 30524EE4 </a:t>
          </a:r>
        </a:p>
      </dsp:txBody>
      <dsp:txXfrm>
        <a:off x="873421" y="3494837"/>
        <a:ext cx="2964166" cy="1059041"/>
      </dsp:txXfrm>
    </dsp:sp>
    <dsp:sp modelId="{5962343A-352A-4ACC-A8FA-A9BF46FC9F55}">
      <dsp:nvSpPr>
        <dsp:cNvPr id="0" name=""/>
        <dsp:cNvSpPr/>
      </dsp:nvSpPr>
      <dsp:spPr>
        <a:xfrm>
          <a:off x="111077" y="3600741"/>
          <a:ext cx="757171" cy="847233"/>
        </a:xfrm>
        <a:prstGeom prst="roundRect">
          <a:avLst>
            <a:gd name="adj" fmla="val 10000"/>
          </a:avLst>
        </a:prstGeom>
        <a:blipFill>
          <a:blip xmlns:r="http://schemas.openxmlformats.org/officeDocument/2006/relationships" r:embed="rId7">
            <a:extLst>
              <a:ext uri="{96DAC541-7B7A-43D3-8B79-37D633B846F1}">
                <asvg:svgBlip xmlns:asvg="http://schemas.microsoft.com/office/drawing/2016/SVG/main" r:embed="rId8"/>
              </a:ext>
            </a:extLst>
          </a:blip>
          <a:srcRect/>
          <a:stretch>
            <a:fillRect l="-6000" r="-6000"/>
          </a:stretch>
        </a:blip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7A0BD90F-B351-4793-8F9D-37075EF696A6}">
      <dsp:nvSpPr>
        <dsp:cNvPr id="0" name=""/>
        <dsp:cNvSpPr/>
      </dsp:nvSpPr>
      <dsp:spPr>
        <a:xfrm>
          <a:off x="0" y="0"/>
          <a:ext cx="3706854" cy="465257"/>
        </a:xfrm>
        <a:prstGeom prst="roundRect">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76200" tIns="76200" rIns="76200" bIns="76200" numCol="1" spcCol="1270" anchor="ctr" anchorCtr="0">
          <a:noAutofit/>
        </a:bodyPr>
        <a:lstStyle/>
        <a:p>
          <a:pPr marL="0" lvl="0" indent="0" algn="l" defTabSz="889000">
            <a:lnSpc>
              <a:spcPct val="90000"/>
            </a:lnSpc>
            <a:spcBef>
              <a:spcPct val="0"/>
            </a:spcBef>
            <a:spcAft>
              <a:spcPct val="35000"/>
            </a:spcAft>
            <a:buNone/>
          </a:pPr>
          <a:r>
            <a:rPr lang="en-IN" sz="2000" kern="1200">
              <a:latin typeface="Times New Roman" panose="02020603050405020304" pitchFamily="18" charset="0"/>
              <a:cs typeface="Times New Roman" panose="02020603050405020304" pitchFamily="18" charset="0"/>
            </a:rPr>
            <a:t>        Best Selling  Product:</a:t>
          </a:r>
        </a:p>
      </dsp:txBody>
      <dsp:txXfrm>
        <a:off x="22712" y="22712"/>
        <a:ext cx="3661430" cy="419833"/>
      </dsp:txXfrm>
    </dsp:sp>
    <dsp:sp modelId="{6E68D72B-9142-4E19-8098-68AB75BCA124}">
      <dsp:nvSpPr>
        <dsp:cNvPr id="0" name=""/>
        <dsp:cNvSpPr/>
      </dsp:nvSpPr>
      <dsp:spPr>
        <a:xfrm>
          <a:off x="0" y="465892"/>
          <a:ext cx="3706854" cy="401284"/>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117693" tIns="17780" rIns="99568" bIns="17780" numCol="1" spcCol="1270" anchor="t" anchorCtr="0">
          <a:noAutofit/>
        </a:bodyPr>
        <a:lstStyle/>
        <a:p>
          <a:pPr marL="114300" lvl="1" indent="-114300" algn="l" defTabSz="622300">
            <a:lnSpc>
              <a:spcPct val="90000"/>
            </a:lnSpc>
            <a:spcBef>
              <a:spcPct val="0"/>
            </a:spcBef>
            <a:spcAft>
              <a:spcPct val="20000"/>
            </a:spcAft>
            <a:buNone/>
          </a:pPr>
          <a:r>
            <a:rPr lang="en-IN" sz="1400" b="0" i="0" u="none" kern="1200">
              <a:latin typeface="Times New Roman" panose="02020603050405020304" pitchFamily="18" charset="0"/>
              <a:cs typeface="Times New Roman" panose="02020603050405020304" pitchFamily="18" charset="0"/>
            </a:rPr>
            <a:t>Riverside Palais Royal Lawyers Bookcase, Royale Cherry Finish</a:t>
          </a:r>
          <a:r>
            <a:rPr lang="en-IN" sz="1400" kern="1200">
              <a:latin typeface="Times New Roman" panose="02020603050405020304" pitchFamily="18" charset="0"/>
              <a:cs typeface="Times New Roman" panose="02020603050405020304" pitchFamily="18" charset="0"/>
            </a:rPr>
            <a:t> </a:t>
          </a:r>
        </a:p>
      </dsp:txBody>
      <dsp:txXfrm>
        <a:off x="0" y="465892"/>
        <a:ext cx="3706854" cy="401284"/>
      </dsp:txXfrm>
    </dsp:sp>
    <dsp:sp modelId="{B94044CD-0F26-4D5C-86AD-33A0AE7E7D38}">
      <dsp:nvSpPr>
        <dsp:cNvPr id="0" name=""/>
        <dsp:cNvSpPr/>
      </dsp:nvSpPr>
      <dsp:spPr>
        <a:xfrm>
          <a:off x="0" y="849384"/>
          <a:ext cx="3706854" cy="465257"/>
        </a:xfrm>
        <a:prstGeom prst="roundRect">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76200" tIns="76200" rIns="76200" bIns="76200" numCol="1" spcCol="1270" anchor="ctr" anchorCtr="0">
          <a:noAutofit/>
        </a:bodyPr>
        <a:lstStyle/>
        <a:p>
          <a:pPr marL="0" lvl="0" indent="0" algn="l" defTabSz="889000">
            <a:lnSpc>
              <a:spcPct val="90000"/>
            </a:lnSpc>
            <a:spcBef>
              <a:spcPct val="0"/>
            </a:spcBef>
            <a:spcAft>
              <a:spcPct val="35000"/>
            </a:spcAft>
            <a:buNone/>
          </a:pPr>
          <a:r>
            <a:rPr lang="en-IN" sz="2000" kern="1200">
              <a:latin typeface="Times New Roman" panose="02020603050405020304" pitchFamily="18" charset="0"/>
              <a:cs typeface="Times New Roman" panose="02020603050405020304" pitchFamily="18" charset="0"/>
            </a:rPr>
            <a:t>        Worst Selling Product:</a:t>
          </a:r>
        </a:p>
      </dsp:txBody>
      <dsp:txXfrm>
        <a:off x="22712" y="872096"/>
        <a:ext cx="3661430" cy="419833"/>
      </dsp:txXfrm>
    </dsp:sp>
    <dsp:sp modelId="{F0756CFA-BB5D-48C0-82D8-23C8AB48887A}">
      <dsp:nvSpPr>
        <dsp:cNvPr id="0" name=""/>
        <dsp:cNvSpPr/>
      </dsp:nvSpPr>
      <dsp:spPr>
        <a:xfrm>
          <a:off x="0" y="1332435"/>
          <a:ext cx="3706854" cy="401284"/>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117693" tIns="17780" rIns="99568" bIns="17780" numCol="1" spcCol="1270" anchor="t" anchorCtr="0">
          <a:noAutofit/>
        </a:bodyPr>
        <a:lstStyle/>
        <a:p>
          <a:pPr marL="114300" lvl="1" indent="-114300" algn="l" defTabSz="622300">
            <a:lnSpc>
              <a:spcPct val="90000"/>
            </a:lnSpc>
            <a:spcBef>
              <a:spcPct val="0"/>
            </a:spcBef>
            <a:spcAft>
              <a:spcPct val="20000"/>
            </a:spcAft>
            <a:buNone/>
          </a:pPr>
          <a:r>
            <a:rPr lang="en-IN" sz="1400" b="0" i="0" u="none" kern="1200">
              <a:latin typeface="Times New Roman" panose="02020603050405020304" pitchFamily="18" charset="0"/>
              <a:cs typeface="Times New Roman" panose="02020603050405020304" pitchFamily="18" charset="0"/>
            </a:rPr>
            <a:t>Storex DuraTech Recycled Plastic Frosted Binders</a:t>
          </a:r>
          <a:r>
            <a:rPr lang="en-IN" sz="1400" kern="1200">
              <a:latin typeface="Times New Roman" panose="02020603050405020304" pitchFamily="18" charset="0"/>
              <a:cs typeface="Times New Roman" panose="02020603050405020304" pitchFamily="18" charset="0"/>
            </a:rPr>
            <a:t> </a:t>
          </a:r>
        </a:p>
      </dsp:txBody>
      <dsp:txXfrm>
        <a:off x="0" y="1332435"/>
        <a:ext cx="3706854" cy="401284"/>
      </dsp:txXfrm>
    </dsp:sp>
  </dsp:spTree>
</dsp:drawing>
</file>

<file path=xl/diagrams/layout1.xml><?xml version="1.0" encoding="utf-8"?>
<dgm:layoutDef xmlns:dgm="http://schemas.openxmlformats.org/drawingml/2006/diagram" xmlns:a="http://schemas.openxmlformats.org/drawingml/2006/main" uniqueId="urn:microsoft.com/office/officeart/2005/8/layout/vList4">
  <dgm:title val=""/>
  <dgm:desc val=""/>
  <dgm:catLst>
    <dgm:cat type="list" pri="13000"/>
    <dgm:cat type="picture" pri="26000"/>
    <dgm:cat type="pictureconvert" pri="26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13" srcId="1" destId="11" srcOrd="0" destOrd="0"/>
        <dgm:cxn modelId="14" srcId="1" destId="12" srcOrd="0" destOrd="0"/>
        <dgm:cxn modelId="23" srcId="2" destId="21" srcOrd="0" destOrd="0"/>
        <dgm:cxn modelId="24" srcId="2" destId="22" srcOrd="0" destOrd="0"/>
        <dgm:cxn modelId="33" srcId="3" destId="31" srcOrd="0" destOrd="0"/>
        <dgm:cxn modelId="34" srcId="3" destId="32" srcOrd="0"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linear">
    <dgm:varLst>
      <dgm:dir/>
      <dgm:resizeHandles val="exact"/>
    </dgm:varLst>
    <dgm:alg type="lin">
      <dgm:param type="linDir" val="fromT"/>
      <dgm:param type="vertAlign" val="t"/>
    </dgm:alg>
    <dgm:shape xmlns:r="http://schemas.openxmlformats.org/officeDocument/2006/relationships" r:blip="">
      <dgm:adjLst/>
    </dgm:shape>
    <dgm:presOf/>
    <dgm:constrLst>
      <dgm:constr type="w" for="ch" forName="comp" refType="w"/>
      <dgm:constr type="h" for="ch" forName="comp" refType="h"/>
      <dgm:constr type="h" for="ch" forName="spacer" refType="h" refFor="ch" refForName="comp" op="equ" fact="0.1"/>
      <dgm:constr type="primFontSz" for="des" forName="text" op="equ" val="65"/>
    </dgm:constrLst>
    <dgm:ruleLst/>
    <dgm:forEach name="Name0" axis="ch" ptType="node">
      <dgm:layoutNode name="comp" styleLbl="node1">
        <dgm:alg type="composite"/>
        <dgm:shape xmlns:r="http://schemas.openxmlformats.org/officeDocument/2006/relationships" r:blip="">
          <dgm:adjLst/>
        </dgm:shape>
        <dgm:presOf/>
        <dgm:choose name="Name1">
          <dgm:if name="Name2" func="var" arg="dir" op="equ" val="norm">
            <dgm:constrLst>
              <dgm:constr type="h" for="ch" forName="box" refType="h"/>
              <dgm:constr type="w" for="ch" forName="box" refType="w"/>
              <dgm:constr type="w" for="ch" forName="img" refType="w" refFor="ch" refForName="box" fact="0.2"/>
              <dgm:constr type="h" for="ch" forName="img" refType="h" refFor="ch" refForName="box" fact="0.8"/>
              <dgm:constr type="t" for="ch" forName="img" refType="h" refFor="ch" refForName="box" fact="0.1"/>
              <dgm:constr type="l" for="ch" forName="img" refType="h" refFor="ch" refForName="box" fact="0.1"/>
              <dgm:constr type="h" for="ch" forName="text" refType="h"/>
              <dgm:constr type="l" for="ch" forName="text" refType="r" refFor="ch" refForName="img"/>
              <dgm:constr type="r" for="ch" forName="text" refType="w"/>
            </dgm:constrLst>
          </dgm:if>
          <dgm:else name="Name3">
            <dgm:constrLst>
              <dgm:constr type="h" for="ch" forName="box" refType="h"/>
              <dgm:constr type="w" for="ch" forName="box" refType="w"/>
              <dgm:constr type="w" for="ch" forName="img" refType="w" refFor="ch" refForName="box" fact="0.2"/>
              <dgm:constr type="h" for="ch" forName="img" refType="h" refFor="ch" refForName="box" fact="0.8"/>
              <dgm:constr type="t" for="ch" forName="img" refType="h" refFor="ch" refForName="box" fact="0.1"/>
              <dgm:constr type="r" for="ch" forName="img" refType="w" refFor="ch" refForName="box"/>
              <dgm:constr type="rOff" for="ch" forName="img" refType="h" refFor="ch" refForName="box" fact="-0.1"/>
              <dgm:constr type="h" for="ch" forName="text" refType="h"/>
              <dgm:constr type="r" for="ch" forName="text" refType="l" refFor="ch" refForName="img"/>
              <dgm:constr type="l" for="ch" forName="text"/>
            </dgm:constrLst>
          </dgm:else>
        </dgm:choose>
        <dgm:ruleLst/>
        <dgm:layoutNode name="box" styleLbl="node1">
          <dgm:alg type="sp"/>
          <dgm:shape xmlns:r="http://schemas.openxmlformats.org/officeDocument/2006/relationships" type="roundRect" r:blip="">
            <dgm:adjLst>
              <dgm:adj idx="1" val="0.1"/>
            </dgm:adjLst>
          </dgm:shape>
          <dgm:presOf axis="desOrSelf" ptType="node"/>
          <dgm:constrLst/>
          <dgm:ruleLst/>
        </dgm:layoutNode>
        <dgm:layoutNode name="img" styleLbl="fgImgPlace1">
          <dgm:alg type="sp"/>
          <dgm:shape xmlns:r="http://schemas.openxmlformats.org/officeDocument/2006/relationships" type="roundRect" r:blip="" blipPhldr="1">
            <dgm:adjLst>
              <dgm:adj idx="1" val="0.1"/>
            </dgm:adjLst>
          </dgm:shape>
          <dgm:presOf/>
          <dgm:constrLst/>
          <dgm:ruleLst/>
        </dgm:layoutNode>
        <dgm:layoutNode name="text">
          <dgm:varLst>
            <dgm:bulletEnabled val="1"/>
          </dgm:varLst>
          <dgm:alg type="tx">
            <dgm:param type="parTxLTRAlign" val="l"/>
            <dgm:param type="parTxRTLAlign" val="r"/>
          </dgm:alg>
          <dgm:shape xmlns:r="http://schemas.openxmlformats.org/officeDocument/2006/relationships" type="rect" r:blip="" hideGeom="1">
            <dgm:adjLst/>
          </dgm:shape>
          <dgm:presOf axis="desOrSelf" ptType="node"/>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dgm:forEach name="Name4" axis="followSib" ptType="sibTrans" cnt="1">
        <dgm:layoutNode name="spacer">
          <dgm:alg type="sp"/>
          <dgm:shape xmlns:r="http://schemas.openxmlformats.org/officeDocument/2006/relationships" r:blip="">
            <dgm:adjLst/>
          </dgm:shape>
          <dgm:presOf axis="self"/>
          <dgm:constrLst/>
          <dgm:ruleLst/>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vList2">
  <dgm:title val=""/>
  <dgm:desc val=""/>
  <dgm:catLst>
    <dgm:cat type="list" pri="3000"/>
    <dgm:cat type="convert" pri="1000"/>
  </dgm:catLst>
  <dgm:sampData>
    <dgm:dataModel>
      <dgm:ptLst>
        <dgm:pt modelId="0" type="doc"/>
        <dgm:pt modelId="1">
          <dgm:prSet phldr="1"/>
        </dgm:pt>
        <dgm:pt modelId="11">
          <dgm:prSet phldr="1"/>
        </dgm:pt>
        <dgm:pt modelId="2">
          <dgm:prSet phldr="1"/>
        </dgm:pt>
        <dgm:pt modelId="21">
          <dgm:prSet phldr="1"/>
        </dgm:pt>
      </dgm:ptLst>
      <dgm:cxnLst>
        <dgm:cxn modelId="4" srcId="0" destId="1" srcOrd="0" destOrd="0"/>
        <dgm:cxn modelId="5" srcId="0" destId="2" srcOrd="1" destOrd="0"/>
        <dgm:cxn modelId="12" srcId="1" destId="11" srcOrd="0" destOrd="0"/>
        <dgm:cxn modelId="23" srcId="2" destId="21" srcOrd="0"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linear">
    <dgm:varLst>
      <dgm:animLvl val="lvl"/>
      <dgm:resizeHandles val="exact"/>
    </dgm:varLst>
    <dgm:alg type="lin">
      <dgm:param type="linDir" val="fromT"/>
      <dgm:param type="vertAlign" val="mid"/>
    </dgm:alg>
    <dgm:shape xmlns:r="http://schemas.openxmlformats.org/officeDocument/2006/relationships" r:blip="">
      <dgm:adjLst/>
    </dgm:shape>
    <dgm:presOf/>
    <dgm:constrLst>
      <dgm:constr type="w" for="ch" forName="parentText" refType="w"/>
      <dgm:constr type="h" for="ch" forName="parentText" refType="primFontSz" refFor="ch" refForName="parentText" fact="0.52"/>
      <dgm:constr type="w" for="ch" forName="childText" refType="w"/>
      <dgm:constr type="h" for="ch" forName="childText" refType="primFontSz" refFor="ch" refForName="parentText" fact="0.46"/>
      <dgm:constr type="h" for="ch" forName="parentText" op="equ"/>
      <dgm:constr type="primFontSz" for="ch" forName="parentText" op="equ" val="65"/>
      <dgm:constr type="primFontSz" for="ch" forName="childText" refType="primFontSz" refFor="ch" refForName="parentText" op="equ"/>
      <dgm:constr type="h" for="ch" forName="spacer" refType="primFontSz" refFor="ch" refForName="parentText" fact="0.08"/>
    </dgm:constrLst>
    <dgm:ruleLst>
      <dgm:rule type="primFontSz" for="ch" forName="parentText" val="5" fact="NaN" max="NaN"/>
    </dgm:ruleLst>
    <dgm:forEach name="Name0" axis="ch" ptType="node">
      <dgm:layoutNode name="parentText" styleLbl="node1">
        <dgm:varLst>
          <dgm:chMax val="0"/>
          <dgm:bulletEnabled val="1"/>
        </dgm:varLst>
        <dgm:alg type="tx">
          <dgm:param type="parTxLTRAlign" val="l"/>
          <dgm:param type="parTxRTLAlign" val="r"/>
        </dgm:alg>
        <dgm:shape xmlns:r="http://schemas.openxmlformats.org/officeDocument/2006/relationships" type="roundRect" r:blip="">
          <dgm:adjLst/>
        </dgm:shape>
        <dgm:presOf axis="self"/>
        <dgm:constrLst>
          <dgm:constr type="tMarg" refType="primFontSz" fact="0.3"/>
          <dgm:constr type="bMarg" refType="primFontSz" fact="0.3"/>
          <dgm:constr type="lMarg" refType="primFontSz" fact="0.3"/>
          <dgm:constr type="rMarg" refType="primFontSz" fact="0.3"/>
        </dgm:constrLst>
        <dgm:ruleLst>
          <dgm:rule type="h" val="INF" fact="NaN" max="NaN"/>
        </dgm:ruleLst>
      </dgm:layoutNode>
      <dgm:choose name="Name1">
        <dgm:if name="Name2" axis="ch" ptType="node" func="cnt" op="gte" val="1">
          <dgm:layoutNode name="childText" styleLbl="revTx">
            <dgm:varLst>
              <dgm:bulletEnabled val="1"/>
            </dgm:varLst>
            <dgm:alg type="tx">
              <dgm:param type="stBulletLvl" val="1"/>
              <dgm:param type="lnSpAfChP" val="20"/>
            </dgm:alg>
            <dgm:shape xmlns:r="http://schemas.openxmlformats.org/officeDocument/2006/relationships" type="rect" r:blip="">
              <dgm:adjLst/>
            </dgm:shape>
            <dgm:presOf axis="des" ptType="node"/>
            <dgm:constrLst>
              <dgm:constr type="tMarg" refType="primFontSz" fact="0.1"/>
              <dgm:constr type="bMarg" refType="primFontSz" fact="0.1"/>
              <dgm:constr type="lMarg" refType="w" fact="0.09"/>
            </dgm:constrLst>
            <dgm:ruleLst>
              <dgm:rule type="h" val="INF" fact="NaN" max="NaN"/>
            </dgm:ruleLst>
          </dgm:layoutNode>
        </dgm:if>
        <dgm:else name="Name3">
          <dgm:choose name="Name4">
            <dgm:if name="Name5" axis="par ch" ptType="doc node" func="cnt" op="gte" val="2">
              <dgm:forEach name="Name6" axis="followSib" ptType="sibTrans" cnt="1">
                <dgm:layoutNode name="spacer">
                  <dgm:alg type="sp"/>
                  <dgm:shape xmlns:r="http://schemas.openxmlformats.org/officeDocument/2006/relationships" r:blip="">
                    <dgm:adjLst/>
                  </dgm:shape>
                  <dgm:presOf/>
                  <dgm:constrLst/>
                  <dgm:ruleLst/>
                </dgm:layoutNode>
              </dgm:forEach>
            </dgm:if>
            <dgm:else name="Name7"/>
          </dgm:choose>
        </dgm:else>
      </dgm:choose>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diagramLayout" Target="../diagrams/layout1.xml"/><Relationship Id="rId18" Type="http://schemas.openxmlformats.org/officeDocument/2006/relationships/diagramLayout" Target="../diagrams/layout2.xml"/><Relationship Id="rId26" Type="http://schemas.openxmlformats.org/officeDocument/2006/relationships/chart" Target="../charts/chart8.xml"/><Relationship Id="rId3" Type="http://schemas.openxmlformats.org/officeDocument/2006/relationships/image" Target="../media/image3.png"/><Relationship Id="rId21" Type="http://schemas.microsoft.com/office/2007/relationships/diagramDrawing" Target="../diagrams/drawing2.xml"/><Relationship Id="rId7" Type="http://schemas.openxmlformats.org/officeDocument/2006/relationships/image" Target="../media/image7.png"/><Relationship Id="rId12" Type="http://schemas.openxmlformats.org/officeDocument/2006/relationships/diagramData" Target="../diagrams/data1.xml"/><Relationship Id="rId17" Type="http://schemas.openxmlformats.org/officeDocument/2006/relationships/diagramData" Target="../diagrams/data2.xml"/><Relationship Id="rId25" Type="http://schemas.openxmlformats.org/officeDocument/2006/relationships/image" Target="../media/image20.svg"/><Relationship Id="rId2" Type="http://schemas.openxmlformats.org/officeDocument/2006/relationships/image" Target="../media/image2.svg"/><Relationship Id="rId16" Type="http://schemas.microsoft.com/office/2007/relationships/diagramDrawing" Target="../diagrams/drawing1.xml"/><Relationship Id="rId20" Type="http://schemas.openxmlformats.org/officeDocument/2006/relationships/diagramColors" Target="../diagrams/colors2.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7.xml"/><Relationship Id="rId24" Type="http://schemas.openxmlformats.org/officeDocument/2006/relationships/image" Target="../media/image19.png"/><Relationship Id="rId5" Type="http://schemas.openxmlformats.org/officeDocument/2006/relationships/image" Target="../media/image5.png"/><Relationship Id="rId15" Type="http://schemas.openxmlformats.org/officeDocument/2006/relationships/diagramColors" Target="../diagrams/colors1.xml"/><Relationship Id="rId23" Type="http://schemas.openxmlformats.org/officeDocument/2006/relationships/image" Target="../media/image18.svg"/><Relationship Id="rId10" Type="http://schemas.openxmlformats.org/officeDocument/2006/relationships/chart" Target="../charts/chart6.xml"/><Relationship Id="rId19" Type="http://schemas.openxmlformats.org/officeDocument/2006/relationships/diagramQuickStyle" Target="../diagrams/quickStyle2.xml"/><Relationship Id="rId4" Type="http://schemas.openxmlformats.org/officeDocument/2006/relationships/image" Target="../media/image4.svg"/><Relationship Id="rId9" Type="http://schemas.openxmlformats.org/officeDocument/2006/relationships/chart" Target="../charts/chart5.xml"/><Relationship Id="rId14" Type="http://schemas.openxmlformats.org/officeDocument/2006/relationships/diagramQuickStyle" Target="../diagrams/quickStyle1.xml"/><Relationship Id="rId22"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xdr:from>
      <xdr:col>0</xdr:col>
      <xdr:colOff>0</xdr:colOff>
      <xdr:row>11</xdr:row>
      <xdr:rowOff>133886</xdr:rowOff>
    </xdr:from>
    <xdr:to>
      <xdr:col>2</xdr:col>
      <xdr:colOff>423333</xdr:colOff>
      <xdr:row>21</xdr:row>
      <xdr:rowOff>15919</xdr:rowOff>
    </xdr:to>
    <xdr:graphicFrame macro="">
      <xdr:nvGraphicFramePr>
        <xdr:cNvPr id="2" name="Chart 1">
          <a:extLst>
            <a:ext uri="{FF2B5EF4-FFF2-40B4-BE49-F238E27FC236}">
              <a16:creationId xmlns:a16="http://schemas.microsoft.com/office/drawing/2014/main" id="{E69B1CCA-48E5-9951-9300-2ED0341C02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285682</xdr:colOff>
      <xdr:row>8</xdr:row>
      <xdr:rowOff>148745</xdr:rowOff>
    </xdr:from>
    <xdr:to>
      <xdr:col>19</xdr:col>
      <xdr:colOff>603994</xdr:colOff>
      <xdr:row>20</xdr:row>
      <xdr:rowOff>63500</xdr:rowOff>
    </xdr:to>
    <xdr:graphicFrame macro="">
      <xdr:nvGraphicFramePr>
        <xdr:cNvPr id="5" name="Chart 4">
          <a:extLst>
            <a:ext uri="{FF2B5EF4-FFF2-40B4-BE49-F238E27FC236}">
              <a16:creationId xmlns:a16="http://schemas.microsoft.com/office/drawing/2014/main" id="{704C251B-771F-0B20-CFB8-BA5C6C6727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499532</xdr:colOff>
      <xdr:row>63</xdr:row>
      <xdr:rowOff>101600</xdr:rowOff>
    </xdr:from>
    <xdr:to>
      <xdr:col>9</xdr:col>
      <xdr:colOff>2277533</xdr:colOff>
      <xdr:row>68</xdr:row>
      <xdr:rowOff>84667</xdr:rowOff>
    </xdr:to>
    <xdr:graphicFrame macro="">
      <xdr:nvGraphicFramePr>
        <xdr:cNvPr id="6" name="Chart 5">
          <a:extLst>
            <a:ext uri="{FF2B5EF4-FFF2-40B4-BE49-F238E27FC236}">
              <a16:creationId xmlns:a16="http://schemas.microsoft.com/office/drawing/2014/main" id="{6A13424D-373F-8DA5-0ECA-8A65DA98D1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114543</xdr:colOff>
      <xdr:row>54</xdr:row>
      <xdr:rowOff>86503</xdr:rowOff>
    </xdr:from>
    <xdr:to>
      <xdr:col>8</xdr:col>
      <xdr:colOff>336192</xdr:colOff>
      <xdr:row>69</xdr:row>
      <xdr:rowOff>48067</xdr:rowOff>
    </xdr:to>
    <xdr:graphicFrame macro="">
      <xdr:nvGraphicFramePr>
        <xdr:cNvPr id="7" name="Chart 6">
          <a:extLst>
            <a:ext uri="{FF2B5EF4-FFF2-40B4-BE49-F238E27FC236}">
              <a16:creationId xmlns:a16="http://schemas.microsoft.com/office/drawing/2014/main" id="{670449AB-FB4E-ABCC-C047-03B196BC10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79375</xdr:colOff>
      <xdr:row>8</xdr:row>
      <xdr:rowOff>149633</xdr:rowOff>
    </xdr:from>
    <xdr:to>
      <xdr:col>7</xdr:col>
      <xdr:colOff>483148</xdr:colOff>
      <xdr:row>23</xdr:row>
      <xdr:rowOff>177543</xdr:rowOff>
    </xdr:to>
    <xdr:sp macro="" textlink="">
      <xdr:nvSpPr>
        <xdr:cNvPr id="2" name="Rectangle: Rounded Corners 1">
          <a:extLst>
            <a:ext uri="{FF2B5EF4-FFF2-40B4-BE49-F238E27FC236}">
              <a16:creationId xmlns:a16="http://schemas.microsoft.com/office/drawing/2014/main" id="{F8DEE46D-0016-2AB7-4973-8C0A3BE4EC85}"/>
            </a:ext>
          </a:extLst>
        </xdr:cNvPr>
        <xdr:cNvSpPr/>
      </xdr:nvSpPr>
      <xdr:spPr>
        <a:xfrm>
          <a:off x="79375" y="1650542"/>
          <a:ext cx="4646728" cy="284211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b="1">
              <a:solidFill>
                <a:schemeClr val="accent1"/>
              </a:solidFill>
              <a:latin typeface="Times New Roman" panose="02020603050405020304" pitchFamily="18" charset="0"/>
              <a:cs typeface="Times New Roman" panose="02020603050405020304" pitchFamily="18" charset="0"/>
            </a:rPr>
            <a:t>Units</a:t>
          </a:r>
          <a:r>
            <a:rPr lang="en-IN" sz="1100" b="1" baseline="0">
              <a:solidFill>
                <a:schemeClr val="accent1"/>
              </a:solidFill>
              <a:latin typeface="Times New Roman" panose="02020603050405020304" pitchFamily="18" charset="0"/>
              <a:cs typeface="Times New Roman" panose="02020603050405020304" pitchFamily="18" charset="0"/>
            </a:rPr>
            <a:t> Sold By Product</a:t>
          </a:r>
          <a:r>
            <a:rPr lang="en-IN" sz="1100" b="1">
              <a:solidFill>
                <a:schemeClr val="accent1"/>
              </a:solidFill>
              <a:latin typeface="Times New Roman" panose="02020603050405020304" pitchFamily="18" charset="0"/>
              <a:cs typeface="Times New Roman" panose="02020603050405020304" pitchFamily="18" charset="0"/>
            </a:rPr>
            <a:t>:</a:t>
          </a:r>
        </a:p>
      </xdr:txBody>
    </xdr:sp>
    <xdr:clientData/>
  </xdr:twoCellAnchor>
  <xdr:twoCellAnchor>
    <xdr:from>
      <xdr:col>3</xdr:col>
      <xdr:colOff>104493</xdr:colOff>
      <xdr:row>4</xdr:row>
      <xdr:rowOff>160759</xdr:rowOff>
    </xdr:from>
    <xdr:to>
      <xdr:col>6</xdr:col>
      <xdr:colOff>120827</xdr:colOff>
      <xdr:row>8</xdr:row>
      <xdr:rowOff>172817</xdr:rowOff>
    </xdr:to>
    <xdr:grpSp>
      <xdr:nvGrpSpPr>
        <xdr:cNvPr id="52" name="Group 51">
          <a:extLst>
            <a:ext uri="{FF2B5EF4-FFF2-40B4-BE49-F238E27FC236}">
              <a16:creationId xmlns:a16="http://schemas.microsoft.com/office/drawing/2014/main" id="{29A12242-6935-8C8B-C908-05C9F5F98F5F}"/>
            </a:ext>
          </a:extLst>
        </xdr:cNvPr>
        <xdr:cNvGrpSpPr/>
      </xdr:nvGrpSpPr>
      <xdr:grpSpPr>
        <a:xfrm>
          <a:off x="1925449" y="907818"/>
          <a:ext cx="1837290" cy="759117"/>
          <a:chOff x="0" y="928386"/>
          <a:chExt cx="1848992" cy="751551"/>
        </a:xfrm>
      </xdr:grpSpPr>
      <xdr:sp macro="" textlink="">
        <xdr:nvSpPr>
          <xdr:cNvPr id="53" name="Rectangle: Rounded Corners 52">
            <a:extLst>
              <a:ext uri="{FF2B5EF4-FFF2-40B4-BE49-F238E27FC236}">
                <a16:creationId xmlns:a16="http://schemas.microsoft.com/office/drawing/2014/main" id="{1996C24F-A860-47F8-5CD5-CC7D17CA3440}"/>
              </a:ext>
            </a:extLst>
          </xdr:cNvPr>
          <xdr:cNvSpPr/>
        </xdr:nvSpPr>
        <xdr:spPr>
          <a:xfrm>
            <a:off x="0" y="936989"/>
            <a:ext cx="1848992" cy="74294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a:t>                                </a:t>
            </a:r>
            <a:r>
              <a:rPr lang="en-IN" sz="1100" b="1">
                <a:solidFill>
                  <a:schemeClr val="accent1"/>
                </a:solidFill>
              </a:rPr>
              <a:t> </a:t>
            </a:r>
          </a:p>
        </xdr:txBody>
      </xdr:sp>
      <xdr:grpSp>
        <xdr:nvGrpSpPr>
          <xdr:cNvPr id="54" name="Group 53">
            <a:extLst>
              <a:ext uri="{FF2B5EF4-FFF2-40B4-BE49-F238E27FC236}">
                <a16:creationId xmlns:a16="http://schemas.microsoft.com/office/drawing/2014/main" id="{53A4AE39-4C7D-C3DD-A932-6EB9759D1134}"/>
              </a:ext>
            </a:extLst>
          </xdr:cNvPr>
          <xdr:cNvGrpSpPr/>
        </xdr:nvGrpSpPr>
        <xdr:grpSpPr>
          <a:xfrm>
            <a:off x="0" y="928386"/>
            <a:ext cx="1643765" cy="750245"/>
            <a:chOff x="32153" y="928386"/>
            <a:chExt cx="1775406" cy="876139"/>
          </a:xfrm>
        </xdr:grpSpPr>
        <xdr:sp macro="" textlink="">
          <xdr:nvSpPr>
            <xdr:cNvPr id="58" name="Rectangle: Rounded Corners 57">
              <a:extLst>
                <a:ext uri="{FF2B5EF4-FFF2-40B4-BE49-F238E27FC236}">
                  <a16:creationId xmlns:a16="http://schemas.microsoft.com/office/drawing/2014/main" id="{25FBBA11-E491-ABF6-918C-381449DFDB9A}"/>
                </a:ext>
              </a:extLst>
            </xdr:cNvPr>
            <xdr:cNvSpPr/>
          </xdr:nvSpPr>
          <xdr:spPr>
            <a:xfrm>
              <a:off x="32153" y="928386"/>
              <a:ext cx="716614" cy="876139"/>
            </a:xfrm>
            <a:prstGeom prst="roundRect">
              <a:avLst>
                <a:gd name="adj" fmla="val 12405"/>
              </a:avLst>
            </a:prstGeom>
            <a:solidFill>
              <a:schemeClr val="accent1"/>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59" name="TextBox 58">
              <a:extLst>
                <a:ext uri="{FF2B5EF4-FFF2-40B4-BE49-F238E27FC236}">
                  <a16:creationId xmlns:a16="http://schemas.microsoft.com/office/drawing/2014/main" id="{47BCDDC8-CF1C-0251-5F43-65F093269CA9}"/>
                </a:ext>
              </a:extLst>
            </xdr:cNvPr>
            <xdr:cNvSpPr txBox="1"/>
          </xdr:nvSpPr>
          <xdr:spPr>
            <a:xfrm>
              <a:off x="956753" y="1422723"/>
              <a:ext cx="850806" cy="2130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i="0" u="none" strike="noStrike">
                  <a:solidFill>
                    <a:schemeClr val="tx1"/>
                  </a:solidFill>
                  <a:effectLst/>
                  <a:latin typeface="Times New Roman" panose="02020603050405020304" pitchFamily="18" charset="0"/>
                  <a:ea typeface="+mn-ea"/>
                  <a:cs typeface="Times New Roman" panose="02020603050405020304" pitchFamily="18" charset="0"/>
                </a:rPr>
                <a:t>266.2131</a:t>
              </a:r>
              <a:r>
                <a:rPr lang="en-IN" sz="1050" b="1">
                  <a:effectLst/>
                  <a:latin typeface="Times New Roman" panose="02020603050405020304" pitchFamily="18" charset="0"/>
                  <a:cs typeface="Times New Roman" panose="02020603050405020304" pitchFamily="18" charset="0"/>
                </a:rPr>
                <a:t> </a:t>
              </a:r>
              <a:endParaRPr lang="en-US" sz="1050" b="1">
                <a:latin typeface="Times New Roman" panose="02020603050405020304" pitchFamily="18" charset="0"/>
                <a:cs typeface="Times New Roman" panose="02020603050405020304" pitchFamily="18" charset="0"/>
              </a:endParaRPr>
            </a:p>
          </xdr:txBody>
        </xdr:sp>
      </xdr:grpSp>
      <xdr:sp macro="" textlink="">
        <xdr:nvSpPr>
          <xdr:cNvPr id="55" name="TextBox 54">
            <a:extLst>
              <a:ext uri="{FF2B5EF4-FFF2-40B4-BE49-F238E27FC236}">
                <a16:creationId xmlns:a16="http://schemas.microsoft.com/office/drawing/2014/main" id="{77709416-9BFA-41AB-2AB0-F7E192235DE2}"/>
              </a:ext>
            </a:extLst>
          </xdr:cNvPr>
          <xdr:cNvSpPr txBox="1"/>
        </xdr:nvSpPr>
        <xdr:spPr>
          <a:xfrm>
            <a:off x="725731" y="1085127"/>
            <a:ext cx="1032274" cy="2612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accent1"/>
                </a:solidFill>
                <a:latin typeface="Times New Roman" panose="02020603050405020304" pitchFamily="18" charset="0"/>
                <a:cs typeface="Times New Roman" panose="02020603050405020304" pitchFamily="18" charset="0"/>
              </a:rPr>
              <a:t>Average</a:t>
            </a:r>
            <a:r>
              <a:rPr lang="en-IN" sz="1100" baseline="0">
                <a:solidFill>
                  <a:schemeClr val="accent1"/>
                </a:solidFill>
                <a:latin typeface="Times New Roman" panose="02020603050405020304" pitchFamily="18" charset="0"/>
                <a:cs typeface="Times New Roman" panose="02020603050405020304" pitchFamily="18" charset="0"/>
              </a:rPr>
              <a:t> Sales:</a:t>
            </a:r>
            <a:endParaRPr lang="en-IN" sz="1100">
              <a:solidFill>
                <a:schemeClr val="accent1"/>
              </a:solidFill>
              <a:latin typeface="Times New Roman" panose="02020603050405020304" pitchFamily="18" charset="0"/>
              <a:cs typeface="Times New Roman" panose="02020603050405020304" pitchFamily="18" charset="0"/>
            </a:endParaRPr>
          </a:p>
        </xdr:txBody>
      </xdr:sp>
    </xdr:grpSp>
    <xdr:clientData/>
  </xdr:twoCellAnchor>
  <xdr:twoCellAnchor>
    <xdr:from>
      <xdr:col>0</xdr:col>
      <xdr:colOff>28133</xdr:colOff>
      <xdr:row>4</xdr:row>
      <xdr:rowOff>156740</xdr:rowOff>
    </xdr:from>
    <xdr:to>
      <xdr:col>3</xdr:col>
      <xdr:colOff>44467</xdr:colOff>
      <xdr:row>8</xdr:row>
      <xdr:rowOff>168798</xdr:rowOff>
    </xdr:to>
    <xdr:grpSp>
      <xdr:nvGrpSpPr>
        <xdr:cNvPr id="81" name="Group 80">
          <a:extLst>
            <a:ext uri="{FF2B5EF4-FFF2-40B4-BE49-F238E27FC236}">
              <a16:creationId xmlns:a16="http://schemas.microsoft.com/office/drawing/2014/main" id="{4273C3E8-2E8D-8A8D-63E4-E3078929485A}"/>
            </a:ext>
          </a:extLst>
        </xdr:cNvPr>
        <xdr:cNvGrpSpPr/>
      </xdr:nvGrpSpPr>
      <xdr:grpSpPr>
        <a:xfrm>
          <a:off x="28133" y="903799"/>
          <a:ext cx="1837290" cy="759117"/>
          <a:chOff x="0" y="928386"/>
          <a:chExt cx="1848992" cy="751551"/>
        </a:xfrm>
      </xdr:grpSpPr>
      <xdr:sp macro="" textlink="">
        <xdr:nvSpPr>
          <xdr:cNvPr id="82" name="Rectangle: Rounded Corners 81">
            <a:extLst>
              <a:ext uri="{FF2B5EF4-FFF2-40B4-BE49-F238E27FC236}">
                <a16:creationId xmlns:a16="http://schemas.microsoft.com/office/drawing/2014/main" id="{0A48BB12-E03E-7A75-BE03-5772557AFAF3}"/>
              </a:ext>
            </a:extLst>
          </xdr:cNvPr>
          <xdr:cNvSpPr/>
        </xdr:nvSpPr>
        <xdr:spPr>
          <a:xfrm>
            <a:off x="0" y="936989"/>
            <a:ext cx="1848992" cy="74294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a:t>                                </a:t>
            </a:r>
            <a:r>
              <a:rPr lang="en-IN" sz="1100" b="1">
                <a:solidFill>
                  <a:schemeClr val="accent1"/>
                </a:solidFill>
              </a:rPr>
              <a:t> </a:t>
            </a:r>
          </a:p>
        </xdr:txBody>
      </xdr:sp>
      <xdr:grpSp>
        <xdr:nvGrpSpPr>
          <xdr:cNvPr id="83" name="Group 82">
            <a:extLst>
              <a:ext uri="{FF2B5EF4-FFF2-40B4-BE49-F238E27FC236}">
                <a16:creationId xmlns:a16="http://schemas.microsoft.com/office/drawing/2014/main" id="{93ACBD8A-2F5A-0563-733C-4764CB4394CF}"/>
              </a:ext>
            </a:extLst>
          </xdr:cNvPr>
          <xdr:cNvGrpSpPr/>
        </xdr:nvGrpSpPr>
        <xdr:grpSpPr>
          <a:xfrm>
            <a:off x="0" y="928386"/>
            <a:ext cx="1627691" cy="750245"/>
            <a:chOff x="32153" y="928386"/>
            <a:chExt cx="1758044" cy="876139"/>
          </a:xfrm>
        </xdr:grpSpPr>
        <xdr:sp macro="" textlink="">
          <xdr:nvSpPr>
            <xdr:cNvPr id="87" name="Rectangle: Rounded Corners 86">
              <a:extLst>
                <a:ext uri="{FF2B5EF4-FFF2-40B4-BE49-F238E27FC236}">
                  <a16:creationId xmlns:a16="http://schemas.microsoft.com/office/drawing/2014/main" id="{AB8908F8-475E-1267-CA83-F2E7CAF31214}"/>
                </a:ext>
              </a:extLst>
            </xdr:cNvPr>
            <xdr:cNvSpPr/>
          </xdr:nvSpPr>
          <xdr:spPr>
            <a:xfrm>
              <a:off x="32153" y="928386"/>
              <a:ext cx="716614" cy="876139"/>
            </a:xfrm>
            <a:prstGeom prst="roundRect">
              <a:avLst>
                <a:gd name="adj" fmla="val 12405"/>
              </a:avLst>
            </a:prstGeom>
            <a:solidFill>
              <a:schemeClr val="accent1"/>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88" name="TextBox 87">
              <a:extLst>
                <a:ext uri="{FF2B5EF4-FFF2-40B4-BE49-F238E27FC236}">
                  <a16:creationId xmlns:a16="http://schemas.microsoft.com/office/drawing/2014/main" id="{2A53EDDB-FF1F-6F5C-DBE7-5919F6AD2829}"/>
                </a:ext>
              </a:extLst>
            </xdr:cNvPr>
            <xdr:cNvSpPr txBox="1"/>
          </xdr:nvSpPr>
          <xdr:spPr>
            <a:xfrm>
              <a:off x="969776" y="1422723"/>
              <a:ext cx="820421" cy="2130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i="0" u="none" strike="noStrike">
                  <a:solidFill>
                    <a:schemeClr val="tx1"/>
                  </a:solidFill>
                  <a:effectLst/>
                  <a:latin typeface="Times New Roman" panose="02020603050405020304" pitchFamily="18" charset="0"/>
                  <a:ea typeface="+mn-ea"/>
                  <a:cs typeface="Times New Roman" panose="02020603050405020304" pitchFamily="18" charset="0"/>
                </a:rPr>
                <a:t>19699.77</a:t>
              </a:r>
              <a:r>
                <a:rPr lang="en-IN" sz="1050">
                  <a:effectLst/>
                  <a:latin typeface="Times New Roman" panose="02020603050405020304" pitchFamily="18" charset="0"/>
                  <a:cs typeface="Times New Roman" panose="02020603050405020304" pitchFamily="18" charset="0"/>
                </a:rPr>
                <a:t> </a:t>
              </a:r>
              <a:endParaRPr lang="en-US" sz="1050" b="1">
                <a:latin typeface="Times New Roman" panose="02020603050405020304" pitchFamily="18" charset="0"/>
                <a:cs typeface="Times New Roman" panose="02020603050405020304" pitchFamily="18" charset="0"/>
              </a:endParaRPr>
            </a:p>
          </xdr:txBody>
        </xdr:sp>
      </xdr:grpSp>
      <xdr:sp macro="" textlink="">
        <xdr:nvSpPr>
          <xdr:cNvPr id="84" name="TextBox 83">
            <a:extLst>
              <a:ext uri="{FF2B5EF4-FFF2-40B4-BE49-F238E27FC236}">
                <a16:creationId xmlns:a16="http://schemas.microsoft.com/office/drawing/2014/main" id="{6AB5397D-5B1A-A648-F1A3-24E5424D05A0}"/>
              </a:ext>
            </a:extLst>
          </xdr:cNvPr>
          <xdr:cNvSpPr txBox="1"/>
        </xdr:nvSpPr>
        <xdr:spPr>
          <a:xfrm>
            <a:off x="725731" y="1085127"/>
            <a:ext cx="1032274" cy="2612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accent1"/>
                </a:solidFill>
                <a:latin typeface="Times New Roman" panose="02020603050405020304" pitchFamily="18" charset="0"/>
                <a:cs typeface="Times New Roman" panose="02020603050405020304" pitchFamily="18" charset="0"/>
              </a:rPr>
              <a:t>Total</a:t>
            </a:r>
            <a:r>
              <a:rPr lang="en-IN" sz="1100" baseline="0">
                <a:solidFill>
                  <a:schemeClr val="accent1"/>
                </a:solidFill>
                <a:latin typeface="Times New Roman" panose="02020603050405020304" pitchFamily="18" charset="0"/>
                <a:cs typeface="Times New Roman" panose="02020603050405020304" pitchFamily="18" charset="0"/>
              </a:rPr>
              <a:t> Sales:</a:t>
            </a:r>
            <a:endParaRPr lang="en-IN" sz="1100">
              <a:solidFill>
                <a:schemeClr val="accent1"/>
              </a:solidFill>
              <a:latin typeface="Times New Roman" panose="02020603050405020304" pitchFamily="18" charset="0"/>
              <a:cs typeface="Times New Roman" panose="02020603050405020304" pitchFamily="18" charset="0"/>
            </a:endParaRPr>
          </a:p>
        </xdr:txBody>
      </xdr:sp>
    </xdr:grpSp>
    <xdr:clientData/>
  </xdr:twoCellAnchor>
  <xdr:twoCellAnchor>
    <xdr:from>
      <xdr:col>6</xdr:col>
      <xdr:colOff>192911</xdr:colOff>
      <xdr:row>4</xdr:row>
      <xdr:rowOff>160759</xdr:rowOff>
    </xdr:from>
    <xdr:to>
      <xdr:col>9</xdr:col>
      <xdr:colOff>209244</xdr:colOff>
      <xdr:row>8</xdr:row>
      <xdr:rowOff>172817</xdr:rowOff>
    </xdr:to>
    <xdr:grpSp>
      <xdr:nvGrpSpPr>
        <xdr:cNvPr id="91" name="Group 90">
          <a:extLst>
            <a:ext uri="{FF2B5EF4-FFF2-40B4-BE49-F238E27FC236}">
              <a16:creationId xmlns:a16="http://schemas.microsoft.com/office/drawing/2014/main" id="{67BF627C-C7D0-9917-C004-089C3AB3E90E}"/>
            </a:ext>
          </a:extLst>
        </xdr:cNvPr>
        <xdr:cNvGrpSpPr/>
      </xdr:nvGrpSpPr>
      <xdr:grpSpPr>
        <a:xfrm>
          <a:off x="3834823" y="907818"/>
          <a:ext cx="1837289" cy="759117"/>
          <a:chOff x="0" y="928386"/>
          <a:chExt cx="1848992" cy="751551"/>
        </a:xfrm>
      </xdr:grpSpPr>
      <xdr:sp macro="" textlink="">
        <xdr:nvSpPr>
          <xdr:cNvPr id="92" name="Rectangle: Rounded Corners 91">
            <a:extLst>
              <a:ext uri="{FF2B5EF4-FFF2-40B4-BE49-F238E27FC236}">
                <a16:creationId xmlns:a16="http://schemas.microsoft.com/office/drawing/2014/main" id="{3D8002F6-14CB-D739-E187-ACA8E4E21910}"/>
              </a:ext>
            </a:extLst>
          </xdr:cNvPr>
          <xdr:cNvSpPr/>
        </xdr:nvSpPr>
        <xdr:spPr>
          <a:xfrm>
            <a:off x="0" y="936989"/>
            <a:ext cx="1848992" cy="74294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a:t>                                </a:t>
            </a:r>
            <a:r>
              <a:rPr lang="en-IN" sz="1100" b="1">
                <a:solidFill>
                  <a:schemeClr val="accent1"/>
                </a:solidFill>
              </a:rPr>
              <a:t> </a:t>
            </a:r>
          </a:p>
        </xdr:txBody>
      </xdr:sp>
      <xdr:grpSp>
        <xdr:nvGrpSpPr>
          <xdr:cNvPr id="93" name="Group 92">
            <a:extLst>
              <a:ext uri="{FF2B5EF4-FFF2-40B4-BE49-F238E27FC236}">
                <a16:creationId xmlns:a16="http://schemas.microsoft.com/office/drawing/2014/main" id="{F6FBCC16-981E-A5DD-0BAA-FA415996ACB5}"/>
              </a:ext>
            </a:extLst>
          </xdr:cNvPr>
          <xdr:cNvGrpSpPr/>
        </xdr:nvGrpSpPr>
        <xdr:grpSpPr>
          <a:xfrm>
            <a:off x="0" y="928386"/>
            <a:ext cx="1491044" cy="750245"/>
            <a:chOff x="32153" y="928386"/>
            <a:chExt cx="1610454" cy="876139"/>
          </a:xfrm>
        </xdr:grpSpPr>
        <xdr:sp macro="" textlink="">
          <xdr:nvSpPr>
            <xdr:cNvPr id="95" name="Rectangle: Rounded Corners 94">
              <a:extLst>
                <a:ext uri="{FF2B5EF4-FFF2-40B4-BE49-F238E27FC236}">
                  <a16:creationId xmlns:a16="http://schemas.microsoft.com/office/drawing/2014/main" id="{0F6DE25F-590A-D14D-A3CF-8861E6DA11DC}"/>
                </a:ext>
              </a:extLst>
            </xdr:cNvPr>
            <xdr:cNvSpPr/>
          </xdr:nvSpPr>
          <xdr:spPr>
            <a:xfrm>
              <a:off x="32153" y="928386"/>
              <a:ext cx="716614" cy="876139"/>
            </a:xfrm>
            <a:prstGeom prst="roundRect">
              <a:avLst>
                <a:gd name="adj" fmla="val 12405"/>
              </a:avLst>
            </a:prstGeom>
            <a:solidFill>
              <a:schemeClr val="accent1"/>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96" name="TextBox 95">
              <a:extLst>
                <a:ext uri="{FF2B5EF4-FFF2-40B4-BE49-F238E27FC236}">
                  <a16:creationId xmlns:a16="http://schemas.microsoft.com/office/drawing/2014/main" id="{AD144B50-15DB-FB79-2A78-468AA2DB2414}"/>
                </a:ext>
              </a:extLst>
            </xdr:cNvPr>
            <xdr:cNvSpPr txBox="1"/>
          </xdr:nvSpPr>
          <xdr:spPr>
            <a:xfrm>
              <a:off x="1126048" y="1422723"/>
              <a:ext cx="516559" cy="2130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i="0" u="none" strike="noStrike">
                  <a:solidFill>
                    <a:schemeClr val="tx1"/>
                  </a:solidFill>
                  <a:effectLst/>
                  <a:latin typeface="Times New Roman" panose="02020603050405020304" pitchFamily="18" charset="0"/>
                  <a:ea typeface="+mn-ea"/>
                  <a:cs typeface="Times New Roman" panose="02020603050405020304" pitchFamily="18" charset="0"/>
                </a:rPr>
                <a:t>290</a:t>
              </a:r>
              <a:r>
                <a:rPr lang="en-IN" sz="1050" b="1">
                  <a:effectLst/>
                  <a:latin typeface="Times New Roman" panose="02020603050405020304" pitchFamily="18" charset="0"/>
                  <a:cs typeface="Times New Roman" panose="02020603050405020304" pitchFamily="18" charset="0"/>
                </a:rPr>
                <a:t> </a:t>
              </a:r>
              <a:endParaRPr lang="en-US" sz="1050" b="1">
                <a:latin typeface="Times New Roman" panose="02020603050405020304" pitchFamily="18" charset="0"/>
                <a:cs typeface="Times New Roman" panose="02020603050405020304" pitchFamily="18" charset="0"/>
              </a:endParaRPr>
            </a:p>
          </xdr:txBody>
        </xdr:sp>
      </xdr:grpSp>
      <xdr:sp macro="" textlink="">
        <xdr:nvSpPr>
          <xdr:cNvPr id="94" name="TextBox 93">
            <a:extLst>
              <a:ext uri="{FF2B5EF4-FFF2-40B4-BE49-F238E27FC236}">
                <a16:creationId xmlns:a16="http://schemas.microsoft.com/office/drawing/2014/main" id="{8D919C23-3D57-6D4A-9594-1F76BE95F270}"/>
              </a:ext>
            </a:extLst>
          </xdr:cNvPr>
          <xdr:cNvSpPr txBox="1"/>
        </xdr:nvSpPr>
        <xdr:spPr>
          <a:xfrm>
            <a:off x="725731" y="1085127"/>
            <a:ext cx="1032274" cy="2612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accent1"/>
                </a:solidFill>
                <a:latin typeface="Times New Roman" panose="02020603050405020304" pitchFamily="18" charset="0"/>
                <a:cs typeface="Times New Roman" panose="02020603050405020304" pitchFamily="18" charset="0"/>
              </a:rPr>
              <a:t>Units</a:t>
            </a:r>
            <a:r>
              <a:rPr lang="en-IN" sz="1100" baseline="0">
                <a:solidFill>
                  <a:schemeClr val="accent1"/>
                </a:solidFill>
                <a:latin typeface="Times New Roman" panose="02020603050405020304" pitchFamily="18" charset="0"/>
                <a:cs typeface="Times New Roman" panose="02020603050405020304" pitchFamily="18" charset="0"/>
              </a:rPr>
              <a:t> Sold:</a:t>
            </a:r>
            <a:endParaRPr lang="en-IN" sz="1100">
              <a:solidFill>
                <a:schemeClr val="accent1"/>
              </a:solidFill>
              <a:latin typeface="Times New Roman" panose="02020603050405020304" pitchFamily="18" charset="0"/>
              <a:cs typeface="Times New Roman" panose="02020603050405020304" pitchFamily="18" charset="0"/>
            </a:endParaRPr>
          </a:p>
        </xdr:txBody>
      </xdr:sp>
    </xdr:grpSp>
    <xdr:clientData/>
  </xdr:twoCellAnchor>
  <xdr:twoCellAnchor>
    <xdr:from>
      <xdr:col>9</xdr:col>
      <xdr:colOff>233101</xdr:colOff>
      <xdr:row>5</xdr:row>
      <xdr:rowOff>20660</xdr:rowOff>
    </xdr:from>
    <xdr:to>
      <xdr:col>12</xdr:col>
      <xdr:colOff>249435</xdr:colOff>
      <xdr:row>9</xdr:row>
      <xdr:rowOff>24114</xdr:rowOff>
    </xdr:to>
    <xdr:grpSp>
      <xdr:nvGrpSpPr>
        <xdr:cNvPr id="112" name="Group 111">
          <a:extLst>
            <a:ext uri="{FF2B5EF4-FFF2-40B4-BE49-F238E27FC236}">
              <a16:creationId xmlns:a16="http://schemas.microsoft.com/office/drawing/2014/main" id="{A5ED22FD-1509-96B9-27B2-B5AD3147F8FC}"/>
            </a:ext>
          </a:extLst>
        </xdr:cNvPr>
        <xdr:cNvGrpSpPr/>
      </xdr:nvGrpSpPr>
      <xdr:grpSpPr>
        <a:xfrm>
          <a:off x="5695969" y="954484"/>
          <a:ext cx="1837290" cy="750512"/>
          <a:chOff x="-28133" y="945027"/>
          <a:chExt cx="1848992" cy="742948"/>
        </a:xfrm>
      </xdr:grpSpPr>
      <xdr:sp macro="" textlink="">
        <xdr:nvSpPr>
          <xdr:cNvPr id="113" name="Rectangle: Rounded Corners 112">
            <a:extLst>
              <a:ext uri="{FF2B5EF4-FFF2-40B4-BE49-F238E27FC236}">
                <a16:creationId xmlns:a16="http://schemas.microsoft.com/office/drawing/2014/main" id="{64B0731F-F4AB-5598-483B-2D15778F967B}"/>
              </a:ext>
            </a:extLst>
          </xdr:cNvPr>
          <xdr:cNvSpPr/>
        </xdr:nvSpPr>
        <xdr:spPr>
          <a:xfrm>
            <a:off x="-28133" y="945027"/>
            <a:ext cx="1848992" cy="74294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a:t>                                </a:t>
            </a:r>
            <a:r>
              <a:rPr lang="en-IN" sz="1100" b="1">
                <a:solidFill>
                  <a:schemeClr val="accent1"/>
                </a:solidFill>
              </a:rPr>
              <a:t> </a:t>
            </a:r>
          </a:p>
        </xdr:txBody>
      </xdr:sp>
      <xdr:grpSp>
        <xdr:nvGrpSpPr>
          <xdr:cNvPr id="114" name="Group 113">
            <a:extLst>
              <a:ext uri="{FF2B5EF4-FFF2-40B4-BE49-F238E27FC236}">
                <a16:creationId xmlns:a16="http://schemas.microsoft.com/office/drawing/2014/main" id="{6B408FF1-5D6A-5E74-4676-F0394EB4006E}"/>
              </a:ext>
            </a:extLst>
          </xdr:cNvPr>
          <xdr:cNvGrpSpPr/>
        </xdr:nvGrpSpPr>
        <xdr:grpSpPr>
          <a:xfrm>
            <a:off x="-24113" y="948481"/>
            <a:ext cx="1639745" cy="735475"/>
            <a:chOff x="6109" y="951852"/>
            <a:chExt cx="1771064" cy="858890"/>
          </a:xfrm>
        </xdr:grpSpPr>
        <xdr:sp macro="" textlink="">
          <xdr:nvSpPr>
            <xdr:cNvPr id="116" name="Rectangle: Rounded Corners 115">
              <a:extLst>
                <a:ext uri="{FF2B5EF4-FFF2-40B4-BE49-F238E27FC236}">
                  <a16:creationId xmlns:a16="http://schemas.microsoft.com/office/drawing/2014/main" id="{7144CED2-22D4-54BB-5D32-E9861C58F580}"/>
                </a:ext>
              </a:extLst>
            </xdr:cNvPr>
            <xdr:cNvSpPr/>
          </xdr:nvSpPr>
          <xdr:spPr>
            <a:xfrm>
              <a:off x="6109" y="951852"/>
              <a:ext cx="720581" cy="858890"/>
            </a:xfrm>
            <a:prstGeom prst="roundRect">
              <a:avLst>
                <a:gd name="adj" fmla="val 16497"/>
              </a:avLst>
            </a:prstGeom>
            <a:solidFill>
              <a:schemeClr val="accent1"/>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117" name="TextBox 116">
              <a:extLst>
                <a:ext uri="{FF2B5EF4-FFF2-40B4-BE49-F238E27FC236}">
                  <a16:creationId xmlns:a16="http://schemas.microsoft.com/office/drawing/2014/main" id="{8D5458D6-8828-8881-D654-0465CF894247}"/>
                </a:ext>
              </a:extLst>
            </xdr:cNvPr>
            <xdr:cNvSpPr txBox="1"/>
          </xdr:nvSpPr>
          <xdr:spPr>
            <a:xfrm>
              <a:off x="978458" y="1422723"/>
              <a:ext cx="798715" cy="3316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i="0" u="none" strike="noStrike">
                  <a:solidFill>
                    <a:srgbClr val="FF0000"/>
                  </a:solidFill>
                  <a:effectLst/>
                  <a:latin typeface="Times New Roman" panose="02020603050405020304" pitchFamily="18" charset="0"/>
                  <a:ea typeface="+mn-ea"/>
                  <a:cs typeface="Times New Roman" panose="02020603050405020304" pitchFamily="18" charset="0"/>
                </a:rPr>
                <a:t>-366.322</a:t>
              </a:r>
              <a:r>
                <a:rPr lang="en-IN" sz="1050" b="1">
                  <a:solidFill>
                    <a:srgbClr val="FF0000"/>
                  </a:solidFill>
                  <a:effectLst/>
                  <a:latin typeface="Times New Roman" panose="02020603050405020304" pitchFamily="18" charset="0"/>
                  <a:cs typeface="Times New Roman" panose="02020603050405020304" pitchFamily="18" charset="0"/>
                </a:rPr>
                <a:t> </a:t>
              </a:r>
              <a:endParaRPr lang="en-US" sz="1050" b="1">
                <a:solidFill>
                  <a:srgbClr val="FF0000"/>
                </a:solidFill>
                <a:latin typeface="Times New Roman" panose="02020603050405020304" pitchFamily="18" charset="0"/>
                <a:cs typeface="Times New Roman" panose="02020603050405020304" pitchFamily="18" charset="0"/>
              </a:endParaRPr>
            </a:p>
          </xdr:txBody>
        </xdr:sp>
      </xdr:grpSp>
      <xdr:sp macro="" textlink="">
        <xdr:nvSpPr>
          <xdr:cNvPr id="115" name="TextBox 114">
            <a:extLst>
              <a:ext uri="{FF2B5EF4-FFF2-40B4-BE49-F238E27FC236}">
                <a16:creationId xmlns:a16="http://schemas.microsoft.com/office/drawing/2014/main" id="{4CABA006-DAE9-10C0-4F07-221F65AE7F78}"/>
              </a:ext>
            </a:extLst>
          </xdr:cNvPr>
          <xdr:cNvSpPr txBox="1"/>
        </xdr:nvSpPr>
        <xdr:spPr>
          <a:xfrm>
            <a:off x="725731" y="1085127"/>
            <a:ext cx="1032274" cy="2612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accent1"/>
                </a:solidFill>
                <a:latin typeface="Times New Roman" panose="02020603050405020304" pitchFamily="18" charset="0"/>
                <a:cs typeface="Times New Roman" panose="02020603050405020304" pitchFamily="18" charset="0"/>
              </a:rPr>
              <a:t>Profit:</a:t>
            </a:r>
          </a:p>
        </xdr:txBody>
      </xdr:sp>
    </xdr:grpSp>
    <xdr:clientData/>
  </xdr:twoCellAnchor>
  <xdr:twoCellAnchor editAs="oneCell">
    <xdr:from>
      <xdr:col>0</xdr:col>
      <xdr:colOff>192913</xdr:colOff>
      <xdr:row>5</xdr:row>
      <xdr:rowOff>144684</xdr:rowOff>
    </xdr:from>
    <xdr:to>
      <xdr:col>0</xdr:col>
      <xdr:colOff>552913</xdr:colOff>
      <xdr:row>7</xdr:row>
      <xdr:rowOff>134937</xdr:rowOff>
    </xdr:to>
    <xdr:pic>
      <xdr:nvPicPr>
        <xdr:cNvPr id="122" name="Graphic 121" descr="Coins outline">
          <a:extLst>
            <a:ext uri="{FF2B5EF4-FFF2-40B4-BE49-F238E27FC236}">
              <a16:creationId xmlns:a16="http://schemas.microsoft.com/office/drawing/2014/main" id="{C59DAFC8-205A-A92F-57B3-AFD3CC2C614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2913" y="1069051"/>
          <a:ext cx="360000" cy="360000"/>
        </a:xfrm>
        <a:prstGeom prst="rect">
          <a:avLst/>
        </a:prstGeom>
      </xdr:spPr>
    </xdr:pic>
    <xdr:clientData/>
  </xdr:twoCellAnchor>
  <xdr:twoCellAnchor editAs="oneCell">
    <xdr:from>
      <xdr:col>3</xdr:col>
      <xdr:colOff>269273</xdr:colOff>
      <xdr:row>5</xdr:row>
      <xdr:rowOff>140664</xdr:rowOff>
    </xdr:from>
    <xdr:to>
      <xdr:col>4</xdr:col>
      <xdr:colOff>18387</xdr:colOff>
      <xdr:row>7</xdr:row>
      <xdr:rowOff>130917</xdr:rowOff>
    </xdr:to>
    <xdr:pic>
      <xdr:nvPicPr>
        <xdr:cNvPr id="130" name="Graphic 129" descr="Gold bars with solid fill">
          <a:extLst>
            <a:ext uri="{FF2B5EF4-FFF2-40B4-BE49-F238E27FC236}">
              <a16:creationId xmlns:a16="http://schemas.microsoft.com/office/drawing/2014/main" id="{2ADD70CC-1B49-7034-BAE8-D3C6C484F0C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101931" y="1065031"/>
          <a:ext cx="360000" cy="360000"/>
        </a:xfrm>
        <a:prstGeom prst="rect">
          <a:avLst/>
        </a:prstGeom>
      </xdr:spPr>
    </xdr:pic>
    <xdr:clientData/>
  </xdr:twoCellAnchor>
  <xdr:twoCellAnchor editAs="oneCell">
    <xdr:from>
      <xdr:col>9</xdr:col>
      <xdr:colOff>409936</xdr:colOff>
      <xdr:row>6</xdr:row>
      <xdr:rowOff>20094</xdr:rowOff>
    </xdr:from>
    <xdr:to>
      <xdr:col>10</xdr:col>
      <xdr:colOff>159050</xdr:colOff>
      <xdr:row>8</xdr:row>
      <xdr:rowOff>10348</xdr:rowOff>
    </xdr:to>
    <xdr:pic>
      <xdr:nvPicPr>
        <xdr:cNvPr id="132" name="Graphic 131" descr="Upward trend with solid fill">
          <a:extLst>
            <a:ext uri="{FF2B5EF4-FFF2-40B4-BE49-F238E27FC236}">
              <a16:creationId xmlns:a16="http://schemas.microsoft.com/office/drawing/2014/main" id="{2D5C02DC-0CE5-5A24-3DD3-3175BB79D2D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907911" y="1129335"/>
          <a:ext cx="360000" cy="360000"/>
        </a:xfrm>
        <a:prstGeom prst="rect">
          <a:avLst/>
        </a:prstGeom>
      </xdr:spPr>
    </xdr:pic>
    <xdr:clientData/>
  </xdr:twoCellAnchor>
  <xdr:twoCellAnchor editAs="oneCell">
    <xdr:from>
      <xdr:col>6</xdr:col>
      <xdr:colOff>337595</xdr:colOff>
      <xdr:row>5</xdr:row>
      <xdr:rowOff>164779</xdr:rowOff>
    </xdr:from>
    <xdr:to>
      <xdr:col>7</xdr:col>
      <xdr:colOff>86708</xdr:colOff>
      <xdr:row>7</xdr:row>
      <xdr:rowOff>155032</xdr:rowOff>
    </xdr:to>
    <xdr:pic>
      <xdr:nvPicPr>
        <xdr:cNvPr id="134" name="Graphic 133" descr="Rupee with solid fill">
          <a:extLst>
            <a:ext uri="{FF2B5EF4-FFF2-40B4-BE49-F238E27FC236}">
              <a16:creationId xmlns:a16="http://schemas.microsoft.com/office/drawing/2014/main" id="{409DD979-7950-9C5F-2A34-C60001135BD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002911" y="1089146"/>
          <a:ext cx="360000" cy="360000"/>
        </a:xfrm>
        <a:prstGeom prst="rect">
          <a:avLst/>
        </a:prstGeom>
      </xdr:spPr>
    </xdr:pic>
    <xdr:clientData/>
  </xdr:twoCellAnchor>
  <xdr:twoCellAnchor>
    <xdr:from>
      <xdr:col>6</xdr:col>
      <xdr:colOff>579176</xdr:colOff>
      <xdr:row>1</xdr:row>
      <xdr:rowOff>90714</xdr:rowOff>
    </xdr:from>
    <xdr:to>
      <xdr:col>15</xdr:col>
      <xdr:colOff>244229</xdr:colOff>
      <xdr:row>3</xdr:row>
      <xdr:rowOff>146538</xdr:rowOff>
    </xdr:to>
    <xdr:sp macro="" textlink="">
      <xdr:nvSpPr>
        <xdr:cNvPr id="135" name="TextBox 134">
          <a:extLst>
            <a:ext uri="{FF2B5EF4-FFF2-40B4-BE49-F238E27FC236}">
              <a16:creationId xmlns:a16="http://schemas.microsoft.com/office/drawing/2014/main" id="{0036F189-B18C-2684-56C5-266F3D8804E6}"/>
            </a:ext>
          </a:extLst>
        </xdr:cNvPr>
        <xdr:cNvSpPr txBox="1"/>
      </xdr:nvSpPr>
      <xdr:spPr>
        <a:xfrm>
          <a:off x="4221703" y="272143"/>
          <a:ext cx="5128845" cy="418681"/>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solidFill>
                <a:schemeClr val="accent1"/>
              </a:solidFill>
              <a:latin typeface="Times New Roman" panose="02020603050405020304" pitchFamily="18" charset="0"/>
              <a:cs typeface="Times New Roman" panose="02020603050405020304" pitchFamily="18" charset="0"/>
            </a:rPr>
            <a:t>SALES ANALYSIS</a:t>
          </a:r>
          <a:r>
            <a:rPr lang="en-IN" sz="2400" baseline="0">
              <a:solidFill>
                <a:schemeClr val="accent1"/>
              </a:solidFill>
              <a:latin typeface="Times New Roman" panose="02020603050405020304" pitchFamily="18" charset="0"/>
              <a:cs typeface="Times New Roman" panose="02020603050405020304" pitchFamily="18" charset="0"/>
            </a:rPr>
            <a:t> DASHBOARD</a:t>
          </a:r>
          <a:endParaRPr lang="en-IN" sz="2400">
            <a:solidFill>
              <a:schemeClr val="accent1"/>
            </a:solidFill>
            <a:latin typeface="Times New Roman" panose="02020603050405020304" pitchFamily="18" charset="0"/>
            <a:cs typeface="Times New Roman" panose="02020603050405020304" pitchFamily="18" charset="0"/>
          </a:endParaRPr>
        </a:p>
      </xdr:txBody>
    </xdr:sp>
    <xdr:clientData/>
  </xdr:twoCellAnchor>
  <xdr:twoCellAnchor editAs="oneCell">
    <xdr:from>
      <xdr:col>12</xdr:col>
      <xdr:colOff>362858</xdr:colOff>
      <xdr:row>5</xdr:row>
      <xdr:rowOff>20935</xdr:rowOff>
    </xdr:from>
    <xdr:to>
      <xdr:col>15</xdr:col>
      <xdr:colOff>432638</xdr:colOff>
      <xdr:row>9</xdr:row>
      <xdr:rowOff>13956</xdr:rowOff>
    </xdr:to>
    <mc:AlternateContent xmlns:mc="http://schemas.openxmlformats.org/markup-compatibility/2006" xmlns:a14="http://schemas.microsoft.com/office/drawing/2010/main">
      <mc:Choice Requires="a14">
        <xdr:graphicFrame macro="">
          <xdr:nvGraphicFramePr>
            <xdr:cNvPr id="140" name="Region">
              <a:extLst>
                <a:ext uri="{FF2B5EF4-FFF2-40B4-BE49-F238E27FC236}">
                  <a16:creationId xmlns:a16="http://schemas.microsoft.com/office/drawing/2014/main" id="{6E50C38E-37AC-4C48-90B3-14A80232D23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636494" y="959003"/>
              <a:ext cx="1888189" cy="7434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572753</xdr:colOff>
      <xdr:row>9</xdr:row>
      <xdr:rowOff>25771</xdr:rowOff>
    </xdr:from>
    <xdr:to>
      <xdr:col>15</xdr:col>
      <xdr:colOff>371343</xdr:colOff>
      <xdr:row>24</xdr:row>
      <xdr:rowOff>4836</xdr:rowOff>
    </xdr:to>
    <xdr:sp macro="" textlink="">
      <xdr:nvSpPr>
        <xdr:cNvPr id="142" name="Rectangle: Rounded Corners 141">
          <a:extLst>
            <a:ext uri="{FF2B5EF4-FFF2-40B4-BE49-F238E27FC236}">
              <a16:creationId xmlns:a16="http://schemas.microsoft.com/office/drawing/2014/main" id="{DA5DA9B6-F9B9-8D07-2F6A-EB05EA6292D4}"/>
            </a:ext>
          </a:extLst>
        </xdr:cNvPr>
        <xdr:cNvSpPr/>
      </xdr:nvSpPr>
      <xdr:spPr>
        <a:xfrm>
          <a:off x="4815708" y="1714294"/>
          <a:ext cx="4647680" cy="279326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b="1">
              <a:solidFill>
                <a:schemeClr val="accent1"/>
              </a:solidFill>
              <a:latin typeface="Times New Roman" panose="02020603050405020304" pitchFamily="18" charset="0"/>
              <a:cs typeface="Times New Roman" panose="02020603050405020304" pitchFamily="18" charset="0"/>
            </a:rPr>
            <a:t>Total Sales By Region:</a:t>
          </a:r>
        </a:p>
      </xdr:txBody>
    </xdr:sp>
    <xdr:clientData/>
  </xdr:twoCellAnchor>
  <xdr:twoCellAnchor>
    <xdr:from>
      <xdr:col>7</xdr:col>
      <xdr:colOff>551104</xdr:colOff>
      <xdr:row>24</xdr:row>
      <xdr:rowOff>75093</xdr:rowOff>
    </xdr:from>
    <xdr:to>
      <xdr:col>15</xdr:col>
      <xdr:colOff>349694</xdr:colOff>
      <xdr:row>39</xdr:row>
      <xdr:rowOff>103005</xdr:rowOff>
    </xdr:to>
    <xdr:sp macro="" textlink="">
      <xdr:nvSpPr>
        <xdr:cNvPr id="144" name="Rectangle: Rounded Corners 143">
          <a:extLst>
            <a:ext uri="{FF2B5EF4-FFF2-40B4-BE49-F238E27FC236}">
              <a16:creationId xmlns:a16="http://schemas.microsoft.com/office/drawing/2014/main" id="{775717FE-6B1E-FED6-F61B-0F93591FC4F7}"/>
            </a:ext>
          </a:extLst>
        </xdr:cNvPr>
        <xdr:cNvSpPr/>
      </xdr:nvSpPr>
      <xdr:spPr>
        <a:xfrm>
          <a:off x="4794059" y="4577820"/>
          <a:ext cx="4647680" cy="284211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b="1">
              <a:solidFill>
                <a:schemeClr val="accent1"/>
              </a:solidFill>
              <a:latin typeface="Times New Roman" panose="02020603050405020304" pitchFamily="18" charset="0"/>
              <a:cs typeface="Times New Roman" panose="02020603050405020304" pitchFamily="18" charset="0"/>
            </a:rPr>
            <a:t>Total Sales By Customer:</a:t>
          </a:r>
        </a:p>
      </xdr:txBody>
    </xdr:sp>
    <xdr:clientData/>
  </xdr:twoCellAnchor>
  <xdr:twoCellAnchor>
    <xdr:from>
      <xdr:col>0</xdr:col>
      <xdr:colOff>113629</xdr:colOff>
      <xdr:row>24</xdr:row>
      <xdr:rowOff>58995</xdr:rowOff>
    </xdr:from>
    <xdr:to>
      <xdr:col>7</xdr:col>
      <xdr:colOff>517402</xdr:colOff>
      <xdr:row>39</xdr:row>
      <xdr:rowOff>93091</xdr:rowOff>
    </xdr:to>
    <xdr:sp macro="" textlink="">
      <xdr:nvSpPr>
        <xdr:cNvPr id="145" name="Rectangle: Rounded Corners 144">
          <a:extLst>
            <a:ext uri="{FF2B5EF4-FFF2-40B4-BE49-F238E27FC236}">
              <a16:creationId xmlns:a16="http://schemas.microsoft.com/office/drawing/2014/main" id="{D167E8E4-ECAF-AFA9-4A64-9E2743CA06D1}"/>
            </a:ext>
          </a:extLst>
        </xdr:cNvPr>
        <xdr:cNvSpPr/>
      </xdr:nvSpPr>
      <xdr:spPr>
        <a:xfrm>
          <a:off x="113629" y="4561722"/>
          <a:ext cx="4646728" cy="284830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b="1">
              <a:solidFill>
                <a:schemeClr val="accent1"/>
              </a:solidFill>
              <a:latin typeface="Times New Roman" panose="02020603050405020304" pitchFamily="18" charset="0"/>
              <a:cs typeface="Times New Roman" panose="02020603050405020304" pitchFamily="18" charset="0"/>
            </a:rPr>
            <a:t>Total Sales By Product:</a:t>
          </a:r>
        </a:p>
      </xdr:txBody>
    </xdr:sp>
    <xdr:clientData/>
  </xdr:twoCellAnchor>
  <xdr:twoCellAnchor>
    <xdr:from>
      <xdr:col>9</xdr:col>
      <xdr:colOff>364127</xdr:colOff>
      <xdr:row>11</xdr:row>
      <xdr:rowOff>156135</xdr:rowOff>
    </xdr:from>
    <xdr:to>
      <xdr:col>14</xdr:col>
      <xdr:colOff>172414</xdr:colOff>
      <xdr:row>21</xdr:row>
      <xdr:rowOff>102051</xdr:rowOff>
    </xdr:to>
    <xdr:graphicFrame macro="">
      <xdr:nvGraphicFramePr>
        <xdr:cNvPr id="146" name="Chart 145">
          <a:extLst>
            <a:ext uri="{FF2B5EF4-FFF2-40B4-BE49-F238E27FC236}">
              <a16:creationId xmlns:a16="http://schemas.microsoft.com/office/drawing/2014/main" id="{F4936F21-2D46-42A8-8609-83CD64417B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490683</xdr:colOff>
      <xdr:row>26</xdr:row>
      <xdr:rowOff>50511</xdr:rowOff>
    </xdr:from>
    <xdr:to>
      <xdr:col>7</xdr:col>
      <xdr:colOff>324716</xdr:colOff>
      <xdr:row>39</xdr:row>
      <xdr:rowOff>61137</xdr:rowOff>
    </xdr:to>
    <xdr:graphicFrame macro="">
      <xdr:nvGraphicFramePr>
        <xdr:cNvPr id="147" name="Chart 146">
          <a:extLst>
            <a:ext uri="{FF2B5EF4-FFF2-40B4-BE49-F238E27FC236}">
              <a16:creationId xmlns:a16="http://schemas.microsoft.com/office/drawing/2014/main" id="{A0DD60BD-574F-4179-8E96-03177AED74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495042</xdr:colOff>
      <xdr:row>27</xdr:row>
      <xdr:rowOff>23154</xdr:rowOff>
    </xdr:from>
    <xdr:to>
      <xdr:col>14</xdr:col>
      <xdr:colOff>198676</xdr:colOff>
      <xdr:row>38</xdr:row>
      <xdr:rowOff>183430</xdr:rowOff>
    </xdr:to>
    <xdr:graphicFrame macro="">
      <xdr:nvGraphicFramePr>
        <xdr:cNvPr id="148" name="Chart 147">
          <a:extLst>
            <a:ext uri="{FF2B5EF4-FFF2-40B4-BE49-F238E27FC236}">
              <a16:creationId xmlns:a16="http://schemas.microsoft.com/office/drawing/2014/main" id="{2B26E73F-260E-40E3-AA94-75E1884B90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454603</xdr:colOff>
      <xdr:row>14</xdr:row>
      <xdr:rowOff>127001</xdr:rowOff>
    </xdr:from>
    <xdr:to>
      <xdr:col>22</xdr:col>
      <xdr:colOff>43294</xdr:colOff>
      <xdr:row>39</xdr:row>
      <xdr:rowOff>14432</xdr:rowOff>
    </xdr:to>
    <xdr:graphicFrame macro="">
      <xdr:nvGraphicFramePr>
        <xdr:cNvPr id="4" name="Diagram 3">
          <a:extLst>
            <a:ext uri="{FF2B5EF4-FFF2-40B4-BE49-F238E27FC236}">
              <a16:creationId xmlns:a16="http://schemas.microsoft.com/office/drawing/2014/main" id="{A0D618A5-0BAC-7F82-DE05-20314BF4CE64}"/>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2" r:lo="rId13" r:qs="rId14" r:cs="rId15"/>
        </a:graphicData>
      </a:graphic>
    </xdr:graphicFrame>
    <xdr:clientData/>
  </xdr:twoCellAnchor>
  <xdr:twoCellAnchor>
    <xdr:from>
      <xdr:col>15</xdr:col>
      <xdr:colOff>497898</xdr:colOff>
      <xdr:row>5</xdr:row>
      <xdr:rowOff>26737</xdr:rowOff>
    </xdr:from>
    <xdr:to>
      <xdr:col>21</xdr:col>
      <xdr:colOff>562840</xdr:colOff>
      <xdr:row>14</xdr:row>
      <xdr:rowOff>80210</xdr:rowOff>
    </xdr:to>
    <xdr:grpSp>
      <xdr:nvGrpSpPr>
        <xdr:cNvPr id="9" name="Group 8">
          <a:extLst>
            <a:ext uri="{FF2B5EF4-FFF2-40B4-BE49-F238E27FC236}">
              <a16:creationId xmlns:a16="http://schemas.microsoft.com/office/drawing/2014/main" id="{D33007E4-147A-899E-2D5F-593850B64A69}"/>
            </a:ext>
          </a:extLst>
        </xdr:cNvPr>
        <xdr:cNvGrpSpPr/>
      </xdr:nvGrpSpPr>
      <xdr:grpSpPr>
        <a:xfrm>
          <a:off x="9602677" y="960561"/>
          <a:ext cx="3706854" cy="1734355"/>
          <a:chOff x="9602677" y="960561"/>
          <a:chExt cx="3706854" cy="1734355"/>
        </a:xfrm>
      </xdr:grpSpPr>
      <xdr:graphicFrame macro="">
        <xdr:nvGraphicFramePr>
          <xdr:cNvPr id="3" name="Diagram 2">
            <a:extLst>
              <a:ext uri="{FF2B5EF4-FFF2-40B4-BE49-F238E27FC236}">
                <a16:creationId xmlns:a16="http://schemas.microsoft.com/office/drawing/2014/main" id="{010A168A-03B5-3F1D-B12B-F9563FD172D3}"/>
              </a:ext>
            </a:extLst>
          </xdr:cNvPr>
          <xdr:cNvGraphicFramePr/>
        </xdr:nvGraphicFramePr>
        <xdr:xfrm>
          <a:off x="9602677" y="960561"/>
          <a:ext cx="3706854" cy="1734355"/>
        </xdr:xfrm>
        <a:graphic>
          <a:graphicData uri="http://schemas.openxmlformats.org/drawingml/2006/diagram">
            <dgm:relIds xmlns:dgm="http://schemas.openxmlformats.org/drawingml/2006/diagram" xmlns:r="http://schemas.openxmlformats.org/officeDocument/2006/relationships" r:dm="rId17" r:lo="rId18" r:qs="rId19" r:cs="rId20"/>
          </a:graphicData>
        </a:graphic>
      </xdr:graphicFrame>
      <xdr:pic>
        <xdr:nvPicPr>
          <xdr:cNvPr id="6" name="Graphic 5" descr="Trophy with solid fill">
            <a:extLst>
              <a:ext uri="{FF2B5EF4-FFF2-40B4-BE49-F238E27FC236}">
                <a16:creationId xmlns:a16="http://schemas.microsoft.com/office/drawing/2014/main" id="{91648B25-72B8-3848-F7FD-1B6B40934746}"/>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9814488" y="1017868"/>
            <a:ext cx="345512" cy="343910"/>
          </a:xfrm>
          <a:prstGeom prst="rect">
            <a:avLst/>
          </a:prstGeom>
        </xdr:spPr>
      </xdr:pic>
      <xdr:pic>
        <xdr:nvPicPr>
          <xdr:cNvPr id="8" name="Graphic 7" descr="Warning with solid fill">
            <a:extLst>
              <a:ext uri="{FF2B5EF4-FFF2-40B4-BE49-F238E27FC236}">
                <a16:creationId xmlns:a16="http://schemas.microsoft.com/office/drawing/2014/main" id="{1B8F7303-A207-D779-88F8-8F9A3417E60A}"/>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9786470" y="1858309"/>
            <a:ext cx="336177" cy="336177"/>
          </a:xfrm>
          <a:prstGeom prst="rect">
            <a:avLst/>
          </a:prstGeom>
        </xdr:spPr>
      </xdr:pic>
    </xdr:grpSp>
    <xdr:clientData/>
  </xdr:twoCellAnchor>
  <xdr:twoCellAnchor>
    <xdr:from>
      <xdr:col>0</xdr:col>
      <xdr:colOff>79375</xdr:colOff>
      <xdr:row>10</xdr:row>
      <xdr:rowOff>140074</xdr:rowOff>
    </xdr:from>
    <xdr:to>
      <xdr:col>7</xdr:col>
      <xdr:colOff>415990</xdr:colOff>
      <xdr:row>22</xdr:row>
      <xdr:rowOff>74705</xdr:rowOff>
    </xdr:to>
    <xdr:graphicFrame macro="">
      <xdr:nvGraphicFramePr>
        <xdr:cNvPr id="10" name="Chart 9">
          <a:extLst>
            <a:ext uri="{FF2B5EF4-FFF2-40B4-BE49-F238E27FC236}">
              <a16:creationId xmlns:a16="http://schemas.microsoft.com/office/drawing/2014/main" id="{6864E55E-89B0-464D-9B9C-A721B348E7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 mahi" refreshedDate="46181.40897650463" createdVersion="8" refreshedVersion="8" minRefreshableVersion="3" recordCount="49" xr:uid="{17494BB0-6C9C-4FE7-BD36-8C4B5D144C9C}">
  <cacheSource type="worksheet">
    <worksheetSource ref="B1:H50" sheet="CReated 150 data"/>
  </cacheSource>
  <cacheFields count="7">
    <cacheField name="Customer Name" numFmtId="0">
      <sharedItems count="24">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haredItems>
    </cacheField>
    <cacheField name="Region" numFmtId="0">
      <sharedItems count="4">
        <s v="South"/>
        <s v="West"/>
        <s v="Central"/>
        <s v="East"/>
      </sharedItems>
    </cacheField>
    <cacheField name="Product Name" numFmtId="0">
      <sharedItems count="48">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haredItems>
    </cacheField>
    <cacheField name="Sales" numFmtId="0">
      <sharedItems containsSemiMixedTypes="0" containsString="0" containsNumber="1" minValue="2.544" maxValue="3083.43"/>
    </cacheField>
    <cacheField name="Units Sold" numFmtId="0">
      <sharedItems containsSemiMixedTypes="0" containsString="0" containsNumber="1" containsInteger="1" minValue="2" maxValue="9"/>
    </cacheField>
    <cacheField name="Discount" numFmtId="0">
      <sharedItems containsSemiMixedTypes="0" containsString="0" containsNumber="1" minValue="0" maxValue="0.8"/>
    </cacheField>
    <cacheField name="Profit" numFmtId="0">
      <sharedItems containsSemiMixedTypes="0" containsString="0" containsNumber="1" minValue="-1665.0522000000001" maxValue="240.26490000000001"/>
    </cacheField>
  </cacheFields>
  <extLst>
    <ext xmlns:x14="http://schemas.microsoft.com/office/spreadsheetml/2009/9/main" uri="{725AE2AE-9491-48be-B2B4-4EB974FC3084}">
      <x14:pivotCacheDefinition pivotCacheId="16634495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x v="0"/>
    <x v="0"/>
    <x v="0"/>
    <n v="261.95999999999998"/>
    <n v="2"/>
    <n v="0"/>
    <n v="41.913600000000002"/>
  </r>
  <r>
    <x v="0"/>
    <x v="0"/>
    <x v="1"/>
    <n v="731.94"/>
    <n v="3"/>
    <n v="0"/>
    <n v="219.58199999999999"/>
  </r>
  <r>
    <x v="1"/>
    <x v="1"/>
    <x v="2"/>
    <n v="14.62"/>
    <n v="2"/>
    <n v="0"/>
    <n v="6.8714000000000004"/>
  </r>
  <r>
    <x v="2"/>
    <x v="0"/>
    <x v="3"/>
    <n v="957.57749999999999"/>
    <n v="5"/>
    <n v="0.45"/>
    <n v="-383.03100000000001"/>
  </r>
  <r>
    <x v="2"/>
    <x v="0"/>
    <x v="4"/>
    <n v="22.367999999999999"/>
    <n v="2"/>
    <n v="0.2"/>
    <n v="2.5164"/>
  </r>
  <r>
    <x v="3"/>
    <x v="1"/>
    <x v="5"/>
    <n v="48.86"/>
    <n v="7"/>
    <n v="0"/>
    <n v="14.1694"/>
  </r>
  <r>
    <x v="3"/>
    <x v="1"/>
    <x v="6"/>
    <n v="7.28"/>
    <n v="4"/>
    <n v="0"/>
    <n v="1.9656"/>
  </r>
  <r>
    <x v="3"/>
    <x v="1"/>
    <x v="7"/>
    <n v="907.15200000000004"/>
    <n v="6"/>
    <n v="0.2"/>
    <n v="90.715199999999996"/>
  </r>
  <r>
    <x v="3"/>
    <x v="1"/>
    <x v="8"/>
    <n v="18.504000000000001"/>
    <n v="3"/>
    <n v="0.2"/>
    <n v="5.7824999999999998"/>
  </r>
  <r>
    <x v="3"/>
    <x v="1"/>
    <x v="9"/>
    <n v="114.9"/>
    <n v="5"/>
    <n v="0"/>
    <n v="34.47"/>
  </r>
  <r>
    <x v="3"/>
    <x v="1"/>
    <x v="10"/>
    <n v="1706.184"/>
    <n v="9"/>
    <n v="0.2"/>
    <n v="85.309200000000004"/>
  </r>
  <r>
    <x v="3"/>
    <x v="1"/>
    <x v="11"/>
    <n v="911.42399999999998"/>
    <n v="4"/>
    <n v="0.2"/>
    <n v="68.356800000000007"/>
  </r>
  <r>
    <x v="4"/>
    <x v="0"/>
    <x v="12"/>
    <n v="15.552"/>
    <n v="3"/>
    <n v="0.2"/>
    <n v="5.4432"/>
  </r>
  <r>
    <x v="5"/>
    <x v="1"/>
    <x v="13"/>
    <n v="407.976"/>
    <n v="3"/>
    <n v="0.2"/>
    <n v="132.59219999999999"/>
  </r>
  <r>
    <x v="6"/>
    <x v="2"/>
    <x v="14"/>
    <n v="68.81"/>
    <n v="5"/>
    <n v="0.8"/>
    <n v="-123.858"/>
  </r>
  <r>
    <x v="6"/>
    <x v="2"/>
    <x v="15"/>
    <n v="2.544"/>
    <n v="3"/>
    <n v="0.8"/>
    <n v="-3.8159999999999998"/>
  </r>
  <r>
    <x v="7"/>
    <x v="2"/>
    <x v="16"/>
    <n v="665.88"/>
    <n v="6"/>
    <n v="0"/>
    <n v="13.317600000000001"/>
  </r>
  <r>
    <x v="8"/>
    <x v="1"/>
    <x v="17"/>
    <n v="55.5"/>
    <n v="2"/>
    <n v="0"/>
    <n v="9.99"/>
  </r>
  <r>
    <x v="9"/>
    <x v="1"/>
    <x v="18"/>
    <n v="8.56"/>
    <n v="2"/>
    <n v="0"/>
    <n v="2.4824000000000002"/>
  </r>
  <r>
    <x v="9"/>
    <x v="1"/>
    <x v="19"/>
    <n v="213.48"/>
    <n v="3"/>
    <n v="0.2"/>
    <n v="16.010999999999999"/>
  </r>
  <r>
    <x v="9"/>
    <x v="1"/>
    <x v="20"/>
    <n v="22.72"/>
    <n v="4"/>
    <n v="0.2"/>
    <n v="7.3840000000000003"/>
  </r>
  <r>
    <x v="10"/>
    <x v="2"/>
    <x v="21"/>
    <n v="19.46"/>
    <n v="7"/>
    <n v="0"/>
    <n v="5.0595999999999997"/>
  </r>
  <r>
    <x v="10"/>
    <x v="2"/>
    <x v="22"/>
    <n v="60.34"/>
    <n v="7"/>
    <n v="0"/>
    <n v="15.6884"/>
  </r>
  <r>
    <x v="11"/>
    <x v="3"/>
    <x v="23"/>
    <n v="71.372"/>
    <n v="2"/>
    <n v="0.3"/>
    <n v="-1.0196000000000001"/>
  </r>
  <r>
    <x v="12"/>
    <x v="1"/>
    <x v="3"/>
    <n v="1044.6300000000001"/>
    <n v="3"/>
    <n v="0"/>
    <n v="240.26490000000001"/>
  </r>
  <r>
    <x v="13"/>
    <x v="1"/>
    <x v="24"/>
    <n v="11.648"/>
    <n v="2"/>
    <n v="0.2"/>
    <n v="4.2224000000000004"/>
  </r>
  <r>
    <x v="13"/>
    <x v="1"/>
    <x v="25"/>
    <n v="90.57"/>
    <n v="3"/>
    <n v="0"/>
    <n v="11.774100000000001"/>
  </r>
  <r>
    <x v="14"/>
    <x v="3"/>
    <x v="26"/>
    <n v="3083.43"/>
    <n v="7"/>
    <n v="0.5"/>
    <n v="-1665.0522000000001"/>
  </r>
  <r>
    <x v="14"/>
    <x v="3"/>
    <x v="27"/>
    <n v="9.6180000000000003"/>
    <n v="2"/>
    <n v="0.7"/>
    <n v="-7.0532000000000004"/>
  </r>
  <r>
    <x v="14"/>
    <x v="3"/>
    <x v="28"/>
    <n v="124.2"/>
    <n v="3"/>
    <n v="0.2"/>
    <n v="15.525"/>
  </r>
  <r>
    <x v="14"/>
    <x v="3"/>
    <x v="29"/>
    <n v="3.2639999999999998"/>
    <n v="2"/>
    <n v="0.2"/>
    <n v="1.1015999999999999"/>
  </r>
  <r>
    <x v="14"/>
    <x v="3"/>
    <x v="30"/>
    <n v="86.304000000000002"/>
    <n v="6"/>
    <n v="0.2"/>
    <n v="9.7091999999999992"/>
  </r>
  <r>
    <x v="14"/>
    <x v="3"/>
    <x v="31"/>
    <n v="6.8579999999999997"/>
    <n v="6"/>
    <n v="0.7"/>
    <n v="-5.7149999999999999"/>
  </r>
  <r>
    <x v="14"/>
    <x v="3"/>
    <x v="32"/>
    <n v="15.76"/>
    <n v="2"/>
    <n v="0.2"/>
    <n v="3.5459999999999998"/>
  </r>
  <r>
    <x v="15"/>
    <x v="2"/>
    <x v="33"/>
    <n v="29.472000000000001"/>
    <n v="3"/>
    <n v="0.2"/>
    <n v="9.9467999999999996"/>
  </r>
  <r>
    <x v="16"/>
    <x v="2"/>
    <x v="34"/>
    <n v="1097.5440000000001"/>
    <n v="7"/>
    <n v="0.2"/>
    <n v="123.47369999999999"/>
  </r>
  <r>
    <x v="16"/>
    <x v="2"/>
    <x v="35"/>
    <n v="190.92"/>
    <n v="5"/>
    <n v="0.6"/>
    <n v="-147.96299999999999"/>
  </r>
  <r>
    <x v="17"/>
    <x v="2"/>
    <x v="36"/>
    <n v="113.328"/>
    <n v="9"/>
    <n v="0.2"/>
    <n v="35.414999999999999"/>
  </r>
  <r>
    <x v="17"/>
    <x v="2"/>
    <x v="37"/>
    <n v="532.39919999999995"/>
    <n v="3"/>
    <n v="0.32"/>
    <n v="-46.976399999999998"/>
  </r>
  <r>
    <x v="17"/>
    <x v="2"/>
    <x v="38"/>
    <n v="212.05799999999999"/>
    <n v="3"/>
    <n v="0.3"/>
    <n v="-15.147"/>
  </r>
  <r>
    <x v="17"/>
    <x v="2"/>
    <x v="39"/>
    <n v="371.16800000000001"/>
    <n v="4"/>
    <n v="0.2"/>
    <n v="41.756399999999999"/>
  </r>
  <r>
    <x v="18"/>
    <x v="2"/>
    <x v="40"/>
    <n v="147.16800000000001"/>
    <n v="4"/>
    <n v="0.2"/>
    <n v="16.5564"/>
  </r>
  <r>
    <x v="19"/>
    <x v="1"/>
    <x v="41"/>
    <n v="77.88"/>
    <n v="2"/>
    <n v="0"/>
    <n v="3.8940000000000001"/>
  </r>
  <r>
    <x v="20"/>
    <x v="0"/>
    <x v="42"/>
    <n v="95.616"/>
    <n v="2"/>
    <n v="0.2"/>
    <n v="9.5616000000000003"/>
  </r>
  <r>
    <x v="21"/>
    <x v="2"/>
    <x v="43"/>
    <n v="45.98"/>
    <n v="2"/>
    <n v="0"/>
    <n v="19.7714"/>
  </r>
  <r>
    <x v="21"/>
    <x v="2"/>
    <x v="44"/>
    <n v="17.46"/>
    <n v="2"/>
    <n v="0"/>
    <n v="8.2062000000000008"/>
  </r>
  <r>
    <x v="22"/>
    <x v="2"/>
    <x v="45"/>
    <n v="211.96"/>
    <n v="4"/>
    <n v="0"/>
    <n v="8.4784000000000006"/>
  </r>
  <r>
    <x v="23"/>
    <x v="3"/>
    <x v="46"/>
    <n v="45"/>
    <n v="3"/>
    <n v="0"/>
    <n v="4.95"/>
  </r>
  <r>
    <x v="23"/>
    <x v="3"/>
    <x v="47"/>
    <n v="21.8"/>
    <n v="2"/>
    <n v="0"/>
    <n v="6.10400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87BD6B-EF8A-47C9-B92C-1B7E26494872}" name="PivotTable2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J3:K16" firstHeaderRow="1" firstDataRow="1" firstDataCol="1"/>
  <pivotFields count="7">
    <pivotField showAll="0"/>
    <pivotField showAll="0">
      <items count="5">
        <item x="2"/>
        <item x="3"/>
        <item x="0"/>
        <item x="1"/>
        <item t="default"/>
      </items>
    </pivotField>
    <pivotField axis="axisRow" showAll="0" measureFilter="1" sortType="descending">
      <items count="49">
        <item x="36"/>
        <item x="31"/>
        <item x="22"/>
        <item x="42"/>
        <item x="37"/>
        <item x="27"/>
        <item x="9"/>
        <item x="30"/>
        <item x="3"/>
        <item x="0"/>
        <item x="10"/>
        <item x="19"/>
        <item x="8"/>
        <item x="33"/>
        <item x="41"/>
        <item x="5"/>
        <item x="4"/>
        <item x="35"/>
        <item x="13"/>
        <item x="17"/>
        <item x="34"/>
        <item x="23"/>
        <item x="38"/>
        <item x="45"/>
        <item x="14"/>
        <item x="1"/>
        <item x="28"/>
        <item x="46"/>
        <item x="25"/>
        <item x="11"/>
        <item x="47"/>
        <item x="32"/>
        <item x="7"/>
        <item x="21"/>
        <item x="6"/>
        <item x="18"/>
        <item x="40"/>
        <item x="39"/>
        <item x="29"/>
        <item x="26"/>
        <item x="2"/>
        <item x="15"/>
        <item x="16"/>
        <item x="43"/>
        <item x="24"/>
        <item x="20"/>
        <item x="44"/>
        <item x="1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s>
  <rowFields count="1">
    <field x="2"/>
  </rowFields>
  <rowItems count="13">
    <i>
      <x/>
    </i>
    <i>
      <x v="10"/>
    </i>
    <i>
      <x v="8"/>
    </i>
    <i>
      <x v="33"/>
    </i>
    <i>
      <x v="20"/>
    </i>
    <i>
      <x v="39"/>
    </i>
    <i>
      <x v="2"/>
    </i>
    <i>
      <x v="15"/>
    </i>
    <i>
      <x v="42"/>
    </i>
    <i>
      <x v="1"/>
    </i>
    <i>
      <x v="32"/>
    </i>
    <i>
      <x v="7"/>
    </i>
    <i t="grand">
      <x/>
    </i>
  </rowItems>
  <colItems count="1">
    <i/>
  </colItems>
  <dataFields count="1">
    <dataField name="Sum of Units Sold" fld="4" baseField="0" baseItem="0"/>
  </dataFields>
  <chartFormats count="3">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7DB703-FBC6-4019-A7AC-50BEF14F5F62}" name="PivotTable2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G3:H14" firstHeaderRow="1" firstDataRow="1" firstDataCol="1"/>
  <pivotFields count="7">
    <pivotField axis="axisRow" showAll="0" measureFilter="1" sortType="descending">
      <items count="25">
        <item x="8"/>
        <item x="4"/>
        <item x="3"/>
        <item x="0"/>
        <item x="1"/>
        <item x="12"/>
        <item x="13"/>
        <item x="20"/>
        <item x="16"/>
        <item x="6"/>
        <item x="5"/>
        <item x="10"/>
        <item x="23"/>
        <item x="18"/>
        <item x="15"/>
        <item x="21"/>
        <item x="22"/>
        <item x="7"/>
        <item x="19"/>
        <item x="11"/>
        <item x="2"/>
        <item x="17"/>
        <item x="14"/>
        <item x="9"/>
        <item t="default"/>
      </items>
      <autoSortScope>
        <pivotArea dataOnly="0" outline="0" fieldPosition="0">
          <references count="1">
            <reference field="4294967294" count="1" selected="0">
              <x v="0"/>
            </reference>
          </references>
        </pivotArea>
      </autoSortScope>
    </pivotField>
    <pivotField showAll="0">
      <items count="5">
        <item x="2"/>
        <item x="3"/>
        <item x="0"/>
        <item x="1"/>
        <item t="default"/>
      </items>
    </pivotField>
    <pivotField showAll="0"/>
    <pivotField dataField="1" showAll="0"/>
    <pivotField showAll="0"/>
    <pivotField showAll="0"/>
    <pivotField showAll="0"/>
  </pivotFields>
  <rowFields count="1">
    <field x="0"/>
  </rowFields>
  <rowItems count="11">
    <i>
      <x v="2"/>
    </i>
    <i>
      <x v="22"/>
    </i>
    <i>
      <x v="8"/>
    </i>
    <i>
      <x v="21"/>
    </i>
    <i>
      <x v="5"/>
    </i>
    <i>
      <x v="3"/>
    </i>
    <i>
      <x v="20"/>
    </i>
    <i>
      <x v="17"/>
    </i>
    <i>
      <x v="10"/>
    </i>
    <i>
      <x v="23"/>
    </i>
    <i t="grand">
      <x/>
    </i>
  </rowItems>
  <colItems count="1">
    <i/>
  </colItems>
  <dataFields count="1">
    <dataField name="Sum of Sales" fld="3" baseField="0" baseItem="0" numFmtId="164"/>
  </dataFields>
  <chartFormats count="4">
    <chartFormat chart="3"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7E071C-AD04-4F7D-B706-F3F33405215E}" name="PivotTable2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D3:E14" firstHeaderRow="1" firstDataRow="1" firstDataCol="1"/>
  <pivotFields count="7">
    <pivotField showAll="0"/>
    <pivotField showAll="0">
      <items count="5">
        <item x="2"/>
        <item x="3"/>
        <item x="0"/>
        <item x="1"/>
        <item t="default"/>
      </items>
    </pivotField>
    <pivotField axis="axisRow" showAll="0" measureFilter="1" sortType="descending">
      <items count="49">
        <item x="36"/>
        <item x="31"/>
        <item x="22"/>
        <item x="42"/>
        <item x="37"/>
        <item x="27"/>
        <item x="9"/>
        <item x="30"/>
        <item x="3"/>
        <item x="0"/>
        <item x="10"/>
        <item x="19"/>
        <item x="8"/>
        <item x="33"/>
        <item x="41"/>
        <item x="5"/>
        <item x="4"/>
        <item x="35"/>
        <item x="13"/>
        <item x="17"/>
        <item x="34"/>
        <item x="23"/>
        <item x="38"/>
        <item x="45"/>
        <item x="14"/>
        <item x="1"/>
        <item x="28"/>
        <item x="46"/>
        <item x="25"/>
        <item x="11"/>
        <item x="47"/>
        <item x="32"/>
        <item x="7"/>
        <item x="21"/>
        <item x="6"/>
        <item x="18"/>
        <item x="40"/>
        <item x="39"/>
        <item x="29"/>
        <item x="26"/>
        <item x="2"/>
        <item x="15"/>
        <item x="16"/>
        <item x="43"/>
        <item x="24"/>
        <item x="20"/>
        <item x="44"/>
        <item x="1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s>
  <rowFields count="1">
    <field x="2"/>
  </rowFields>
  <rowItems count="11">
    <i>
      <x v="39"/>
    </i>
    <i>
      <x v="8"/>
    </i>
    <i>
      <x v="10"/>
    </i>
    <i>
      <x v="20"/>
    </i>
    <i>
      <x v="29"/>
    </i>
    <i>
      <x v="32"/>
    </i>
    <i>
      <x v="25"/>
    </i>
    <i>
      <x v="42"/>
    </i>
    <i>
      <x v="4"/>
    </i>
    <i>
      <x v="18"/>
    </i>
    <i t="grand">
      <x/>
    </i>
  </rowItems>
  <colItems count="1">
    <i/>
  </colItems>
  <dataFields count="1">
    <dataField name="Sum of Sales" fld="3" baseField="0" baseItem="0" numFmtId="164"/>
  </dataFields>
  <chartFormats count="3">
    <chartFormat chart="3"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E010C1-29C2-4183-A6D8-50752897F700}"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3:B77" firstHeaderRow="1" firstDataRow="1" firstDataCol="1"/>
  <pivotFields count="7">
    <pivotField showAll="0"/>
    <pivotField axis="axisRow" showAll="0">
      <items count="5">
        <item x="2"/>
        <item x="3"/>
        <item x="0"/>
        <item x="1"/>
        <item t="default"/>
      </items>
    </pivotField>
    <pivotField axis="axisRow" showAll="0">
      <items count="49">
        <item x="36"/>
        <item x="31"/>
        <item x="22"/>
        <item x="42"/>
        <item x="37"/>
        <item x="27"/>
        <item x="9"/>
        <item x="30"/>
        <item x="3"/>
        <item x="0"/>
        <item x="10"/>
        <item x="19"/>
        <item x="8"/>
        <item x="33"/>
        <item x="41"/>
        <item x="5"/>
        <item x="4"/>
        <item x="35"/>
        <item x="13"/>
        <item x="17"/>
        <item x="34"/>
        <item x="23"/>
        <item x="38"/>
        <item x="45"/>
        <item x="14"/>
        <item x="1"/>
        <item x="28"/>
        <item x="46"/>
        <item x="25"/>
        <item x="11"/>
        <item x="47"/>
        <item x="32"/>
        <item x="7"/>
        <item x="21"/>
        <item x="6"/>
        <item x="18"/>
        <item x="40"/>
        <item x="39"/>
        <item x="26"/>
        <item x="29"/>
        <item x="2"/>
        <item x="15"/>
        <item x="16"/>
        <item x="43"/>
        <item x="24"/>
        <item x="20"/>
        <item x="44"/>
        <item x="12"/>
        <item t="default"/>
      </items>
    </pivotField>
    <pivotField dataField="1" showAll="0"/>
    <pivotField showAll="0"/>
    <pivotField showAll="0"/>
    <pivotField showAll="0"/>
  </pivotFields>
  <rowFields count="2">
    <field x="1"/>
    <field x="2"/>
  </rowFields>
  <rowItems count="54">
    <i>
      <x/>
    </i>
    <i r="1">
      <x/>
    </i>
    <i r="1">
      <x v="2"/>
    </i>
    <i r="1">
      <x v="4"/>
    </i>
    <i r="1">
      <x v="13"/>
    </i>
    <i r="1">
      <x v="17"/>
    </i>
    <i r="1">
      <x v="20"/>
    </i>
    <i r="1">
      <x v="22"/>
    </i>
    <i r="1">
      <x v="23"/>
    </i>
    <i r="1">
      <x v="24"/>
    </i>
    <i r="1">
      <x v="33"/>
    </i>
    <i r="1">
      <x v="36"/>
    </i>
    <i r="1">
      <x v="37"/>
    </i>
    <i r="1">
      <x v="41"/>
    </i>
    <i r="1">
      <x v="42"/>
    </i>
    <i r="1">
      <x v="43"/>
    </i>
    <i r="1">
      <x v="46"/>
    </i>
    <i>
      <x v="1"/>
    </i>
    <i r="1">
      <x v="1"/>
    </i>
    <i r="1">
      <x v="5"/>
    </i>
    <i r="1">
      <x v="7"/>
    </i>
    <i r="1">
      <x v="21"/>
    </i>
    <i r="1">
      <x v="26"/>
    </i>
    <i r="1">
      <x v="27"/>
    </i>
    <i r="1">
      <x v="30"/>
    </i>
    <i r="1">
      <x v="31"/>
    </i>
    <i r="1">
      <x v="38"/>
    </i>
    <i r="1">
      <x v="39"/>
    </i>
    <i>
      <x v="2"/>
    </i>
    <i r="1">
      <x v="3"/>
    </i>
    <i r="1">
      <x v="8"/>
    </i>
    <i r="1">
      <x v="9"/>
    </i>
    <i r="1">
      <x v="16"/>
    </i>
    <i r="1">
      <x v="25"/>
    </i>
    <i r="1">
      <x v="47"/>
    </i>
    <i>
      <x v="3"/>
    </i>
    <i r="1">
      <x v="6"/>
    </i>
    <i r="1">
      <x v="8"/>
    </i>
    <i r="1">
      <x v="10"/>
    </i>
    <i r="1">
      <x v="11"/>
    </i>
    <i r="1">
      <x v="12"/>
    </i>
    <i r="1">
      <x v="14"/>
    </i>
    <i r="1">
      <x v="15"/>
    </i>
    <i r="1">
      <x v="18"/>
    </i>
    <i r="1">
      <x v="19"/>
    </i>
    <i r="1">
      <x v="28"/>
    </i>
    <i r="1">
      <x v="29"/>
    </i>
    <i r="1">
      <x v="32"/>
    </i>
    <i r="1">
      <x v="34"/>
    </i>
    <i r="1">
      <x v="35"/>
    </i>
    <i r="1">
      <x v="40"/>
    </i>
    <i r="1">
      <x v="44"/>
    </i>
    <i r="1">
      <x v="45"/>
    </i>
    <i t="grand">
      <x/>
    </i>
  </rowItems>
  <colItems count="1">
    <i/>
  </colItems>
  <dataFields count="1">
    <dataField name="Sum of Sales" fld="3" baseField="0" baseItem="0" numFmtId="164"/>
  </dataFields>
  <chartFormats count="10">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 count="1" selected="0">
            <x v="1"/>
          </reference>
        </references>
      </pivotArea>
    </chartFormat>
    <chartFormat chart="3" format="2">
      <pivotArea type="data" outline="0" fieldPosition="0">
        <references count="2">
          <reference field="4294967294" count="1" selected="0">
            <x v="0"/>
          </reference>
          <reference field="1" count="1" selected="0">
            <x v="0"/>
          </reference>
        </references>
      </pivotArea>
    </chartFormat>
    <chartFormat chart="3" format="3">
      <pivotArea type="data" outline="0" fieldPosition="0">
        <references count="2">
          <reference field="4294967294" count="1" selected="0">
            <x v="0"/>
          </reference>
          <reference field="1" count="1" selected="0">
            <x v="2"/>
          </reference>
        </references>
      </pivotArea>
    </chartFormat>
    <chartFormat chart="3" format="4">
      <pivotArea type="data" outline="0" fieldPosition="0">
        <references count="2">
          <reference field="4294967294" count="1" selected="0">
            <x v="0"/>
          </reference>
          <reference field="1" count="1" selected="0">
            <x v="3"/>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1" count="1" selected="0">
            <x v="0"/>
          </reference>
        </references>
      </pivotArea>
    </chartFormat>
    <chartFormat chart="5" format="9">
      <pivotArea type="data" outline="0" fieldPosition="0">
        <references count="2">
          <reference field="4294967294" count="1" selected="0">
            <x v="0"/>
          </reference>
          <reference field="1" count="1" selected="0">
            <x v="1"/>
          </reference>
        </references>
      </pivotArea>
    </chartFormat>
    <chartFormat chart="5" format="10">
      <pivotArea type="data" outline="0" fieldPosition="0">
        <references count="2">
          <reference field="4294967294" count="1" selected="0">
            <x v="0"/>
          </reference>
          <reference field="1" count="1" selected="0">
            <x v="3"/>
          </reference>
        </references>
      </pivotArea>
    </chartFormat>
    <chartFormat chart="5" format="1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249D7A-7DB2-4C5E-9228-6F6F75627C04}" name="PivotTable2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7">
    <pivotField showAll="0"/>
    <pivotField axis="axisRow" showAll="0">
      <items count="5">
        <item x="2"/>
        <item x="3"/>
        <item x="0"/>
        <item x="1"/>
        <item t="default"/>
      </items>
    </pivotField>
    <pivotField showAll="0"/>
    <pivotField dataField="1" showAll="0"/>
    <pivotField showAll="0"/>
    <pivotField showAll="0"/>
    <pivotField showAll="0"/>
  </pivotFields>
  <rowFields count="1">
    <field x="1"/>
  </rowFields>
  <rowItems count="5">
    <i>
      <x/>
    </i>
    <i>
      <x v="1"/>
    </i>
    <i>
      <x v="2"/>
    </i>
    <i>
      <x v="3"/>
    </i>
    <i t="grand">
      <x/>
    </i>
  </rowItems>
  <colItems count="1">
    <i/>
  </colItems>
  <dataFields count="1">
    <dataField name="Sum of Sales" fld="3" baseField="0" baseItem="0" numFmtId="164"/>
  </dataFields>
  <chartFormats count="10">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 count="1" selected="0">
            <x v="1"/>
          </reference>
        </references>
      </pivotArea>
    </chartFormat>
    <chartFormat chart="3" format="2">
      <pivotArea type="data" outline="0" fieldPosition="0">
        <references count="2">
          <reference field="4294967294" count="1" selected="0">
            <x v="0"/>
          </reference>
          <reference field="1" count="1" selected="0">
            <x v="0"/>
          </reference>
        </references>
      </pivotArea>
    </chartFormat>
    <chartFormat chart="3" format="3">
      <pivotArea type="data" outline="0" fieldPosition="0">
        <references count="2">
          <reference field="4294967294" count="1" selected="0">
            <x v="0"/>
          </reference>
          <reference field="1" count="1" selected="0">
            <x v="2"/>
          </reference>
        </references>
      </pivotArea>
    </chartFormat>
    <chartFormat chart="3" format="4">
      <pivotArea type="data" outline="0" fieldPosition="0">
        <references count="2">
          <reference field="4294967294" count="1" selected="0">
            <x v="0"/>
          </reference>
          <reference field="1" count="1" selected="0">
            <x v="3"/>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1" count="1" selected="0">
            <x v="0"/>
          </reference>
        </references>
      </pivotArea>
    </chartFormat>
    <chartFormat chart="5" format="9">
      <pivotArea type="data" outline="0" fieldPosition="0">
        <references count="2">
          <reference field="4294967294" count="1" selected="0">
            <x v="0"/>
          </reference>
          <reference field="1" count="1" selected="0">
            <x v="1"/>
          </reference>
        </references>
      </pivotArea>
    </chartFormat>
    <chartFormat chart="5" format="10">
      <pivotArea type="data" outline="0" fieldPosition="0">
        <references count="2">
          <reference field="4294967294" count="1" selected="0">
            <x v="0"/>
          </reference>
          <reference field="1" count="1" selected="0">
            <x v="3"/>
          </reference>
        </references>
      </pivotArea>
    </chartFormat>
    <chartFormat chart="5" format="1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780081A-200C-4084-9147-69E5016478FF}" sourceName="Region">
  <pivotTables>
    <pivotTable tabId="9" name="PivotTable24"/>
    <pivotTable tabId="9" name="PivotTable1"/>
    <pivotTable tabId="9" name="PivotTable25"/>
    <pivotTable tabId="9" name="PivotTable26"/>
    <pivotTable tabId="9" name="PivotTable27"/>
  </pivotTables>
  <data>
    <tabular pivotCacheId="1663449528" customListSort="0">
      <items count="4">
        <i x="2" s="1"/>
        <i x="3" s="1"/>
        <i x="0" s="1"/>
        <i x="1"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8E597AC-9FA5-4214-8D1D-8CE4D00B7DFD}" cache="Slicer_Region" caption="Region" columnCount="2" showCaption="0" style="SlicerStyleDark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94A8D6-9092-400A-80BD-F4CA8733F158}" name="Table1" displayName="Table1" ref="A1:H1048576" totalsRowShown="0" headerRowDxfId="0">
  <autoFilter ref="A1:H1048576" xr:uid="{CF94A8D6-9092-400A-80BD-F4CA8733F158}"/>
  <tableColumns count="8">
    <tableColumn id="1" xr3:uid="{682D2370-922E-4998-B78C-13C131CBACE3}" name="Order Date"/>
    <tableColumn id="2" xr3:uid="{0A42F755-AFC9-48B2-BB3E-097DB92B1D6D}" name="Customer Name"/>
    <tableColumn id="3" xr3:uid="{D2C1E2D8-02A1-4466-87EB-F46C934119CE}" name="Region"/>
    <tableColumn id="4" xr3:uid="{0DED3851-E341-4BF1-A592-BE94247A0CA5}" name="Product Name"/>
    <tableColumn id="5" xr3:uid="{47E4960A-4D04-43AC-9A16-26F95608250D}" name="Sales"/>
    <tableColumn id="6" xr3:uid="{C8684033-5776-4D77-BAB1-BA76EE3C7F80}" name="Units Sold"/>
    <tableColumn id="7" xr3:uid="{5C638B3E-5A5F-4AAA-A47C-1059FF926843}" name="Discount"/>
    <tableColumn id="8" xr3:uid="{08974057-1F6B-4325-8A82-A19D6DACE93C}" name="Prof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F9495C3-48B0-441A-8D3C-6520FC7E87EB}" name="Table2" displayName="Table2" ref="J4:J11" totalsRowCount="1">
  <autoFilter ref="J4:J10" xr:uid="{6F9495C3-48B0-441A-8D3C-6520FC7E87EB}"/>
  <tableColumns count="1">
    <tableColumn id="1" xr3:uid="{6ADA35FB-6E0E-4778-AB26-D889A05C6892}" name="Grand Total" totalsRowFunction="custom">
      <totalsRowFormula>AVERAGE(Table1[Sales])</totalsRow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952F608-0CE7-4FE7-BF8E-8EB3E242BC8D}" name="Table4" displayName="Table4" ref="A3:G9" totalsRowShown="0">
  <autoFilter ref="A3:G9" xr:uid="{F952F608-0CE7-4FE7-BF8E-8EB3E242BC8D}"/>
  <tableColumns count="7">
    <tableColumn id="1" xr3:uid="{5D46B37C-CC9A-41BE-A33A-9DE80D0F271E}" name="Customer Name"/>
    <tableColumn id="2" xr3:uid="{D9769F6A-D834-4BA4-8673-6BDE0AE26707}" name="Region"/>
    <tableColumn id="3" xr3:uid="{FE7A704F-157A-4DB9-8E52-7B042CD18C7F}" name="Product Name"/>
    <tableColumn id="4" xr3:uid="{0579750A-D54C-44A8-A093-6797112DE05D}" name="Sales"/>
    <tableColumn id="5" xr3:uid="{EC435922-DE99-4F55-9392-BA951C9221DE}" name="Units Sold"/>
    <tableColumn id="6" xr3:uid="{CFC523B0-1197-4A5C-9D2C-252663AEDEDD}" name="Discount"/>
    <tableColumn id="7" xr3:uid="{CC18FE9C-F2D2-4455-BF79-616C816FA236}"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8429A-F2A6-4732-8B4D-A19AACF1EFD1}">
  <dimension ref="A1:U9995"/>
  <sheetViews>
    <sheetView topLeftCell="E130" zoomScale="115" zoomScaleNormal="115" workbookViewId="0">
      <selection sqref="A1:H150"/>
    </sheetView>
  </sheetViews>
  <sheetFormatPr defaultRowHeight="14.5" x14ac:dyDescent="0.35"/>
  <cols>
    <col min="1" max="1" width="11.26953125" customWidth="1"/>
    <col min="2" max="2" width="20.36328125" bestFit="1" customWidth="1"/>
    <col min="3" max="3" width="9.36328125" customWidth="1"/>
    <col min="4" max="4" width="107.08984375" bestFit="1" customWidth="1"/>
    <col min="5" max="5" width="10.81640625" customWidth="1"/>
    <col min="6" max="6" width="9.36328125" customWidth="1"/>
    <col min="7" max="7" width="9.7265625" customWidth="1"/>
    <col min="8" max="8" width="10.453125" bestFit="1" customWidth="1"/>
    <col min="9" max="9" width="11.7265625" bestFit="1" customWidth="1"/>
    <col min="10" max="10" width="17.1796875" bestFit="1" customWidth="1"/>
    <col min="11" max="11" width="17" bestFit="1" customWidth="1"/>
    <col min="12" max="12" width="10.54296875" bestFit="1" customWidth="1"/>
    <col min="13" max="13" width="9.36328125" customWidth="1"/>
    <col min="14" max="14" width="19.08984375" customWidth="1"/>
    <col min="15" max="15" width="13" bestFit="1" customWidth="1"/>
    <col min="16" max="16" width="17.453125" customWidth="1"/>
    <col min="17" max="17" width="8.7265625" customWidth="1"/>
    <col min="18" max="18" width="10.81640625" customWidth="1"/>
    <col min="19" max="19" width="7.7265625" bestFit="1" customWidth="1"/>
    <col min="20" max="20" width="8.08984375" bestFit="1" customWidth="1"/>
    <col min="21" max="21" width="10.453125" bestFit="1" customWidth="1"/>
  </cols>
  <sheetData>
    <row r="1" spans="1:21" s="2" customFormat="1" x14ac:dyDescent="0.35">
      <c r="A1" s="2" t="s">
        <v>0</v>
      </c>
      <c r="B1" s="2" t="s">
        <v>1</v>
      </c>
      <c r="C1" s="2" t="s">
        <v>2</v>
      </c>
      <c r="D1" s="2" t="s">
        <v>3</v>
      </c>
      <c r="E1" s="2" t="s">
        <v>4</v>
      </c>
      <c r="F1" s="2" t="s">
        <v>2757</v>
      </c>
      <c r="G1" s="2" t="s">
        <v>5</v>
      </c>
      <c r="H1" s="2" t="s">
        <v>6</v>
      </c>
      <c r="U1" s="2" t="s">
        <v>6</v>
      </c>
    </row>
    <row r="2" spans="1:21" x14ac:dyDescent="0.35">
      <c r="A2" s="1">
        <v>42593</v>
      </c>
      <c r="B2" t="s">
        <v>7</v>
      </c>
      <c r="C2" t="s">
        <v>8</v>
      </c>
      <c r="D2" t="s">
        <v>9</v>
      </c>
      <c r="E2">
        <v>261.95999999999998</v>
      </c>
      <c r="F2">
        <v>2</v>
      </c>
      <c r="G2">
        <v>0</v>
      </c>
      <c r="H2">
        <v>41.913600000000002</v>
      </c>
      <c r="U2">
        <v>41.913600000000002</v>
      </c>
    </row>
    <row r="3" spans="1:21" x14ac:dyDescent="0.35">
      <c r="A3" s="1">
        <v>42593</v>
      </c>
      <c r="B3" t="s">
        <v>7</v>
      </c>
      <c r="C3" t="s">
        <v>8</v>
      </c>
      <c r="D3" t="s">
        <v>10</v>
      </c>
      <c r="E3">
        <v>731.94</v>
      </c>
      <c r="F3">
        <v>3</v>
      </c>
      <c r="G3">
        <v>0</v>
      </c>
      <c r="H3">
        <v>219.58199999999999</v>
      </c>
      <c r="U3">
        <v>219.58199999999999</v>
      </c>
    </row>
    <row r="4" spans="1:21" x14ac:dyDescent="0.35">
      <c r="A4" s="1">
        <v>42710</v>
      </c>
      <c r="B4" t="s">
        <v>12</v>
      </c>
      <c r="C4" t="s">
        <v>13</v>
      </c>
      <c r="D4" t="s">
        <v>14</v>
      </c>
      <c r="E4">
        <v>14.62</v>
      </c>
      <c r="F4">
        <v>2</v>
      </c>
      <c r="G4">
        <v>0</v>
      </c>
      <c r="H4">
        <v>6.8714000000000004</v>
      </c>
      <c r="J4" t="s">
        <v>2754</v>
      </c>
      <c r="U4">
        <v>6.8714000000000004</v>
      </c>
    </row>
    <row r="5" spans="1:21" x14ac:dyDescent="0.35">
      <c r="A5" s="1">
        <v>42318</v>
      </c>
      <c r="B5" t="s">
        <v>16</v>
      </c>
      <c r="C5" t="s">
        <v>8</v>
      </c>
      <c r="D5" t="s">
        <v>17</v>
      </c>
      <c r="E5">
        <v>957.57749999999999</v>
      </c>
      <c r="F5">
        <v>5</v>
      </c>
      <c r="G5">
        <v>0.45</v>
      </c>
      <c r="H5">
        <v>-383.03100000000001</v>
      </c>
      <c r="J5">
        <f>SUM(E:E)</f>
        <v>779391.19150000066</v>
      </c>
      <c r="U5">
        <v>-383.03100000000001</v>
      </c>
    </row>
    <row r="6" spans="1:21" x14ac:dyDescent="0.35">
      <c r="A6" s="1">
        <v>42318</v>
      </c>
      <c r="B6" t="s">
        <v>16</v>
      </c>
      <c r="C6" t="s">
        <v>8</v>
      </c>
      <c r="D6" t="s">
        <v>18</v>
      </c>
      <c r="E6">
        <v>22.367999999999999</v>
      </c>
      <c r="F6">
        <v>2</v>
      </c>
      <c r="G6">
        <v>0.2</v>
      </c>
      <c r="H6">
        <v>2.5164</v>
      </c>
      <c r="J6" t="s">
        <v>2755</v>
      </c>
      <c r="U6">
        <v>2.5164</v>
      </c>
    </row>
    <row r="7" spans="1:21" x14ac:dyDescent="0.35">
      <c r="A7" s="1">
        <v>41888</v>
      </c>
      <c r="B7" t="s">
        <v>19</v>
      </c>
      <c r="C7" t="s">
        <v>13</v>
      </c>
      <c r="D7" t="s">
        <v>20</v>
      </c>
      <c r="E7">
        <v>48.86</v>
      </c>
      <c r="F7">
        <v>7</v>
      </c>
      <c r="G7">
        <v>0</v>
      </c>
      <c r="H7">
        <v>14.1694</v>
      </c>
      <c r="J7">
        <f>SUM(Table1[Units Sold])</f>
        <v>12657</v>
      </c>
      <c r="U7">
        <v>14.1694</v>
      </c>
    </row>
    <row r="8" spans="1:21" x14ac:dyDescent="0.35">
      <c r="A8" s="1">
        <v>41888</v>
      </c>
      <c r="B8" t="s">
        <v>19</v>
      </c>
      <c r="C8" t="s">
        <v>13</v>
      </c>
      <c r="D8" t="s">
        <v>21</v>
      </c>
      <c r="E8">
        <v>7.28</v>
      </c>
      <c r="F8">
        <v>4</v>
      </c>
      <c r="G8">
        <v>0</v>
      </c>
      <c r="H8">
        <v>1.9656</v>
      </c>
      <c r="J8" t="s">
        <v>2756</v>
      </c>
      <c r="U8">
        <v>1.9656</v>
      </c>
    </row>
    <row r="9" spans="1:21" x14ac:dyDescent="0.35">
      <c r="A9" s="1">
        <v>41888</v>
      </c>
      <c r="B9" t="s">
        <v>19</v>
      </c>
      <c r="C9" t="s">
        <v>13</v>
      </c>
      <c r="D9" t="s">
        <v>22</v>
      </c>
      <c r="E9">
        <v>907.15200000000004</v>
      </c>
      <c r="F9">
        <v>6</v>
      </c>
      <c r="G9">
        <v>0.2</v>
      </c>
      <c r="H9">
        <v>90.715199999999996</v>
      </c>
      <c r="J9">
        <f>SUM(Table1[[#All],[Profit]])</f>
        <v>84279.194100000095</v>
      </c>
      <c r="U9">
        <v>90.715199999999996</v>
      </c>
    </row>
    <row r="10" spans="1:21" x14ac:dyDescent="0.35">
      <c r="A10" s="1">
        <v>41888</v>
      </c>
      <c r="B10" t="s">
        <v>19</v>
      </c>
      <c r="C10" t="s">
        <v>13</v>
      </c>
      <c r="D10" t="s">
        <v>23</v>
      </c>
      <c r="E10">
        <v>18.504000000000001</v>
      </c>
      <c r="F10">
        <v>3</v>
      </c>
      <c r="G10">
        <v>0.2</v>
      </c>
      <c r="H10">
        <v>5.7824999999999998</v>
      </c>
      <c r="J10" t="s">
        <v>2758</v>
      </c>
      <c r="U10">
        <v>5.7824999999999998</v>
      </c>
    </row>
    <row r="11" spans="1:21" x14ac:dyDescent="0.35">
      <c r="A11" s="1">
        <v>41888</v>
      </c>
      <c r="B11" t="s">
        <v>19</v>
      </c>
      <c r="C11" t="s">
        <v>13</v>
      </c>
      <c r="D11" t="s">
        <v>24</v>
      </c>
      <c r="E11">
        <v>114.9</v>
      </c>
      <c r="F11">
        <v>5</v>
      </c>
      <c r="G11">
        <v>0</v>
      </c>
      <c r="H11">
        <v>34.47</v>
      </c>
      <c r="J11">
        <f>AVERAGE(Table1[Sales])</f>
        <v>235.75051164549325</v>
      </c>
      <c r="U11">
        <v>34.47</v>
      </c>
    </row>
    <row r="12" spans="1:21" x14ac:dyDescent="0.35">
      <c r="A12" s="1">
        <v>41888</v>
      </c>
      <c r="B12" t="s">
        <v>19</v>
      </c>
      <c r="C12" t="s">
        <v>13</v>
      </c>
      <c r="D12" t="s">
        <v>25</v>
      </c>
      <c r="E12">
        <v>1706.184</v>
      </c>
      <c r="F12">
        <v>9</v>
      </c>
      <c r="G12">
        <v>0.2</v>
      </c>
      <c r="H12">
        <v>85.309200000000004</v>
      </c>
      <c r="U12">
        <v>85.309200000000004</v>
      </c>
    </row>
    <row r="13" spans="1:21" x14ac:dyDescent="0.35">
      <c r="A13" s="1">
        <v>41888</v>
      </c>
      <c r="B13" t="s">
        <v>19</v>
      </c>
      <c r="C13" t="s">
        <v>13</v>
      </c>
      <c r="D13" t="s">
        <v>26</v>
      </c>
      <c r="E13">
        <v>911.42399999999998</v>
      </c>
      <c r="F13">
        <v>4</v>
      </c>
      <c r="G13">
        <v>0.2</v>
      </c>
      <c r="H13">
        <v>68.356800000000007</v>
      </c>
      <c r="U13">
        <v>68.356800000000007</v>
      </c>
    </row>
    <row r="14" spans="1:21" x14ac:dyDescent="0.35">
      <c r="A14" t="s">
        <v>27</v>
      </c>
      <c r="B14" t="s">
        <v>29</v>
      </c>
      <c r="C14" t="s">
        <v>8</v>
      </c>
      <c r="D14" t="s">
        <v>30</v>
      </c>
      <c r="E14">
        <v>15.552</v>
      </c>
      <c r="F14">
        <v>3</v>
      </c>
      <c r="G14">
        <v>0.2</v>
      </c>
      <c r="H14">
        <v>5.4432</v>
      </c>
      <c r="U14">
        <v>5.4432</v>
      </c>
    </row>
    <row r="15" spans="1:21" x14ac:dyDescent="0.35">
      <c r="A15" s="1">
        <v>42502</v>
      </c>
      <c r="B15" t="s">
        <v>31</v>
      </c>
      <c r="C15" t="s">
        <v>13</v>
      </c>
      <c r="D15" t="s">
        <v>32</v>
      </c>
      <c r="E15">
        <v>407.976</v>
      </c>
      <c r="F15">
        <v>3</v>
      </c>
      <c r="G15">
        <v>0.2</v>
      </c>
      <c r="H15">
        <v>132.59219999999999</v>
      </c>
      <c r="U15">
        <v>132.59219999999999</v>
      </c>
    </row>
    <row r="16" spans="1:21" x14ac:dyDescent="0.35">
      <c r="A16" t="s">
        <v>33</v>
      </c>
      <c r="B16" t="s">
        <v>34</v>
      </c>
      <c r="C16" t="s">
        <v>35</v>
      </c>
      <c r="D16" t="s">
        <v>36</v>
      </c>
      <c r="E16">
        <v>68.81</v>
      </c>
      <c r="F16">
        <v>5</v>
      </c>
      <c r="G16">
        <v>0.8</v>
      </c>
      <c r="H16">
        <v>-123.858</v>
      </c>
      <c r="U16">
        <v>-123.858</v>
      </c>
    </row>
    <row r="17" spans="1:21" x14ac:dyDescent="0.35">
      <c r="A17" t="s">
        <v>33</v>
      </c>
      <c r="B17" t="s">
        <v>34</v>
      </c>
      <c r="C17" t="s">
        <v>35</v>
      </c>
      <c r="D17" t="s">
        <v>37</v>
      </c>
      <c r="E17">
        <v>2.544</v>
      </c>
      <c r="F17">
        <v>3</v>
      </c>
      <c r="G17">
        <v>0.8</v>
      </c>
      <c r="H17">
        <v>-3.8159999999999998</v>
      </c>
      <c r="U17">
        <v>-3.8159999999999998</v>
      </c>
    </row>
    <row r="18" spans="1:21" x14ac:dyDescent="0.35">
      <c r="A18" s="1">
        <v>41954</v>
      </c>
      <c r="B18" t="s">
        <v>39</v>
      </c>
      <c r="C18" t="s">
        <v>35</v>
      </c>
      <c r="D18" t="s">
        <v>40</v>
      </c>
      <c r="E18">
        <v>665.88</v>
      </c>
      <c r="F18">
        <v>6</v>
      </c>
      <c r="G18">
        <v>0</v>
      </c>
      <c r="H18">
        <v>13.317600000000001</v>
      </c>
      <c r="U18">
        <v>13.317600000000001</v>
      </c>
    </row>
    <row r="19" spans="1:21" x14ac:dyDescent="0.35">
      <c r="A19" t="s">
        <v>41</v>
      </c>
      <c r="B19" t="s">
        <v>42</v>
      </c>
      <c r="C19" t="s">
        <v>13</v>
      </c>
      <c r="D19" t="s">
        <v>43</v>
      </c>
      <c r="E19">
        <v>55.5</v>
      </c>
      <c r="F19">
        <v>2</v>
      </c>
      <c r="G19">
        <v>0</v>
      </c>
      <c r="H19">
        <v>9.99</v>
      </c>
      <c r="U19">
        <v>9.99</v>
      </c>
    </row>
    <row r="20" spans="1:21" x14ac:dyDescent="0.35">
      <c r="A20" t="s">
        <v>44</v>
      </c>
      <c r="B20" t="s">
        <v>45</v>
      </c>
      <c r="C20" t="s">
        <v>13</v>
      </c>
      <c r="D20" t="s">
        <v>46</v>
      </c>
      <c r="E20">
        <v>8.56</v>
      </c>
      <c r="F20">
        <v>2</v>
      </c>
      <c r="G20">
        <v>0</v>
      </c>
      <c r="H20">
        <v>2.4824000000000002</v>
      </c>
      <c r="U20">
        <v>2.4824000000000002</v>
      </c>
    </row>
    <row r="21" spans="1:21" x14ac:dyDescent="0.35">
      <c r="A21" t="s">
        <v>44</v>
      </c>
      <c r="B21" t="s">
        <v>45</v>
      </c>
      <c r="C21" t="s">
        <v>13</v>
      </c>
      <c r="D21" t="s">
        <v>47</v>
      </c>
      <c r="E21">
        <v>213.48</v>
      </c>
      <c r="F21">
        <v>3</v>
      </c>
      <c r="G21">
        <v>0.2</v>
      </c>
      <c r="H21">
        <v>16.010999999999999</v>
      </c>
      <c r="U21">
        <v>16.010999999999999</v>
      </c>
    </row>
    <row r="22" spans="1:21" x14ac:dyDescent="0.35">
      <c r="A22" t="s">
        <v>44</v>
      </c>
      <c r="B22" t="s">
        <v>45</v>
      </c>
      <c r="C22" t="s">
        <v>13</v>
      </c>
      <c r="D22" t="s">
        <v>48</v>
      </c>
      <c r="E22">
        <v>22.72</v>
      </c>
      <c r="F22">
        <v>4</v>
      </c>
      <c r="G22">
        <v>0.2</v>
      </c>
      <c r="H22">
        <v>7.3840000000000003</v>
      </c>
      <c r="U22">
        <v>7.3840000000000003</v>
      </c>
    </row>
    <row r="23" spans="1:21" x14ac:dyDescent="0.35">
      <c r="A23" s="1">
        <v>42625</v>
      </c>
      <c r="B23" t="s">
        <v>50</v>
      </c>
      <c r="C23" t="s">
        <v>35</v>
      </c>
      <c r="D23" t="s">
        <v>51</v>
      </c>
      <c r="E23">
        <v>19.46</v>
      </c>
      <c r="F23">
        <v>7</v>
      </c>
      <c r="G23">
        <v>0</v>
      </c>
      <c r="H23">
        <v>5.0595999999999997</v>
      </c>
      <c r="U23">
        <v>5.0595999999999997</v>
      </c>
    </row>
    <row r="24" spans="1:21" x14ac:dyDescent="0.35">
      <c r="A24" s="1">
        <v>42625</v>
      </c>
      <c r="B24" t="s">
        <v>50</v>
      </c>
      <c r="C24" t="s">
        <v>35</v>
      </c>
      <c r="D24" t="s">
        <v>52</v>
      </c>
      <c r="E24">
        <v>60.34</v>
      </c>
      <c r="F24">
        <v>7</v>
      </c>
      <c r="G24">
        <v>0</v>
      </c>
      <c r="H24">
        <v>15.6884</v>
      </c>
      <c r="U24">
        <v>15.6884</v>
      </c>
    </row>
    <row r="25" spans="1:21" x14ac:dyDescent="0.35">
      <c r="A25" t="s">
        <v>53</v>
      </c>
      <c r="B25" t="s">
        <v>54</v>
      </c>
      <c r="C25" t="s">
        <v>55</v>
      </c>
      <c r="D25" t="s">
        <v>56</v>
      </c>
      <c r="E25">
        <v>71.372</v>
      </c>
      <c r="F25">
        <v>2</v>
      </c>
      <c r="G25">
        <v>0.3</v>
      </c>
      <c r="H25">
        <v>-1.0196000000000001</v>
      </c>
      <c r="U25">
        <v>-1.0196000000000001</v>
      </c>
    </row>
    <row r="26" spans="1:21" x14ac:dyDescent="0.35">
      <c r="A26" t="s">
        <v>57</v>
      </c>
      <c r="B26" t="s">
        <v>58</v>
      </c>
      <c r="C26" t="s">
        <v>13</v>
      </c>
      <c r="D26" t="s">
        <v>17</v>
      </c>
      <c r="E26">
        <v>1044.6300000000001</v>
      </c>
      <c r="F26">
        <v>3</v>
      </c>
      <c r="G26">
        <v>0</v>
      </c>
      <c r="H26">
        <v>240.26490000000001</v>
      </c>
      <c r="U26">
        <v>240.26490000000001</v>
      </c>
    </row>
    <row r="27" spans="1:21" x14ac:dyDescent="0.35">
      <c r="A27" t="s">
        <v>59</v>
      </c>
      <c r="B27" t="s">
        <v>60</v>
      </c>
      <c r="C27" t="s">
        <v>13</v>
      </c>
      <c r="D27" t="s">
        <v>61</v>
      </c>
      <c r="E27">
        <v>11.648</v>
      </c>
      <c r="F27">
        <v>2</v>
      </c>
      <c r="G27">
        <v>0.2</v>
      </c>
      <c r="H27">
        <v>4.2224000000000004</v>
      </c>
      <c r="U27">
        <v>4.2224000000000004</v>
      </c>
    </row>
    <row r="28" spans="1:21" x14ac:dyDescent="0.35">
      <c r="A28" t="s">
        <v>59</v>
      </c>
      <c r="B28" t="s">
        <v>60</v>
      </c>
      <c r="C28" t="s">
        <v>13</v>
      </c>
      <c r="D28" t="s">
        <v>62</v>
      </c>
      <c r="E28">
        <v>90.57</v>
      </c>
      <c r="F28">
        <v>3</v>
      </c>
      <c r="G28">
        <v>0</v>
      </c>
      <c r="H28">
        <v>11.774100000000001</v>
      </c>
      <c r="U28">
        <v>11.774100000000001</v>
      </c>
    </row>
    <row r="29" spans="1:21" x14ac:dyDescent="0.35">
      <c r="A29" t="s">
        <v>63</v>
      </c>
      <c r="B29" t="s">
        <v>64</v>
      </c>
      <c r="C29" t="s">
        <v>55</v>
      </c>
      <c r="D29" t="s">
        <v>65</v>
      </c>
      <c r="E29">
        <v>3083.43</v>
      </c>
      <c r="F29">
        <v>7</v>
      </c>
      <c r="G29">
        <v>0.5</v>
      </c>
      <c r="H29">
        <v>-1665.0522000000001</v>
      </c>
      <c r="U29">
        <v>-1665.0522000000001</v>
      </c>
    </row>
    <row r="30" spans="1:21" x14ac:dyDescent="0.35">
      <c r="A30" t="s">
        <v>63</v>
      </c>
      <c r="B30" t="s">
        <v>64</v>
      </c>
      <c r="C30" t="s">
        <v>55</v>
      </c>
      <c r="D30" t="s">
        <v>66</v>
      </c>
      <c r="E30">
        <v>9.6180000000000003</v>
      </c>
      <c r="F30">
        <v>2</v>
      </c>
      <c r="G30">
        <v>0.7</v>
      </c>
      <c r="H30">
        <v>-7.0532000000000004</v>
      </c>
      <c r="U30">
        <v>-7.0532000000000004</v>
      </c>
    </row>
    <row r="31" spans="1:21" x14ac:dyDescent="0.35">
      <c r="A31" t="s">
        <v>63</v>
      </c>
      <c r="B31" t="s">
        <v>64</v>
      </c>
      <c r="C31" t="s">
        <v>55</v>
      </c>
      <c r="D31" t="s">
        <v>67</v>
      </c>
      <c r="E31">
        <v>124.2</v>
      </c>
      <c r="F31">
        <v>3</v>
      </c>
      <c r="G31">
        <v>0.2</v>
      </c>
      <c r="H31">
        <v>15.525</v>
      </c>
      <c r="U31">
        <v>15.525</v>
      </c>
    </row>
    <row r="32" spans="1:21" x14ac:dyDescent="0.35">
      <c r="A32" t="s">
        <v>63</v>
      </c>
      <c r="B32" t="s">
        <v>64</v>
      </c>
      <c r="C32" t="s">
        <v>55</v>
      </c>
      <c r="D32" t="s">
        <v>68</v>
      </c>
      <c r="E32">
        <v>3.2639999999999998</v>
      </c>
      <c r="F32">
        <v>2</v>
      </c>
      <c r="G32">
        <v>0.2</v>
      </c>
      <c r="H32">
        <v>1.1015999999999999</v>
      </c>
      <c r="U32">
        <v>1.1015999999999999</v>
      </c>
    </row>
    <row r="33" spans="1:21" x14ac:dyDescent="0.35">
      <c r="A33" t="s">
        <v>63</v>
      </c>
      <c r="B33" t="s">
        <v>64</v>
      </c>
      <c r="C33" t="s">
        <v>55</v>
      </c>
      <c r="D33" t="s">
        <v>69</v>
      </c>
      <c r="E33">
        <v>86.304000000000002</v>
      </c>
      <c r="F33">
        <v>6</v>
      </c>
      <c r="G33">
        <v>0.2</v>
      </c>
      <c r="H33">
        <v>9.7091999999999992</v>
      </c>
      <c r="U33">
        <v>9.7091999999999992</v>
      </c>
    </row>
    <row r="34" spans="1:21" x14ac:dyDescent="0.35">
      <c r="A34" t="s">
        <v>63</v>
      </c>
      <c r="B34" t="s">
        <v>64</v>
      </c>
      <c r="C34" t="s">
        <v>55</v>
      </c>
      <c r="D34" t="s">
        <v>70</v>
      </c>
      <c r="E34">
        <v>6.8579999999999997</v>
      </c>
      <c r="F34">
        <v>6</v>
      </c>
      <c r="G34">
        <v>0.7</v>
      </c>
      <c r="H34">
        <v>-5.7149999999999999</v>
      </c>
      <c r="U34">
        <v>-5.7149999999999999</v>
      </c>
    </row>
    <row r="35" spans="1:21" x14ac:dyDescent="0.35">
      <c r="A35" t="s">
        <v>63</v>
      </c>
      <c r="B35" t="s">
        <v>64</v>
      </c>
      <c r="C35" t="s">
        <v>55</v>
      </c>
      <c r="D35" t="s">
        <v>71</v>
      </c>
      <c r="E35">
        <v>15.76</v>
      </c>
      <c r="F35">
        <v>2</v>
      </c>
      <c r="G35">
        <v>0.2</v>
      </c>
      <c r="H35">
        <v>3.5459999999999998</v>
      </c>
      <c r="U35">
        <v>3.5459999999999998</v>
      </c>
    </row>
    <row r="36" spans="1:21" x14ac:dyDescent="0.35">
      <c r="A36" t="s">
        <v>72</v>
      </c>
      <c r="B36" t="s">
        <v>74</v>
      </c>
      <c r="C36" t="s">
        <v>35</v>
      </c>
      <c r="D36" t="s">
        <v>75</v>
      </c>
      <c r="E36">
        <v>29.472000000000001</v>
      </c>
      <c r="F36">
        <v>3</v>
      </c>
      <c r="G36">
        <v>0.2</v>
      </c>
      <c r="H36">
        <v>9.9467999999999996</v>
      </c>
      <c r="U36">
        <v>9.9467999999999996</v>
      </c>
    </row>
    <row r="37" spans="1:21" x14ac:dyDescent="0.35">
      <c r="A37" s="1">
        <v>42594</v>
      </c>
      <c r="B37" t="s">
        <v>76</v>
      </c>
      <c r="C37" t="s">
        <v>35</v>
      </c>
      <c r="D37" t="s">
        <v>77</v>
      </c>
      <c r="E37">
        <v>1097.5440000000001</v>
      </c>
      <c r="F37">
        <v>7</v>
      </c>
      <c r="G37">
        <v>0.2</v>
      </c>
      <c r="H37">
        <v>123.47369999999999</v>
      </c>
      <c r="U37">
        <v>123.47369999999999</v>
      </c>
    </row>
    <row r="38" spans="1:21" x14ac:dyDescent="0.35">
      <c r="A38" s="1">
        <v>42594</v>
      </c>
      <c r="B38" t="s">
        <v>76</v>
      </c>
      <c r="C38" t="s">
        <v>35</v>
      </c>
      <c r="D38" t="s">
        <v>78</v>
      </c>
      <c r="E38">
        <v>190.92</v>
      </c>
      <c r="F38">
        <v>5</v>
      </c>
      <c r="G38">
        <v>0.6</v>
      </c>
      <c r="H38">
        <v>-147.96299999999999</v>
      </c>
      <c r="U38">
        <v>-147.96299999999999</v>
      </c>
    </row>
    <row r="39" spans="1:21" x14ac:dyDescent="0.35">
      <c r="A39" t="s">
        <v>79</v>
      </c>
      <c r="B39" t="s">
        <v>81</v>
      </c>
      <c r="C39" t="s">
        <v>35</v>
      </c>
      <c r="D39" t="s">
        <v>82</v>
      </c>
      <c r="E39">
        <v>113.328</v>
      </c>
      <c r="F39">
        <v>9</v>
      </c>
      <c r="G39">
        <v>0.2</v>
      </c>
      <c r="H39">
        <v>35.414999999999999</v>
      </c>
      <c r="U39">
        <v>35.414999999999999</v>
      </c>
    </row>
    <row r="40" spans="1:21" x14ac:dyDescent="0.35">
      <c r="A40" t="s">
        <v>79</v>
      </c>
      <c r="B40" t="s">
        <v>81</v>
      </c>
      <c r="C40" t="s">
        <v>35</v>
      </c>
      <c r="D40" t="s">
        <v>83</v>
      </c>
      <c r="E40">
        <v>532.39919999999995</v>
      </c>
      <c r="F40">
        <v>3</v>
      </c>
      <c r="G40">
        <v>0.32</v>
      </c>
      <c r="H40">
        <v>-46.976399999999998</v>
      </c>
      <c r="U40">
        <v>-46.976399999999998</v>
      </c>
    </row>
    <row r="41" spans="1:21" x14ac:dyDescent="0.35">
      <c r="A41" t="s">
        <v>79</v>
      </c>
      <c r="B41" t="s">
        <v>81</v>
      </c>
      <c r="C41" t="s">
        <v>35</v>
      </c>
      <c r="D41" t="s">
        <v>84</v>
      </c>
      <c r="E41">
        <v>212.05799999999999</v>
      </c>
      <c r="F41">
        <v>3</v>
      </c>
      <c r="G41">
        <v>0.3</v>
      </c>
      <c r="H41">
        <v>-15.147</v>
      </c>
      <c r="U41">
        <v>-15.147</v>
      </c>
    </row>
    <row r="42" spans="1:21" x14ac:dyDescent="0.35">
      <c r="A42" t="s">
        <v>79</v>
      </c>
      <c r="B42" t="s">
        <v>81</v>
      </c>
      <c r="C42" t="s">
        <v>35</v>
      </c>
      <c r="D42" t="s">
        <v>85</v>
      </c>
      <c r="E42">
        <v>371.16800000000001</v>
      </c>
      <c r="F42">
        <v>4</v>
      </c>
      <c r="G42">
        <v>0.2</v>
      </c>
      <c r="H42">
        <v>41.756399999999999</v>
      </c>
      <c r="U42">
        <v>41.756399999999999</v>
      </c>
    </row>
    <row r="43" spans="1:21" x14ac:dyDescent="0.35">
      <c r="A43" s="1">
        <v>43017</v>
      </c>
      <c r="B43" t="s">
        <v>87</v>
      </c>
      <c r="C43" t="s">
        <v>35</v>
      </c>
      <c r="D43" t="s">
        <v>88</v>
      </c>
      <c r="E43">
        <v>147.16800000000001</v>
      </c>
      <c r="F43">
        <v>4</v>
      </c>
      <c r="G43">
        <v>0.2</v>
      </c>
      <c r="H43">
        <v>16.5564</v>
      </c>
      <c r="U43">
        <v>16.5564</v>
      </c>
    </row>
    <row r="44" spans="1:21" x14ac:dyDescent="0.35">
      <c r="A44" t="s">
        <v>89</v>
      </c>
      <c r="B44" t="s">
        <v>91</v>
      </c>
      <c r="C44" t="s">
        <v>13</v>
      </c>
      <c r="D44" t="s">
        <v>92</v>
      </c>
      <c r="E44">
        <v>77.88</v>
      </c>
      <c r="F44">
        <v>2</v>
      </c>
      <c r="G44">
        <v>0</v>
      </c>
      <c r="H44">
        <v>3.8940000000000001</v>
      </c>
      <c r="U44">
        <v>3.8940000000000001</v>
      </c>
    </row>
    <row r="45" spans="1:21" x14ac:dyDescent="0.35">
      <c r="A45" t="s">
        <v>93</v>
      </c>
      <c r="B45" t="s">
        <v>95</v>
      </c>
      <c r="C45" t="s">
        <v>8</v>
      </c>
      <c r="D45" t="s">
        <v>96</v>
      </c>
      <c r="E45">
        <v>95.616</v>
      </c>
      <c r="F45">
        <v>2</v>
      </c>
      <c r="G45">
        <v>0.2</v>
      </c>
      <c r="H45">
        <v>9.5616000000000003</v>
      </c>
      <c r="U45">
        <v>9.5616000000000003</v>
      </c>
    </row>
    <row r="46" spans="1:21" x14ac:dyDescent="0.35">
      <c r="A46" s="1">
        <v>42677</v>
      </c>
      <c r="B46" t="s">
        <v>98</v>
      </c>
      <c r="C46" t="s">
        <v>35</v>
      </c>
      <c r="D46" t="s">
        <v>99</v>
      </c>
      <c r="E46">
        <v>45.98</v>
      </c>
      <c r="F46">
        <v>2</v>
      </c>
      <c r="G46">
        <v>0</v>
      </c>
      <c r="H46">
        <v>19.7714</v>
      </c>
      <c r="U46">
        <v>19.7714</v>
      </c>
    </row>
    <row r="47" spans="1:21" x14ac:dyDescent="0.35">
      <c r="A47" s="1">
        <v>42677</v>
      </c>
      <c r="B47" t="s">
        <v>98</v>
      </c>
      <c r="C47" t="s">
        <v>35</v>
      </c>
      <c r="D47" t="s">
        <v>100</v>
      </c>
      <c r="E47">
        <v>17.46</v>
      </c>
      <c r="F47">
        <v>2</v>
      </c>
      <c r="G47">
        <v>0</v>
      </c>
      <c r="H47">
        <v>8.2062000000000008</v>
      </c>
      <c r="U47">
        <v>8.2062000000000008</v>
      </c>
    </row>
    <row r="48" spans="1:21" x14ac:dyDescent="0.35">
      <c r="A48" t="s">
        <v>101</v>
      </c>
      <c r="B48" t="s">
        <v>103</v>
      </c>
      <c r="C48" t="s">
        <v>35</v>
      </c>
      <c r="D48" t="s">
        <v>104</v>
      </c>
      <c r="E48">
        <v>211.96</v>
      </c>
      <c r="F48">
        <v>4</v>
      </c>
      <c r="G48">
        <v>0</v>
      </c>
      <c r="H48">
        <v>8.4784000000000006</v>
      </c>
      <c r="U48">
        <v>8.4784000000000006</v>
      </c>
    </row>
    <row r="49" spans="1:21" x14ac:dyDescent="0.35">
      <c r="A49" t="s">
        <v>105</v>
      </c>
      <c r="B49" t="s">
        <v>107</v>
      </c>
      <c r="C49" t="s">
        <v>55</v>
      </c>
      <c r="D49" t="s">
        <v>108</v>
      </c>
      <c r="E49">
        <v>45</v>
      </c>
      <c r="F49">
        <v>3</v>
      </c>
      <c r="G49">
        <v>0</v>
      </c>
      <c r="H49">
        <v>4.95</v>
      </c>
      <c r="U49">
        <v>4.95</v>
      </c>
    </row>
    <row r="50" spans="1:21" x14ac:dyDescent="0.35">
      <c r="A50" t="s">
        <v>105</v>
      </c>
      <c r="B50" t="s">
        <v>107</v>
      </c>
      <c r="C50" t="s">
        <v>55</v>
      </c>
      <c r="D50" t="s">
        <v>109</v>
      </c>
      <c r="E50">
        <v>21.8</v>
      </c>
      <c r="F50">
        <v>2</v>
      </c>
      <c r="G50">
        <v>0</v>
      </c>
      <c r="H50">
        <v>6.1040000000000001</v>
      </c>
      <c r="U50">
        <v>6.1040000000000001</v>
      </c>
    </row>
    <row r="51" spans="1:21" x14ac:dyDescent="0.35">
      <c r="A51" t="s">
        <v>110</v>
      </c>
      <c r="B51" t="s">
        <v>111</v>
      </c>
      <c r="C51" t="s">
        <v>35</v>
      </c>
      <c r="D51" t="s">
        <v>112</v>
      </c>
      <c r="E51">
        <v>38.22</v>
      </c>
      <c r="F51">
        <v>6</v>
      </c>
      <c r="G51">
        <v>0</v>
      </c>
      <c r="H51">
        <v>17.9634</v>
      </c>
      <c r="U51">
        <v>17.9634</v>
      </c>
    </row>
    <row r="52" spans="1:21" x14ac:dyDescent="0.35">
      <c r="A52" t="s">
        <v>110</v>
      </c>
      <c r="B52" t="s">
        <v>111</v>
      </c>
      <c r="C52" t="s">
        <v>35</v>
      </c>
      <c r="D52" t="s">
        <v>113</v>
      </c>
      <c r="E52">
        <v>75.180000000000007</v>
      </c>
      <c r="F52">
        <v>6</v>
      </c>
      <c r="G52">
        <v>0</v>
      </c>
      <c r="H52">
        <v>35.334600000000002</v>
      </c>
      <c r="U52">
        <v>35.334600000000002</v>
      </c>
    </row>
    <row r="53" spans="1:21" x14ac:dyDescent="0.35">
      <c r="A53" t="s">
        <v>110</v>
      </c>
      <c r="B53" t="s">
        <v>111</v>
      </c>
      <c r="C53" t="s">
        <v>35</v>
      </c>
      <c r="D53" t="s">
        <v>114</v>
      </c>
      <c r="E53">
        <v>6.16</v>
      </c>
      <c r="F53">
        <v>2</v>
      </c>
      <c r="G53">
        <v>0</v>
      </c>
      <c r="H53">
        <v>2.9567999999999999</v>
      </c>
      <c r="U53">
        <v>2.9567999999999999</v>
      </c>
    </row>
    <row r="54" spans="1:21" x14ac:dyDescent="0.35">
      <c r="A54" t="s">
        <v>110</v>
      </c>
      <c r="B54" t="s">
        <v>111</v>
      </c>
      <c r="C54" t="s">
        <v>35</v>
      </c>
      <c r="D54" t="s">
        <v>115</v>
      </c>
      <c r="E54">
        <v>89.99</v>
      </c>
      <c r="F54">
        <v>1</v>
      </c>
      <c r="G54">
        <v>0</v>
      </c>
      <c r="H54">
        <v>17.098099999999999</v>
      </c>
      <c r="U54">
        <v>17.098099999999999</v>
      </c>
    </row>
    <row r="55" spans="1:21" x14ac:dyDescent="0.35">
      <c r="A55" s="1">
        <v>42686</v>
      </c>
      <c r="B55" t="s">
        <v>117</v>
      </c>
      <c r="C55" t="s">
        <v>55</v>
      </c>
      <c r="D55" t="s">
        <v>118</v>
      </c>
      <c r="E55">
        <v>15.26</v>
      </c>
      <c r="F55">
        <v>7</v>
      </c>
      <c r="G55">
        <v>0</v>
      </c>
      <c r="H55">
        <v>6.2565999999999997</v>
      </c>
      <c r="U55">
        <v>6.2565999999999997</v>
      </c>
    </row>
    <row r="56" spans="1:21" x14ac:dyDescent="0.35">
      <c r="A56" s="1">
        <v>42686</v>
      </c>
      <c r="B56" t="s">
        <v>117</v>
      </c>
      <c r="C56" t="s">
        <v>55</v>
      </c>
      <c r="D56" t="s">
        <v>119</v>
      </c>
      <c r="E56">
        <v>1029.95</v>
      </c>
      <c r="F56">
        <v>5</v>
      </c>
      <c r="G56">
        <v>0</v>
      </c>
      <c r="H56">
        <v>298.68549999999999</v>
      </c>
      <c r="U56">
        <v>298.68549999999999</v>
      </c>
    </row>
    <row r="57" spans="1:21" x14ac:dyDescent="0.35">
      <c r="A57" t="s">
        <v>120</v>
      </c>
      <c r="B57" t="s">
        <v>122</v>
      </c>
      <c r="C57" t="s">
        <v>55</v>
      </c>
      <c r="D57" t="s">
        <v>123</v>
      </c>
      <c r="E57">
        <v>208.56</v>
      </c>
      <c r="F57">
        <v>6</v>
      </c>
      <c r="G57">
        <v>0</v>
      </c>
      <c r="H57">
        <v>52.14</v>
      </c>
      <c r="U57">
        <v>52.14</v>
      </c>
    </row>
    <row r="58" spans="1:21" x14ac:dyDescent="0.35">
      <c r="A58" t="s">
        <v>120</v>
      </c>
      <c r="B58" t="s">
        <v>122</v>
      </c>
      <c r="C58" t="s">
        <v>55</v>
      </c>
      <c r="D58" t="s">
        <v>124</v>
      </c>
      <c r="E58">
        <v>32.4</v>
      </c>
      <c r="F58">
        <v>5</v>
      </c>
      <c r="G58">
        <v>0</v>
      </c>
      <c r="H58">
        <v>15.552</v>
      </c>
      <c r="U58">
        <v>15.552</v>
      </c>
    </row>
    <row r="59" spans="1:21" x14ac:dyDescent="0.35">
      <c r="A59" t="s">
        <v>120</v>
      </c>
      <c r="B59" t="s">
        <v>122</v>
      </c>
      <c r="C59" t="s">
        <v>55</v>
      </c>
      <c r="D59" t="s">
        <v>125</v>
      </c>
      <c r="E59">
        <v>319.41000000000003</v>
      </c>
      <c r="F59">
        <v>5</v>
      </c>
      <c r="G59">
        <v>0.1</v>
      </c>
      <c r="H59">
        <v>7.0979999999999999</v>
      </c>
      <c r="U59">
        <v>7.0979999999999999</v>
      </c>
    </row>
    <row r="60" spans="1:21" x14ac:dyDescent="0.35">
      <c r="A60" t="s">
        <v>120</v>
      </c>
      <c r="B60" t="s">
        <v>122</v>
      </c>
      <c r="C60" t="s">
        <v>55</v>
      </c>
      <c r="D60" t="s">
        <v>126</v>
      </c>
      <c r="E60">
        <v>14.56</v>
      </c>
      <c r="F60">
        <v>2</v>
      </c>
      <c r="G60">
        <v>0</v>
      </c>
      <c r="H60">
        <v>6.9888000000000003</v>
      </c>
      <c r="U60">
        <v>6.9888000000000003</v>
      </c>
    </row>
    <row r="61" spans="1:21" x14ac:dyDescent="0.35">
      <c r="A61" t="s">
        <v>120</v>
      </c>
      <c r="B61" t="s">
        <v>122</v>
      </c>
      <c r="C61" t="s">
        <v>55</v>
      </c>
      <c r="D61" t="s">
        <v>108</v>
      </c>
      <c r="E61">
        <v>30</v>
      </c>
      <c r="F61">
        <v>2</v>
      </c>
      <c r="G61">
        <v>0</v>
      </c>
      <c r="H61">
        <v>3.3</v>
      </c>
      <c r="U61">
        <v>3.3</v>
      </c>
    </row>
    <row r="62" spans="1:21" x14ac:dyDescent="0.35">
      <c r="A62" t="s">
        <v>120</v>
      </c>
      <c r="B62" t="s">
        <v>122</v>
      </c>
      <c r="C62" t="s">
        <v>55</v>
      </c>
      <c r="D62" t="s">
        <v>127</v>
      </c>
      <c r="E62">
        <v>48.48</v>
      </c>
      <c r="F62">
        <v>4</v>
      </c>
      <c r="G62">
        <v>0.2</v>
      </c>
      <c r="H62">
        <v>16.361999999999998</v>
      </c>
      <c r="U62">
        <v>16.361999999999998</v>
      </c>
    </row>
    <row r="63" spans="1:21" x14ac:dyDescent="0.35">
      <c r="A63" t="s">
        <v>120</v>
      </c>
      <c r="B63" t="s">
        <v>122</v>
      </c>
      <c r="C63" t="s">
        <v>55</v>
      </c>
      <c r="D63" t="s">
        <v>128</v>
      </c>
      <c r="E63">
        <v>1.68</v>
      </c>
      <c r="F63">
        <v>1</v>
      </c>
      <c r="G63">
        <v>0</v>
      </c>
      <c r="H63">
        <v>0.84</v>
      </c>
      <c r="U63">
        <v>0.84</v>
      </c>
    </row>
    <row r="64" spans="1:21" x14ac:dyDescent="0.35">
      <c r="A64" t="s">
        <v>129</v>
      </c>
      <c r="B64" t="s">
        <v>131</v>
      </c>
      <c r="C64" t="s">
        <v>13</v>
      </c>
      <c r="D64" t="s">
        <v>132</v>
      </c>
      <c r="E64">
        <v>13.98</v>
      </c>
      <c r="F64">
        <v>2</v>
      </c>
      <c r="G64">
        <v>0</v>
      </c>
      <c r="H64">
        <v>6.1512000000000002</v>
      </c>
      <c r="U64">
        <v>6.1512000000000002</v>
      </c>
    </row>
    <row r="65" spans="1:21" x14ac:dyDescent="0.35">
      <c r="A65" t="s">
        <v>129</v>
      </c>
      <c r="B65" t="s">
        <v>131</v>
      </c>
      <c r="C65" t="s">
        <v>13</v>
      </c>
      <c r="D65" t="s">
        <v>133</v>
      </c>
      <c r="E65">
        <v>25.824000000000002</v>
      </c>
      <c r="F65">
        <v>6</v>
      </c>
      <c r="G65">
        <v>0.2</v>
      </c>
      <c r="H65">
        <v>9.3612000000000002</v>
      </c>
      <c r="U65">
        <v>9.3612000000000002</v>
      </c>
    </row>
    <row r="66" spans="1:21" x14ac:dyDescent="0.35">
      <c r="A66" t="s">
        <v>129</v>
      </c>
      <c r="B66" t="s">
        <v>131</v>
      </c>
      <c r="C66" t="s">
        <v>13</v>
      </c>
      <c r="D66" t="s">
        <v>134</v>
      </c>
      <c r="E66">
        <v>146.72999999999999</v>
      </c>
      <c r="F66">
        <v>3</v>
      </c>
      <c r="G66">
        <v>0</v>
      </c>
      <c r="H66">
        <v>68.963099999999997</v>
      </c>
      <c r="U66">
        <v>68.963099999999997</v>
      </c>
    </row>
    <row r="67" spans="1:21" x14ac:dyDescent="0.35">
      <c r="A67" t="s">
        <v>129</v>
      </c>
      <c r="B67" t="s">
        <v>131</v>
      </c>
      <c r="C67" t="s">
        <v>13</v>
      </c>
      <c r="D67" t="s">
        <v>135</v>
      </c>
      <c r="E67">
        <v>79.760000000000005</v>
      </c>
      <c r="F67">
        <v>4</v>
      </c>
      <c r="G67">
        <v>0</v>
      </c>
      <c r="H67">
        <v>22.332799999999999</v>
      </c>
      <c r="U67">
        <v>22.332799999999999</v>
      </c>
    </row>
    <row r="68" spans="1:21" x14ac:dyDescent="0.35">
      <c r="A68" t="s">
        <v>136</v>
      </c>
      <c r="B68" t="s">
        <v>137</v>
      </c>
      <c r="C68" t="s">
        <v>35</v>
      </c>
      <c r="D68" t="s">
        <v>138</v>
      </c>
      <c r="E68">
        <v>213.11500000000001</v>
      </c>
      <c r="F68">
        <v>5</v>
      </c>
      <c r="G68">
        <v>0.3</v>
      </c>
      <c r="H68">
        <v>-15.2225</v>
      </c>
      <c r="U68">
        <v>-15.2225</v>
      </c>
    </row>
    <row r="69" spans="1:21" x14ac:dyDescent="0.35">
      <c r="A69" s="1">
        <v>41771</v>
      </c>
      <c r="B69" t="s">
        <v>139</v>
      </c>
      <c r="C69" t="s">
        <v>13</v>
      </c>
      <c r="D69" t="s">
        <v>140</v>
      </c>
      <c r="E69">
        <v>1113.0239999999999</v>
      </c>
      <c r="F69">
        <v>8</v>
      </c>
      <c r="G69">
        <v>0.2</v>
      </c>
      <c r="H69">
        <v>111.30240000000001</v>
      </c>
      <c r="U69">
        <v>111.30240000000001</v>
      </c>
    </row>
    <row r="70" spans="1:21" x14ac:dyDescent="0.35">
      <c r="A70" s="1">
        <v>41771</v>
      </c>
      <c r="B70" t="s">
        <v>139</v>
      </c>
      <c r="C70" t="s">
        <v>13</v>
      </c>
      <c r="D70" t="s">
        <v>141</v>
      </c>
      <c r="E70">
        <v>167.96799999999999</v>
      </c>
      <c r="F70">
        <v>4</v>
      </c>
      <c r="G70">
        <v>0.2</v>
      </c>
      <c r="H70">
        <v>62.988</v>
      </c>
      <c r="U70">
        <v>62.988</v>
      </c>
    </row>
    <row r="71" spans="1:21" x14ac:dyDescent="0.35">
      <c r="A71" s="1">
        <v>42466</v>
      </c>
      <c r="B71" t="s">
        <v>142</v>
      </c>
      <c r="C71" t="s">
        <v>8</v>
      </c>
      <c r="D71" t="s">
        <v>143</v>
      </c>
      <c r="E71">
        <v>75.88</v>
      </c>
      <c r="F71">
        <v>2</v>
      </c>
      <c r="G71">
        <v>0</v>
      </c>
      <c r="H71">
        <v>35.663600000000002</v>
      </c>
      <c r="U71">
        <v>35.663600000000002</v>
      </c>
    </row>
    <row r="72" spans="1:21" x14ac:dyDescent="0.35">
      <c r="A72" t="s">
        <v>144</v>
      </c>
      <c r="B72" t="s">
        <v>146</v>
      </c>
      <c r="C72" t="s">
        <v>55</v>
      </c>
      <c r="D72" t="s">
        <v>147</v>
      </c>
      <c r="E72">
        <v>4.6159999999999997</v>
      </c>
      <c r="F72">
        <v>1</v>
      </c>
      <c r="G72">
        <v>0.2</v>
      </c>
      <c r="H72">
        <v>1.7310000000000001</v>
      </c>
      <c r="U72">
        <v>1.7310000000000001</v>
      </c>
    </row>
    <row r="73" spans="1:21" x14ac:dyDescent="0.35">
      <c r="A73" t="s">
        <v>148</v>
      </c>
      <c r="B73" t="s">
        <v>64</v>
      </c>
      <c r="C73" t="s">
        <v>35</v>
      </c>
      <c r="D73" t="s">
        <v>150</v>
      </c>
      <c r="E73">
        <v>19.05</v>
      </c>
      <c r="F73">
        <v>3</v>
      </c>
      <c r="G73">
        <v>0</v>
      </c>
      <c r="H73">
        <v>8.7629999999999999</v>
      </c>
      <c r="U73">
        <v>8.7629999999999999</v>
      </c>
    </row>
    <row r="74" spans="1:21" x14ac:dyDescent="0.35">
      <c r="A74" t="s">
        <v>151</v>
      </c>
      <c r="B74" t="s">
        <v>152</v>
      </c>
      <c r="C74" t="s">
        <v>8</v>
      </c>
      <c r="D74" t="s">
        <v>153</v>
      </c>
      <c r="E74">
        <v>831.93600000000004</v>
      </c>
      <c r="F74">
        <v>8</v>
      </c>
      <c r="G74">
        <v>0.2</v>
      </c>
      <c r="H74">
        <v>-114.3912</v>
      </c>
      <c r="U74">
        <v>-114.3912</v>
      </c>
    </row>
    <row r="75" spans="1:21" x14ac:dyDescent="0.35">
      <c r="A75" t="s">
        <v>151</v>
      </c>
      <c r="B75" t="s">
        <v>152</v>
      </c>
      <c r="C75" t="s">
        <v>8</v>
      </c>
      <c r="D75" t="s">
        <v>154</v>
      </c>
      <c r="E75">
        <v>97.04</v>
      </c>
      <c r="F75">
        <v>2</v>
      </c>
      <c r="G75">
        <v>0.2</v>
      </c>
      <c r="H75">
        <v>1.2130000000000001</v>
      </c>
      <c r="U75">
        <v>1.2130000000000001</v>
      </c>
    </row>
    <row r="76" spans="1:21" x14ac:dyDescent="0.35">
      <c r="A76" t="s">
        <v>151</v>
      </c>
      <c r="B76" t="s">
        <v>152</v>
      </c>
      <c r="C76" t="s">
        <v>8</v>
      </c>
      <c r="D76" t="s">
        <v>155</v>
      </c>
      <c r="E76">
        <v>72.784000000000006</v>
      </c>
      <c r="F76">
        <v>1</v>
      </c>
      <c r="G76">
        <v>0.2</v>
      </c>
      <c r="H76">
        <v>-18.196000000000002</v>
      </c>
      <c r="U76">
        <v>-18.196000000000002</v>
      </c>
    </row>
    <row r="77" spans="1:21" x14ac:dyDescent="0.35">
      <c r="A77" s="1">
        <v>42990</v>
      </c>
      <c r="B77" t="s">
        <v>156</v>
      </c>
      <c r="C77" t="s">
        <v>35</v>
      </c>
      <c r="D77" t="s">
        <v>157</v>
      </c>
      <c r="E77">
        <v>1.248</v>
      </c>
      <c r="F77">
        <v>3</v>
      </c>
      <c r="G77">
        <v>0.8</v>
      </c>
      <c r="H77">
        <v>-1.9343999999999999</v>
      </c>
      <c r="U77">
        <v>-1.9343999999999999</v>
      </c>
    </row>
    <row r="78" spans="1:21" x14ac:dyDescent="0.35">
      <c r="A78" s="1">
        <v>42990</v>
      </c>
      <c r="B78" t="s">
        <v>156</v>
      </c>
      <c r="C78" t="s">
        <v>35</v>
      </c>
      <c r="D78" t="s">
        <v>158</v>
      </c>
      <c r="E78">
        <v>9.7080000000000002</v>
      </c>
      <c r="F78">
        <v>3</v>
      </c>
      <c r="G78">
        <v>0.6</v>
      </c>
      <c r="H78">
        <v>-5.8247999999999998</v>
      </c>
      <c r="U78">
        <v>-5.8247999999999998</v>
      </c>
    </row>
    <row r="79" spans="1:21" x14ac:dyDescent="0.35">
      <c r="A79" s="1">
        <v>42990</v>
      </c>
      <c r="B79" t="s">
        <v>156</v>
      </c>
      <c r="C79" t="s">
        <v>35</v>
      </c>
      <c r="D79" t="s">
        <v>159</v>
      </c>
      <c r="E79">
        <v>27.24</v>
      </c>
      <c r="F79">
        <v>3</v>
      </c>
      <c r="G79">
        <v>0.2</v>
      </c>
      <c r="H79">
        <v>2.7240000000000002</v>
      </c>
      <c r="U79">
        <v>2.7240000000000002</v>
      </c>
    </row>
    <row r="80" spans="1:21" x14ac:dyDescent="0.35">
      <c r="A80" t="s">
        <v>160</v>
      </c>
      <c r="B80" t="s">
        <v>152</v>
      </c>
      <c r="C80" t="s">
        <v>35</v>
      </c>
      <c r="D80" t="s">
        <v>161</v>
      </c>
      <c r="E80">
        <v>19.3</v>
      </c>
      <c r="F80">
        <v>5</v>
      </c>
      <c r="G80">
        <v>0.6</v>
      </c>
      <c r="H80">
        <v>-14.475</v>
      </c>
      <c r="U80">
        <v>-14.475</v>
      </c>
    </row>
    <row r="81" spans="1:21" x14ac:dyDescent="0.35">
      <c r="A81" s="1">
        <v>42710</v>
      </c>
      <c r="B81" t="s">
        <v>162</v>
      </c>
      <c r="C81" t="s">
        <v>8</v>
      </c>
      <c r="D81" t="s">
        <v>163</v>
      </c>
      <c r="E81">
        <v>208.16</v>
      </c>
      <c r="F81">
        <v>1</v>
      </c>
      <c r="G81">
        <v>0</v>
      </c>
      <c r="H81">
        <v>56.203200000000002</v>
      </c>
      <c r="U81">
        <v>56.203200000000002</v>
      </c>
    </row>
    <row r="82" spans="1:21" x14ac:dyDescent="0.35">
      <c r="A82" s="1">
        <v>42710</v>
      </c>
      <c r="B82" t="s">
        <v>162</v>
      </c>
      <c r="C82" t="s">
        <v>8</v>
      </c>
      <c r="D82" t="s">
        <v>164</v>
      </c>
      <c r="E82">
        <v>16.739999999999998</v>
      </c>
      <c r="F82">
        <v>3</v>
      </c>
      <c r="G82">
        <v>0</v>
      </c>
      <c r="H82">
        <v>8.0351999999999997</v>
      </c>
      <c r="U82">
        <v>8.0351999999999997</v>
      </c>
    </row>
    <row r="83" spans="1:21" x14ac:dyDescent="0.35">
      <c r="A83" s="1">
        <v>41983</v>
      </c>
      <c r="B83" t="s">
        <v>165</v>
      </c>
      <c r="C83" t="s">
        <v>13</v>
      </c>
      <c r="D83" t="s">
        <v>166</v>
      </c>
      <c r="E83">
        <v>14.9</v>
      </c>
      <c r="F83">
        <v>5</v>
      </c>
      <c r="G83">
        <v>0</v>
      </c>
      <c r="H83">
        <v>4.1719999999999997</v>
      </c>
      <c r="U83">
        <v>4.1719999999999997</v>
      </c>
    </row>
    <row r="84" spans="1:21" x14ac:dyDescent="0.35">
      <c r="A84" s="1">
        <v>41983</v>
      </c>
      <c r="B84" t="s">
        <v>165</v>
      </c>
      <c r="C84" t="s">
        <v>13</v>
      </c>
      <c r="D84" t="s">
        <v>167</v>
      </c>
      <c r="E84">
        <v>21.39</v>
      </c>
      <c r="F84">
        <v>1</v>
      </c>
      <c r="G84">
        <v>0</v>
      </c>
      <c r="H84">
        <v>6.2031000000000001</v>
      </c>
      <c r="U84">
        <v>6.2031000000000001</v>
      </c>
    </row>
    <row r="85" spans="1:21" x14ac:dyDescent="0.35">
      <c r="A85" s="1">
        <v>42072</v>
      </c>
      <c r="B85" t="s">
        <v>168</v>
      </c>
      <c r="C85" t="s">
        <v>8</v>
      </c>
      <c r="D85" t="s">
        <v>169</v>
      </c>
      <c r="E85">
        <v>200.98400000000001</v>
      </c>
      <c r="F85">
        <v>7</v>
      </c>
      <c r="G85">
        <v>0.2</v>
      </c>
      <c r="H85">
        <v>62.807499999999997</v>
      </c>
      <c r="U85">
        <v>62.807499999999997</v>
      </c>
    </row>
    <row r="86" spans="1:21" x14ac:dyDescent="0.35">
      <c r="A86" t="s">
        <v>170</v>
      </c>
      <c r="B86" t="s">
        <v>172</v>
      </c>
      <c r="C86" t="s">
        <v>35</v>
      </c>
      <c r="D86" t="s">
        <v>173</v>
      </c>
      <c r="E86">
        <v>230.376</v>
      </c>
      <c r="F86">
        <v>3</v>
      </c>
      <c r="G86">
        <v>0.2</v>
      </c>
      <c r="H86">
        <v>-48.954900000000002</v>
      </c>
      <c r="U86">
        <v>-48.954900000000002</v>
      </c>
    </row>
    <row r="87" spans="1:21" x14ac:dyDescent="0.35">
      <c r="A87" t="s">
        <v>174</v>
      </c>
      <c r="B87" t="s">
        <v>103</v>
      </c>
      <c r="C87" t="s">
        <v>8</v>
      </c>
      <c r="D87" t="s">
        <v>176</v>
      </c>
      <c r="E87">
        <v>301.95999999999998</v>
      </c>
      <c r="F87">
        <v>2</v>
      </c>
      <c r="G87">
        <v>0</v>
      </c>
      <c r="H87">
        <v>33.215600000000002</v>
      </c>
      <c r="U87">
        <v>33.215600000000002</v>
      </c>
    </row>
    <row r="88" spans="1:21" x14ac:dyDescent="0.35">
      <c r="A88" t="s">
        <v>177</v>
      </c>
      <c r="B88" t="s">
        <v>178</v>
      </c>
      <c r="C88" t="s">
        <v>35</v>
      </c>
      <c r="D88" t="s">
        <v>179</v>
      </c>
      <c r="E88">
        <v>19.989999999999998</v>
      </c>
      <c r="F88">
        <v>1</v>
      </c>
      <c r="G88">
        <v>0</v>
      </c>
      <c r="H88">
        <v>6.7965999999999998</v>
      </c>
      <c r="U88">
        <v>6.7965999999999998</v>
      </c>
    </row>
    <row r="89" spans="1:21" x14ac:dyDescent="0.35">
      <c r="A89" t="s">
        <v>177</v>
      </c>
      <c r="B89" t="s">
        <v>178</v>
      </c>
      <c r="C89" t="s">
        <v>35</v>
      </c>
      <c r="D89" t="s">
        <v>180</v>
      </c>
      <c r="E89">
        <v>6.16</v>
      </c>
      <c r="F89">
        <v>2</v>
      </c>
      <c r="G89">
        <v>0</v>
      </c>
      <c r="H89">
        <v>2.9567999999999999</v>
      </c>
      <c r="U89">
        <v>2.9567999999999999</v>
      </c>
    </row>
    <row r="90" spans="1:21" x14ac:dyDescent="0.35">
      <c r="A90" s="1">
        <v>42494</v>
      </c>
      <c r="B90" t="s">
        <v>181</v>
      </c>
      <c r="C90" t="s">
        <v>35</v>
      </c>
      <c r="D90" t="s">
        <v>182</v>
      </c>
      <c r="E90">
        <v>158.36799999999999</v>
      </c>
      <c r="F90">
        <v>7</v>
      </c>
      <c r="G90">
        <v>0.2</v>
      </c>
      <c r="H90">
        <v>13.857200000000001</v>
      </c>
      <c r="U90">
        <v>13.857200000000001</v>
      </c>
    </row>
    <row r="91" spans="1:21" x14ac:dyDescent="0.35">
      <c r="A91" t="s">
        <v>183</v>
      </c>
      <c r="B91" t="s">
        <v>185</v>
      </c>
      <c r="C91" t="s">
        <v>13</v>
      </c>
      <c r="D91" t="s">
        <v>186</v>
      </c>
      <c r="E91">
        <v>20.100000000000001</v>
      </c>
      <c r="F91">
        <v>3</v>
      </c>
      <c r="G91">
        <v>0</v>
      </c>
      <c r="H91">
        <v>6.633</v>
      </c>
      <c r="U91">
        <v>6.633</v>
      </c>
    </row>
    <row r="92" spans="1:21" x14ac:dyDescent="0.35">
      <c r="A92" t="s">
        <v>183</v>
      </c>
      <c r="B92" t="s">
        <v>185</v>
      </c>
      <c r="C92" t="s">
        <v>13</v>
      </c>
      <c r="D92" t="s">
        <v>88</v>
      </c>
      <c r="E92">
        <v>73.584000000000003</v>
      </c>
      <c r="F92">
        <v>2</v>
      </c>
      <c r="G92">
        <v>0.2</v>
      </c>
      <c r="H92">
        <v>8.2782</v>
      </c>
      <c r="U92">
        <v>8.2782</v>
      </c>
    </row>
    <row r="93" spans="1:21" x14ac:dyDescent="0.35">
      <c r="A93" t="s">
        <v>183</v>
      </c>
      <c r="B93" t="s">
        <v>185</v>
      </c>
      <c r="C93" t="s">
        <v>13</v>
      </c>
      <c r="D93" t="s">
        <v>187</v>
      </c>
      <c r="E93">
        <v>6.48</v>
      </c>
      <c r="F93">
        <v>1</v>
      </c>
      <c r="G93">
        <v>0</v>
      </c>
      <c r="H93">
        <v>3.1103999999999998</v>
      </c>
      <c r="U93">
        <v>3.1103999999999998</v>
      </c>
    </row>
    <row r="94" spans="1:21" x14ac:dyDescent="0.35">
      <c r="A94" t="s">
        <v>188</v>
      </c>
      <c r="B94" t="s">
        <v>189</v>
      </c>
      <c r="C94" t="s">
        <v>35</v>
      </c>
      <c r="D94" t="s">
        <v>190</v>
      </c>
      <c r="E94">
        <v>12.96</v>
      </c>
      <c r="F94">
        <v>2</v>
      </c>
      <c r="G94">
        <v>0</v>
      </c>
      <c r="H94">
        <v>6.2207999999999997</v>
      </c>
      <c r="U94">
        <v>6.2207999999999997</v>
      </c>
    </row>
    <row r="95" spans="1:21" x14ac:dyDescent="0.35">
      <c r="A95" t="s">
        <v>188</v>
      </c>
      <c r="B95" t="s">
        <v>189</v>
      </c>
      <c r="C95" t="s">
        <v>35</v>
      </c>
      <c r="D95" t="s">
        <v>191</v>
      </c>
      <c r="E95">
        <v>53.34</v>
      </c>
      <c r="F95">
        <v>3</v>
      </c>
      <c r="G95">
        <v>0</v>
      </c>
      <c r="H95">
        <v>16.535399999999999</v>
      </c>
      <c r="U95">
        <v>16.535399999999999</v>
      </c>
    </row>
    <row r="96" spans="1:21" x14ac:dyDescent="0.35">
      <c r="A96" t="s">
        <v>188</v>
      </c>
      <c r="B96" t="s">
        <v>189</v>
      </c>
      <c r="C96" t="s">
        <v>35</v>
      </c>
      <c r="D96" t="s">
        <v>192</v>
      </c>
      <c r="E96">
        <v>32.96</v>
      </c>
      <c r="F96">
        <v>2</v>
      </c>
      <c r="G96">
        <v>0</v>
      </c>
      <c r="H96">
        <v>16.150400000000001</v>
      </c>
      <c r="U96">
        <v>16.150400000000001</v>
      </c>
    </row>
    <row r="97" spans="1:21" x14ac:dyDescent="0.35">
      <c r="A97" s="1">
        <v>42897</v>
      </c>
      <c r="B97" t="s">
        <v>193</v>
      </c>
      <c r="C97" t="s">
        <v>13</v>
      </c>
      <c r="D97" t="s">
        <v>194</v>
      </c>
      <c r="E97">
        <v>5.6820000000000004</v>
      </c>
      <c r="F97">
        <v>1</v>
      </c>
      <c r="G97">
        <v>0.7</v>
      </c>
      <c r="H97">
        <v>-3.7879999999999998</v>
      </c>
      <c r="U97">
        <v>-3.7879999999999998</v>
      </c>
    </row>
    <row r="98" spans="1:21" x14ac:dyDescent="0.35">
      <c r="A98" s="1">
        <v>42989</v>
      </c>
      <c r="B98" t="s">
        <v>195</v>
      </c>
      <c r="C98" t="s">
        <v>55</v>
      </c>
      <c r="D98" t="s">
        <v>196</v>
      </c>
      <c r="E98">
        <v>96.53</v>
      </c>
      <c r="F98">
        <v>7</v>
      </c>
      <c r="G98">
        <v>0</v>
      </c>
      <c r="H98">
        <v>40.5426</v>
      </c>
      <c r="U98">
        <v>40.5426</v>
      </c>
    </row>
    <row r="99" spans="1:21" x14ac:dyDescent="0.35">
      <c r="A99" t="s">
        <v>197</v>
      </c>
      <c r="B99" t="s">
        <v>199</v>
      </c>
      <c r="C99" t="s">
        <v>13</v>
      </c>
      <c r="D99" t="s">
        <v>200</v>
      </c>
      <c r="E99">
        <v>51.311999999999998</v>
      </c>
      <c r="F99">
        <v>3</v>
      </c>
      <c r="G99">
        <v>0.2</v>
      </c>
      <c r="H99">
        <v>17.959199999999999</v>
      </c>
      <c r="U99">
        <v>17.959199999999999</v>
      </c>
    </row>
    <row r="100" spans="1:21" x14ac:dyDescent="0.35">
      <c r="A100" s="1">
        <v>42530</v>
      </c>
      <c r="B100" t="s">
        <v>201</v>
      </c>
      <c r="C100" t="s">
        <v>35</v>
      </c>
      <c r="D100" t="s">
        <v>202</v>
      </c>
      <c r="E100">
        <v>77.88</v>
      </c>
      <c r="F100">
        <v>6</v>
      </c>
      <c r="G100">
        <v>0</v>
      </c>
      <c r="H100">
        <v>22.5852</v>
      </c>
      <c r="U100">
        <v>22.5852</v>
      </c>
    </row>
    <row r="101" spans="1:21" x14ac:dyDescent="0.35">
      <c r="A101" t="s">
        <v>203</v>
      </c>
      <c r="B101" t="s">
        <v>204</v>
      </c>
      <c r="C101" t="s">
        <v>35</v>
      </c>
      <c r="D101" t="s">
        <v>205</v>
      </c>
      <c r="E101">
        <v>64.623999999999995</v>
      </c>
      <c r="F101">
        <v>7</v>
      </c>
      <c r="G101">
        <v>0.2</v>
      </c>
      <c r="H101">
        <v>22.618400000000001</v>
      </c>
      <c r="U101">
        <v>22.618400000000001</v>
      </c>
    </row>
    <row r="102" spans="1:21" x14ac:dyDescent="0.35">
      <c r="A102" t="s">
        <v>203</v>
      </c>
      <c r="B102" t="s">
        <v>204</v>
      </c>
      <c r="C102" t="s">
        <v>35</v>
      </c>
      <c r="D102" t="s">
        <v>206</v>
      </c>
      <c r="E102">
        <v>95.975999999999999</v>
      </c>
      <c r="F102">
        <v>3</v>
      </c>
      <c r="G102">
        <v>0.2</v>
      </c>
      <c r="H102">
        <v>-10.7973</v>
      </c>
      <c r="U102">
        <v>-10.7973</v>
      </c>
    </row>
    <row r="103" spans="1:21" x14ac:dyDescent="0.35">
      <c r="A103" t="s">
        <v>203</v>
      </c>
      <c r="B103" t="s">
        <v>204</v>
      </c>
      <c r="C103" t="s">
        <v>35</v>
      </c>
      <c r="D103" t="s">
        <v>207</v>
      </c>
      <c r="E103">
        <v>1.788</v>
      </c>
      <c r="F103">
        <v>3</v>
      </c>
      <c r="G103">
        <v>0.8</v>
      </c>
      <c r="H103">
        <v>-3.0396000000000001</v>
      </c>
      <c r="U103">
        <v>-3.0396000000000001</v>
      </c>
    </row>
    <row r="104" spans="1:21" x14ac:dyDescent="0.35">
      <c r="A104" s="1">
        <v>42381</v>
      </c>
      <c r="B104" t="s">
        <v>208</v>
      </c>
      <c r="C104" t="s">
        <v>35</v>
      </c>
      <c r="D104" t="s">
        <v>209</v>
      </c>
      <c r="E104">
        <v>23.92</v>
      </c>
      <c r="F104">
        <v>4</v>
      </c>
      <c r="G104">
        <v>0</v>
      </c>
      <c r="H104">
        <v>11.720800000000001</v>
      </c>
      <c r="U104">
        <v>11.720800000000001</v>
      </c>
    </row>
    <row r="105" spans="1:21" x14ac:dyDescent="0.35">
      <c r="A105" t="s">
        <v>210</v>
      </c>
      <c r="B105" t="s">
        <v>212</v>
      </c>
      <c r="C105" t="s">
        <v>13</v>
      </c>
      <c r="D105" t="s">
        <v>213</v>
      </c>
      <c r="E105">
        <v>238.89599999999999</v>
      </c>
      <c r="F105">
        <v>6</v>
      </c>
      <c r="G105">
        <v>0.2</v>
      </c>
      <c r="H105">
        <v>-26.875800000000002</v>
      </c>
      <c r="U105">
        <v>-26.875800000000002</v>
      </c>
    </row>
    <row r="106" spans="1:21" x14ac:dyDescent="0.35">
      <c r="A106" t="s">
        <v>210</v>
      </c>
      <c r="B106" t="s">
        <v>212</v>
      </c>
      <c r="C106" t="s">
        <v>13</v>
      </c>
      <c r="D106" t="s">
        <v>214</v>
      </c>
      <c r="E106">
        <v>102.36</v>
      </c>
      <c r="F106">
        <v>3</v>
      </c>
      <c r="G106">
        <v>0.2</v>
      </c>
      <c r="H106">
        <v>-3.8384999999999998</v>
      </c>
      <c r="U106">
        <v>-3.8384999999999998</v>
      </c>
    </row>
    <row r="107" spans="1:21" x14ac:dyDescent="0.35">
      <c r="A107" t="s">
        <v>210</v>
      </c>
      <c r="B107" t="s">
        <v>212</v>
      </c>
      <c r="C107" t="s">
        <v>13</v>
      </c>
      <c r="D107" t="s">
        <v>215</v>
      </c>
      <c r="E107">
        <v>36.881999999999998</v>
      </c>
      <c r="F107">
        <v>3</v>
      </c>
      <c r="G107">
        <v>0.7</v>
      </c>
      <c r="H107">
        <v>-25.817399999999999</v>
      </c>
      <c r="U107">
        <v>-25.817399999999999</v>
      </c>
    </row>
    <row r="108" spans="1:21" x14ac:dyDescent="0.35">
      <c r="A108" t="s">
        <v>216</v>
      </c>
      <c r="B108" t="s">
        <v>218</v>
      </c>
      <c r="C108" t="s">
        <v>8</v>
      </c>
      <c r="D108" t="s">
        <v>219</v>
      </c>
      <c r="E108">
        <v>74.111999999999995</v>
      </c>
      <c r="F108">
        <v>8</v>
      </c>
      <c r="G108">
        <v>0.2</v>
      </c>
      <c r="H108">
        <v>17.601600000000001</v>
      </c>
      <c r="U108">
        <v>17.601600000000001</v>
      </c>
    </row>
    <row r="109" spans="1:21" x14ac:dyDescent="0.35">
      <c r="A109" t="s">
        <v>216</v>
      </c>
      <c r="B109" t="s">
        <v>218</v>
      </c>
      <c r="C109" t="s">
        <v>8</v>
      </c>
      <c r="D109" t="s">
        <v>220</v>
      </c>
      <c r="E109">
        <v>27.992000000000001</v>
      </c>
      <c r="F109">
        <v>1</v>
      </c>
      <c r="G109">
        <v>0.2</v>
      </c>
      <c r="H109">
        <v>2.0994000000000002</v>
      </c>
      <c r="U109">
        <v>2.0994000000000002</v>
      </c>
    </row>
    <row r="110" spans="1:21" x14ac:dyDescent="0.35">
      <c r="A110" t="s">
        <v>216</v>
      </c>
      <c r="B110" t="s">
        <v>218</v>
      </c>
      <c r="C110" t="s">
        <v>8</v>
      </c>
      <c r="D110" t="s">
        <v>221</v>
      </c>
      <c r="E110">
        <v>3.3039999999999998</v>
      </c>
      <c r="F110">
        <v>1</v>
      </c>
      <c r="G110">
        <v>0.2</v>
      </c>
      <c r="H110">
        <v>1.0738000000000001</v>
      </c>
      <c r="U110">
        <v>1.0738000000000001</v>
      </c>
    </row>
    <row r="111" spans="1:21" x14ac:dyDescent="0.35">
      <c r="A111" t="s">
        <v>222</v>
      </c>
      <c r="B111" t="s">
        <v>224</v>
      </c>
      <c r="C111" t="s">
        <v>35</v>
      </c>
      <c r="D111" t="s">
        <v>225</v>
      </c>
      <c r="E111">
        <v>339.96</v>
      </c>
      <c r="F111">
        <v>5</v>
      </c>
      <c r="G111">
        <v>0.2</v>
      </c>
      <c r="H111">
        <v>67.992000000000004</v>
      </c>
      <c r="U111">
        <v>67.992000000000004</v>
      </c>
    </row>
    <row r="112" spans="1:21" x14ac:dyDescent="0.35">
      <c r="A112" t="s">
        <v>226</v>
      </c>
      <c r="B112" t="s">
        <v>227</v>
      </c>
      <c r="C112" t="s">
        <v>55</v>
      </c>
      <c r="D112" t="s">
        <v>228</v>
      </c>
      <c r="E112">
        <v>41.96</v>
      </c>
      <c r="F112">
        <v>2</v>
      </c>
      <c r="G112">
        <v>0</v>
      </c>
      <c r="H112">
        <v>10.909599999999999</v>
      </c>
      <c r="U112">
        <v>10.909599999999999</v>
      </c>
    </row>
    <row r="113" spans="1:21" x14ac:dyDescent="0.35">
      <c r="A113" s="1">
        <v>42440</v>
      </c>
      <c r="B113" t="s">
        <v>229</v>
      </c>
      <c r="C113" t="s">
        <v>35</v>
      </c>
      <c r="D113" t="s">
        <v>230</v>
      </c>
      <c r="E113">
        <v>75.959999999999994</v>
      </c>
      <c r="F113">
        <v>2</v>
      </c>
      <c r="G113">
        <v>0</v>
      </c>
      <c r="H113">
        <v>22.788</v>
      </c>
      <c r="U113">
        <v>22.788</v>
      </c>
    </row>
    <row r="114" spans="1:21" x14ac:dyDescent="0.35">
      <c r="A114" s="1">
        <v>42440</v>
      </c>
      <c r="B114" t="s">
        <v>229</v>
      </c>
      <c r="C114" t="s">
        <v>35</v>
      </c>
      <c r="D114" t="s">
        <v>231</v>
      </c>
      <c r="E114">
        <v>27.24</v>
      </c>
      <c r="F114">
        <v>6</v>
      </c>
      <c r="G114">
        <v>0</v>
      </c>
      <c r="H114">
        <v>13.3476</v>
      </c>
      <c r="U114">
        <v>13.3476</v>
      </c>
    </row>
    <row r="115" spans="1:21" x14ac:dyDescent="0.35">
      <c r="A115" t="s">
        <v>232</v>
      </c>
      <c r="B115" t="s">
        <v>233</v>
      </c>
      <c r="C115" t="s">
        <v>55</v>
      </c>
      <c r="D115" t="s">
        <v>234</v>
      </c>
      <c r="E115">
        <v>40.095999999999997</v>
      </c>
      <c r="F115">
        <v>14</v>
      </c>
      <c r="G115">
        <v>0.2</v>
      </c>
      <c r="H115">
        <v>14.534800000000001</v>
      </c>
      <c r="U115">
        <v>14.534800000000001</v>
      </c>
    </row>
    <row r="116" spans="1:21" x14ac:dyDescent="0.35">
      <c r="A116" t="s">
        <v>232</v>
      </c>
      <c r="B116" t="s">
        <v>233</v>
      </c>
      <c r="C116" t="s">
        <v>55</v>
      </c>
      <c r="D116" t="s">
        <v>235</v>
      </c>
      <c r="E116">
        <v>4.72</v>
      </c>
      <c r="F116">
        <v>2</v>
      </c>
      <c r="G116">
        <v>0.2</v>
      </c>
      <c r="H116">
        <v>1.6519999999999999</v>
      </c>
      <c r="U116">
        <v>1.6519999999999999</v>
      </c>
    </row>
    <row r="117" spans="1:21" x14ac:dyDescent="0.35">
      <c r="A117" t="s">
        <v>232</v>
      </c>
      <c r="B117" t="s">
        <v>233</v>
      </c>
      <c r="C117" t="s">
        <v>55</v>
      </c>
      <c r="D117" t="s">
        <v>236</v>
      </c>
      <c r="E117">
        <v>23.975999999999999</v>
      </c>
      <c r="F117">
        <v>3</v>
      </c>
      <c r="G117">
        <v>0.2</v>
      </c>
      <c r="H117">
        <v>7.4924999999999997</v>
      </c>
      <c r="U117">
        <v>7.4924999999999997</v>
      </c>
    </row>
    <row r="118" spans="1:21" x14ac:dyDescent="0.35">
      <c r="A118" t="s">
        <v>232</v>
      </c>
      <c r="B118" t="s">
        <v>233</v>
      </c>
      <c r="C118" t="s">
        <v>55</v>
      </c>
      <c r="D118" t="s">
        <v>237</v>
      </c>
      <c r="E118">
        <v>130.464</v>
      </c>
      <c r="F118">
        <v>6</v>
      </c>
      <c r="G118">
        <v>0.2</v>
      </c>
      <c r="H118">
        <v>44.031599999999997</v>
      </c>
      <c r="U118">
        <v>44.031599999999997</v>
      </c>
    </row>
    <row r="119" spans="1:21" x14ac:dyDescent="0.35">
      <c r="A119" s="1">
        <v>42038</v>
      </c>
      <c r="B119" t="s">
        <v>238</v>
      </c>
      <c r="C119" t="s">
        <v>13</v>
      </c>
      <c r="D119" t="s">
        <v>239</v>
      </c>
      <c r="E119">
        <v>787.53</v>
      </c>
      <c r="F119">
        <v>3</v>
      </c>
      <c r="G119">
        <v>0</v>
      </c>
      <c r="H119">
        <v>165.38130000000001</v>
      </c>
      <c r="U119">
        <v>165.38130000000001</v>
      </c>
    </row>
    <row r="120" spans="1:21" x14ac:dyDescent="0.35">
      <c r="A120" s="1">
        <v>42128</v>
      </c>
      <c r="B120" t="s">
        <v>240</v>
      </c>
      <c r="C120" t="s">
        <v>8</v>
      </c>
      <c r="D120" t="s">
        <v>241</v>
      </c>
      <c r="E120">
        <v>157.79400000000001</v>
      </c>
      <c r="F120">
        <v>1</v>
      </c>
      <c r="G120">
        <v>0.7</v>
      </c>
      <c r="H120">
        <v>-115.71559999999999</v>
      </c>
      <c r="U120">
        <v>-115.71559999999999</v>
      </c>
    </row>
    <row r="121" spans="1:21" x14ac:dyDescent="0.35">
      <c r="A121" s="1">
        <v>42710</v>
      </c>
      <c r="B121" t="s">
        <v>242</v>
      </c>
      <c r="C121" t="s">
        <v>55</v>
      </c>
      <c r="D121" t="s">
        <v>243</v>
      </c>
      <c r="E121">
        <v>47.04</v>
      </c>
      <c r="F121">
        <v>3</v>
      </c>
      <c r="G121">
        <v>0</v>
      </c>
      <c r="H121">
        <v>18.345600000000001</v>
      </c>
      <c r="U121">
        <v>18.345600000000001</v>
      </c>
    </row>
    <row r="122" spans="1:21" x14ac:dyDescent="0.35">
      <c r="A122" s="1">
        <v>42710</v>
      </c>
      <c r="B122" t="s">
        <v>242</v>
      </c>
      <c r="C122" t="s">
        <v>55</v>
      </c>
      <c r="D122" t="s">
        <v>23</v>
      </c>
      <c r="E122">
        <v>30.84</v>
      </c>
      <c r="F122">
        <v>4</v>
      </c>
      <c r="G122">
        <v>0</v>
      </c>
      <c r="H122">
        <v>13.878</v>
      </c>
      <c r="U122">
        <v>13.878</v>
      </c>
    </row>
    <row r="123" spans="1:21" x14ac:dyDescent="0.35">
      <c r="A123" s="1">
        <v>42710</v>
      </c>
      <c r="B123" t="s">
        <v>242</v>
      </c>
      <c r="C123" t="s">
        <v>55</v>
      </c>
      <c r="D123" t="s">
        <v>244</v>
      </c>
      <c r="E123">
        <v>226.56</v>
      </c>
      <c r="F123">
        <v>6</v>
      </c>
      <c r="G123">
        <v>0</v>
      </c>
      <c r="H123">
        <v>63.436799999999998</v>
      </c>
      <c r="U123">
        <v>63.436799999999998</v>
      </c>
    </row>
    <row r="124" spans="1:21" x14ac:dyDescent="0.35">
      <c r="A124" s="1">
        <v>42710</v>
      </c>
      <c r="B124" t="s">
        <v>242</v>
      </c>
      <c r="C124" t="s">
        <v>55</v>
      </c>
      <c r="D124" t="s">
        <v>245</v>
      </c>
      <c r="E124">
        <v>115.02</v>
      </c>
      <c r="F124">
        <v>9</v>
      </c>
      <c r="G124">
        <v>0</v>
      </c>
      <c r="H124">
        <v>51.759</v>
      </c>
      <c r="U124">
        <v>51.759</v>
      </c>
    </row>
    <row r="125" spans="1:21" x14ac:dyDescent="0.35">
      <c r="A125" s="1">
        <v>42710</v>
      </c>
      <c r="B125" t="s">
        <v>242</v>
      </c>
      <c r="C125" t="s">
        <v>55</v>
      </c>
      <c r="D125" t="s">
        <v>246</v>
      </c>
      <c r="E125">
        <v>68.040000000000006</v>
      </c>
      <c r="F125">
        <v>7</v>
      </c>
      <c r="G125">
        <v>0</v>
      </c>
      <c r="H125">
        <v>19.7316</v>
      </c>
      <c r="U125">
        <v>19.7316</v>
      </c>
    </row>
    <row r="126" spans="1:21" x14ac:dyDescent="0.35">
      <c r="A126" t="s">
        <v>247</v>
      </c>
      <c r="B126" t="s">
        <v>249</v>
      </c>
      <c r="C126" t="s">
        <v>35</v>
      </c>
      <c r="D126" t="s">
        <v>250</v>
      </c>
      <c r="E126">
        <v>600.55799999999999</v>
      </c>
      <c r="F126">
        <v>3</v>
      </c>
      <c r="G126">
        <v>0.3</v>
      </c>
      <c r="H126">
        <v>-8.5793999999999997</v>
      </c>
      <c r="U126">
        <v>-8.5793999999999997</v>
      </c>
    </row>
    <row r="127" spans="1:21" x14ac:dyDescent="0.35">
      <c r="A127" t="s">
        <v>251</v>
      </c>
      <c r="B127" t="s">
        <v>252</v>
      </c>
      <c r="C127" t="s">
        <v>35</v>
      </c>
      <c r="D127" t="s">
        <v>253</v>
      </c>
      <c r="E127">
        <v>617.70000000000005</v>
      </c>
      <c r="F127">
        <v>6</v>
      </c>
      <c r="G127">
        <v>0.5</v>
      </c>
      <c r="H127">
        <v>-407.68200000000002</v>
      </c>
      <c r="U127">
        <v>-407.68200000000002</v>
      </c>
    </row>
    <row r="128" spans="1:21" x14ac:dyDescent="0.35">
      <c r="A128" s="1">
        <v>42866</v>
      </c>
      <c r="B128" t="s">
        <v>254</v>
      </c>
      <c r="C128" t="s">
        <v>13</v>
      </c>
      <c r="D128" t="s">
        <v>255</v>
      </c>
      <c r="E128">
        <v>2.3879999999999999</v>
      </c>
      <c r="F128">
        <v>2</v>
      </c>
      <c r="G128">
        <v>0.7</v>
      </c>
      <c r="H128">
        <v>-1.8308</v>
      </c>
      <c r="U128">
        <v>-1.8308</v>
      </c>
    </row>
    <row r="129" spans="1:21" x14ac:dyDescent="0.35">
      <c r="A129" s="1">
        <v>42866</v>
      </c>
      <c r="B129" t="s">
        <v>254</v>
      </c>
      <c r="C129" t="s">
        <v>13</v>
      </c>
      <c r="D129" t="s">
        <v>256</v>
      </c>
      <c r="E129">
        <v>243.99199999999999</v>
      </c>
      <c r="F129">
        <v>7</v>
      </c>
      <c r="G129">
        <v>0.2</v>
      </c>
      <c r="H129">
        <v>30.498999999999999</v>
      </c>
      <c r="U129">
        <v>30.498999999999999</v>
      </c>
    </row>
    <row r="130" spans="1:21" x14ac:dyDescent="0.35">
      <c r="A130" s="1">
        <v>42532</v>
      </c>
      <c r="B130" t="s">
        <v>257</v>
      </c>
      <c r="C130" t="s">
        <v>13</v>
      </c>
      <c r="D130" t="s">
        <v>258</v>
      </c>
      <c r="E130">
        <v>81.424000000000007</v>
      </c>
      <c r="F130">
        <v>2</v>
      </c>
      <c r="G130">
        <v>0.2</v>
      </c>
      <c r="H130">
        <v>-9.1601999999999997</v>
      </c>
      <c r="U130">
        <v>-9.1601999999999997</v>
      </c>
    </row>
    <row r="131" spans="1:21" x14ac:dyDescent="0.35">
      <c r="A131" s="1">
        <v>42532</v>
      </c>
      <c r="B131" t="s">
        <v>257</v>
      </c>
      <c r="C131" t="s">
        <v>13</v>
      </c>
      <c r="D131" t="s">
        <v>259</v>
      </c>
      <c r="E131">
        <v>238.56</v>
      </c>
      <c r="F131">
        <v>3</v>
      </c>
      <c r="G131">
        <v>0</v>
      </c>
      <c r="H131">
        <v>26.241599999999998</v>
      </c>
      <c r="U131">
        <v>26.241599999999998</v>
      </c>
    </row>
    <row r="132" spans="1:21" x14ac:dyDescent="0.35">
      <c r="A132" s="1">
        <v>42768</v>
      </c>
      <c r="B132" t="s">
        <v>260</v>
      </c>
      <c r="C132" t="s">
        <v>55</v>
      </c>
      <c r="D132" t="s">
        <v>261</v>
      </c>
      <c r="E132">
        <v>59.97</v>
      </c>
      <c r="F132">
        <v>5</v>
      </c>
      <c r="G132">
        <v>0.4</v>
      </c>
      <c r="H132">
        <v>-11.994</v>
      </c>
      <c r="U132">
        <v>-11.994</v>
      </c>
    </row>
    <row r="133" spans="1:21" x14ac:dyDescent="0.35">
      <c r="A133" s="1">
        <v>42768</v>
      </c>
      <c r="B133" t="s">
        <v>260</v>
      </c>
      <c r="C133" t="s">
        <v>55</v>
      </c>
      <c r="D133" t="s">
        <v>262</v>
      </c>
      <c r="E133">
        <v>78.304000000000002</v>
      </c>
      <c r="F133">
        <v>2</v>
      </c>
      <c r="G133">
        <v>0.2</v>
      </c>
      <c r="H133">
        <v>29.364000000000001</v>
      </c>
      <c r="U133">
        <v>29.364000000000001</v>
      </c>
    </row>
    <row r="134" spans="1:21" x14ac:dyDescent="0.35">
      <c r="A134" s="1">
        <v>42768</v>
      </c>
      <c r="B134" t="s">
        <v>260</v>
      </c>
      <c r="C134" t="s">
        <v>55</v>
      </c>
      <c r="D134" t="s">
        <v>263</v>
      </c>
      <c r="E134">
        <v>21.456</v>
      </c>
      <c r="F134">
        <v>9</v>
      </c>
      <c r="G134">
        <v>0.2</v>
      </c>
      <c r="H134">
        <v>6.9732000000000003</v>
      </c>
      <c r="U134">
        <v>6.9732000000000003</v>
      </c>
    </row>
    <row r="135" spans="1:21" x14ac:dyDescent="0.35">
      <c r="A135" t="s">
        <v>264</v>
      </c>
      <c r="B135" t="s">
        <v>265</v>
      </c>
      <c r="C135" t="s">
        <v>13</v>
      </c>
      <c r="D135" t="s">
        <v>266</v>
      </c>
      <c r="E135">
        <v>20.04</v>
      </c>
      <c r="F135">
        <v>3</v>
      </c>
      <c r="G135">
        <v>0</v>
      </c>
      <c r="H135">
        <v>9.6191999999999993</v>
      </c>
      <c r="U135">
        <v>9.6191999999999993</v>
      </c>
    </row>
    <row r="136" spans="1:21" x14ac:dyDescent="0.35">
      <c r="A136" t="s">
        <v>264</v>
      </c>
      <c r="B136" t="s">
        <v>265</v>
      </c>
      <c r="C136" t="s">
        <v>13</v>
      </c>
      <c r="D136" t="s">
        <v>267</v>
      </c>
      <c r="E136">
        <v>35.44</v>
      </c>
      <c r="F136">
        <v>1</v>
      </c>
      <c r="G136">
        <v>0</v>
      </c>
      <c r="H136">
        <v>16.6568</v>
      </c>
      <c r="U136">
        <v>16.6568</v>
      </c>
    </row>
    <row r="137" spans="1:21" x14ac:dyDescent="0.35">
      <c r="A137" t="s">
        <v>264</v>
      </c>
      <c r="B137" t="s">
        <v>265</v>
      </c>
      <c r="C137" t="s">
        <v>13</v>
      </c>
      <c r="D137" t="s">
        <v>268</v>
      </c>
      <c r="E137">
        <v>11.52</v>
      </c>
      <c r="F137">
        <v>4</v>
      </c>
      <c r="G137">
        <v>0</v>
      </c>
      <c r="H137">
        <v>3.456</v>
      </c>
      <c r="U137">
        <v>3.456</v>
      </c>
    </row>
    <row r="138" spans="1:21" x14ac:dyDescent="0.35">
      <c r="A138" t="s">
        <v>264</v>
      </c>
      <c r="B138" t="s">
        <v>265</v>
      </c>
      <c r="C138" t="s">
        <v>13</v>
      </c>
      <c r="D138" t="s">
        <v>269</v>
      </c>
      <c r="E138">
        <v>4.0199999999999996</v>
      </c>
      <c r="F138">
        <v>2</v>
      </c>
      <c r="G138">
        <v>0</v>
      </c>
      <c r="H138">
        <v>1.9698</v>
      </c>
      <c r="U138">
        <v>1.9698</v>
      </c>
    </row>
    <row r="139" spans="1:21" x14ac:dyDescent="0.35">
      <c r="A139" t="s">
        <v>264</v>
      </c>
      <c r="B139" t="s">
        <v>265</v>
      </c>
      <c r="C139" t="s">
        <v>13</v>
      </c>
      <c r="D139" t="s">
        <v>270</v>
      </c>
      <c r="E139">
        <v>76.176000000000002</v>
      </c>
      <c r="F139">
        <v>3</v>
      </c>
      <c r="G139">
        <v>0.2</v>
      </c>
      <c r="H139">
        <v>26.6616</v>
      </c>
      <c r="U139">
        <v>26.6616</v>
      </c>
    </row>
    <row r="140" spans="1:21" x14ac:dyDescent="0.35">
      <c r="A140" t="s">
        <v>264</v>
      </c>
      <c r="B140" t="s">
        <v>265</v>
      </c>
      <c r="C140" t="s">
        <v>13</v>
      </c>
      <c r="D140" t="s">
        <v>271</v>
      </c>
      <c r="E140">
        <v>65.88</v>
      </c>
      <c r="F140">
        <v>6</v>
      </c>
      <c r="G140">
        <v>0</v>
      </c>
      <c r="H140">
        <v>18.446400000000001</v>
      </c>
      <c r="U140">
        <v>18.446400000000001</v>
      </c>
    </row>
    <row r="141" spans="1:21" x14ac:dyDescent="0.35">
      <c r="A141" t="s">
        <v>264</v>
      </c>
      <c r="B141" t="s">
        <v>265</v>
      </c>
      <c r="C141" t="s">
        <v>13</v>
      </c>
      <c r="D141" t="s">
        <v>114</v>
      </c>
      <c r="E141">
        <v>43.12</v>
      </c>
      <c r="F141">
        <v>14</v>
      </c>
      <c r="G141">
        <v>0</v>
      </c>
      <c r="H141">
        <v>20.697600000000001</v>
      </c>
      <c r="U141">
        <v>20.697600000000001</v>
      </c>
    </row>
    <row r="142" spans="1:21" x14ac:dyDescent="0.35">
      <c r="A142" s="1">
        <v>42499</v>
      </c>
      <c r="B142" t="s">
        <v>272</v>
      </c>
      <c r="C142" t="s">
        <v>55</v>
      </c>
      <c r="D142" t="s">
        <v>67</v>
      </c>
      <c r="E142">
        <v>82.8</v>
      </c>
      <c r="F142">
        <v>2</v>
      </c>
      <c r="G142">
        <v>0.2</v>
      </c>
      <c r="H142">
        <v>10.35</v>
      </c>
      <c r="U142">
        <v>10.35</v>
      </c>
    </row>
    <row r="143" spans="1:21" x14ac:dyDescent="0.35">
      <c r="A143" t="s">
        <v>273</v>
      </c>
      <c r="B143" t="s">
        <v>274</v>
      </c>
      <c r="C143" t="s">
        <v>13</v>
      </c>
      <c r="D143" t="s">
        <v>275</v>
      </c>
      <c r="E143">
        <v>8.82</v>
      </c>
      <c r="F143">
        <v>3</v>
      </c>
      <c r="G143">
        <v>0</v>
      </c>
      <c r="H143">
        <v>2.3814000000000002</v>
      </c>
      <c r="U143">
        <v>2.3814000000000002</v>
      </c>
    </row>
    <row r="144" spans="1:21" x14ac:dyDescent="0.35">
      <c r="A144" t="s">
        <v>273</v>
      </c>
      <c r="B144" t="s">
        <v>274</v>
      </c>
      <c r="C144" t="s">
        <v>13</v>
      </c>
      <c r="D144" t="s">
        <v>276</v>
      </c>
      <c r="E144">
        <v>10.86</v>
      </c>
      <c r="F144">
        <v>3</v>
      </c>
      <c r="G144">
        <v>0</v>
      </c>
      <c r="H144">
        <v>5.1041999999999996</v>
      </c>
      <c r="U144">
        <v>5.1041999999999996</v>
      </c>
    </row>
    <row r="145" spans="1:21" x14ac:dyDescent="0.35">
      <c r="A145" t="s">
        <v>273</v>
      </c>
      <c r="B145" t="s">
        <v>274</v>
      </c>
      <c r="C145" t="s">
        <v>13</v>
      </c>
      <c r="D145" t="s">
        <v>277</v>
      </c>
      <c r="E145">
        <v>143.69999999999999</v>
      </c>
      <c r="F145">
        <v>3</v>
      </c>
      <c r="G145">
        <v>0</v>
      </c>
      <c r="H145">
        <v>68.975999999999999</v>
      </c>
      <c r="U145">
        <v>68.975999999999999</v>
      </c>
    </row>
    <row r="146" spans="1:21" x14ac:dyDescent="0.35">
      <c r="A146" t="s">
        <v>278</v>
      </c>
      <c r="B146" t="s">
        <v>279</v>
      </c>
      <c r="C146" t="s">
        <v>35</v>
      </c>
      <c r="D146" t="s">
        <v>280</v>
      </c>
      <c r="E146">
        <v>839.43</v>
      </c>
      <c r="F146">
        <v>3</v>
      </c>
      <c r="G146">
        <v>0</v>
      </c>
      <c r="H146">
        <v>218.2518</v>
      </c>
      <c r="U146">
        <v>218.2518</v>
      </c>
    </row>
    <row r="147" spans="1:21" x14ac:dyDescent="0.35">
      <c r="A147" s="1">
        <v>42194</v>
      </c>
      <c r="B147" t="s">
        <v>281</v>
      </c>
      <c r="C147" t="s">
        <v>13</v>
      </c>
      <c r="D147" t="s">
        <v>173</v>
      </c>
      <c r="E147">
        <v>671.93</v>
      </c>
      <c r="F147">
        <v>7</v>
      </c>
      <c r="G147">
        <v>0</v>
      </c>
      <c r="H147">
        <v>20.157900000000001</v>
      </c>
      <c r="U147">
        <v>20.157900000000001</v>
      </c>
    </row>
    <row r="148" spans="1:21" x14ac:dyDescent="0.35">
      <c r="A148" t="s">
        <v>282</v>
      </c>
      <c r="B148" t="s">
        <v>284</v>
      </c>
      <c r="C148" t="s">
        <v>55</v>
      </c>
      <c r="D148" t="s">
        <v>285</v>
      </c>
      <c r="E148">
        <v>93.888000000000005</v>
      </c>
      <c r="F148">
        <v>4</v>
      </c>
      <c r="G148">
        <v>0.2</v>
      </c>
      <c r="H148">
        <v>12.909599999999999</v>
      </c>
      <c r="U148">
        <v>12.909599999999999</v>
      </c>
    </row>
    <row r="149" spans="1:21" x14ac:dyDescent="0.35">
      <c r="A149" s="1">
        <v>42502</v>
      </c>
      <c r="B149" t="s">
        <v>286</v>
      </c>
      <c r="C149" t="s">
        <v>35</v>
      </c>
      <c r="D149" t="s">
        <v>287</v>
      </c>
      <c r="E149">
        <v>384.45</v>
      </c>
      <c r="F149">
        <v>11</v>
      </c>
      <c r="G149">
        <v>0</v>
      </c>
      <c r="H149">
        <v>103.8015</v>
      </c>
      <c r="U149">
        <v>103.8015</v>
      </c>
    </row>
    <row r="150" spans="1:21" x14ac:dyDescent="0.35">
      <c r="A150" s="1">
        <v>42502</v>
      </c>
      <c r="B150" t="s">
        <v>286</v>
      </c>
      <c r="C150" t="s">
        <v>35</v>
      </c>
      <c r="D150" t="s">
        <v>288</v>
      </c>
      <c r="E150">
        <v>149.97</v>
      </c>
      <c r="F150">
        <v>3</v>
      </c>
      <c r="G150">
        <v>0</v>
      </c>
      <c r="H150">
        <v>5.9988000000000001</v>
      </c>
      <c r="U150">
        <v>5.9988000000000001</v>
      </c>
    </row>
    <row r="151" spans="1:21" x14ac:dyDescent="0.35">
      <c r="A151" s="1">
        <v>42502</v>
      </c>
      <c r="B151" t="s">
        <v>286</v>
      </c>
      <c r="C151" t="s">
        <v>35</v>
      </c>
      <c r="D151" t="s">
        <v>10</v>
      </c>
      <c r="E151">
        <v>1951.84</v>
      </c>
      <c r="F151">
        <v>8</v>
      </c>
      <c r="G151">
        <v>0</v>
      </c>
      <c r="H151">
        <v>585.55200000000002</v>
      </c>
      <c r="U151">
        <v>585.55200000000002</v>
      </c>
    </row>
    <row r="152" spans="1:21" x14ac:dyDescent="0.35">
      <c r="A152" s="1">
        <v>42502</v>
      </c>
      <c r="B152" t="s">
        <v>286</v>
      </c>
      <c r="C152" t="s">
        <v>35</v>
      </c>
      <c r="D152" t="s">
        <v>289</v>
      </c>
      <c r="E152">
        <v>171.55</v>
      </c>
      <c r="F152">
        <v>5</v>
      </c>
      <c r="G152">
        <v>0</v>
      </c>
      <c r="H152">
        <v>80.628500000000003</v>
      </c>
      <c r="U152">
        <v>80.628500000000003</v>
      </c>
    </row>
    <row r="153" spans="1:21" x14ac:dyDescent="0.35">
      <c r="A153" t="s">
        <v>97</v>
      </c>
      <c r="B153" t="s">
        <v>290</v>
      </c>
      <c r="C153" t="s">
        <v>13</v>
      </c>
      <c r="D153" t="s">
        <v>291</v>
      </c>
      <c r="E153">
        <v>157.91999999999999</v>
      </c>
      <c r="F153">
        <v>5</v>
      </c>
      <c r="G153">
        <v>0.2</v>
      </c>
      <c r="H153">
        <v>17.765999999999998</v>
      </c>
      <c r="U153">
        <v>17.765999999999998</v>
      </c>
    </row>
    <row r="154" spans="1:21" x14ac:dyDescent="0.35">
      <c r="A154" t="s">
        <v>97</v>
      </c>
      <c r="B154" t="s">
        <v>290</v>
      </c>
      <c r="C154" t="s">
        <v>13</v>
      </c>
      <c r="D154" t="s">
        <v>292</v>
      </c>
      <c r="E154">
        <v>203.184</v>
      </c>
      <c r="F154">
        <v>2</v>
      </c>
      <c r="G154">
        <v>0.2</v>
      </c>
      <c r="H154">
        <v>15.238799999999999</v>
      </c>
      <c r="U154">
        <v>15.238799999999999</v>
      </c>
    </row>
    <row r="155" spans="1:21" x14ac:dyDescent="0.35">
      <c r="A155" t="s">
        <v>293</v>
      </c>
      <c r="B155" t="s">
        <v>294</v>
      </c>
      <c r="C155" t="s">
        <v>13</v>
      </c>
      <c r="D155" t="s">
        <v>295</v>
      </c>
      <c r="E155">
        <v>58.38</v>
      </c>
      <c r="F155">
        <v>7</v>
      </c>
      <c r="G155">
        <v>0</v>
      </c>
      <c r="H155">
        <v>26.271000000000001</v>
      </c>
      <c r="U155">
        <v>26.271000000000001</v>
      </c>
    </row>
    <row r="156" spans="1:21" x14ac:dyDescent="0.35">
      <c r="A156" t="s">
        <v>293</v>
      </c>
      <c r="B156" t="s">
        <v>294</v>
      </c>
      <c r="C156" t="s">
        <v>13</v>
      </c>
      <c r="D156" t="s">
        <v>296</v>
      </c>
      <c r="E156">
        <v>105.52</v>
      </c>
      <c r="F156">
        <v>4</v>
      </c>
      <c r="G156">
        <v>0</v>
      </c>
      <c r="H156">
        <v>48.539200000000001</v>
      </c>
      <c r="U156">
        <v>48.539200000000001</v>
      </c>
    </row>
    <row r="157" spans="1:21" x14ac:dyDescent="0.35">
      <c r="A157" t="s">
        <v>293</v>
      </c>
      <c r="B157" t="s">
        <v>294</v>
      </c>
      <c r="C157" t="s">
        <v>13</v>
      </c>
      <c r="D157" t="s">
        <v>297</v>
      </c>
      <c r="E157">
        <v>80.88</v>
      </c>
      <c r="F157">
        <v>6</v>
      </c>
      <c r="G157">
        <v>0</v>
      </c>
      <c r="H157">
        <v>21.0288</v>
      </c>
      <c r="U157">
        <v>21.0288</v>
      </c>
    </row>
    <row r="158" spans="1:21" x14ac:dyDescent="0.35">
      <c r="A158" t="s">
        <v>298</v>
      </c>
      <c r="B158" t="s">
        <v>299</v>
      </c>
      <c r="C158" t="s">
        <v>13</v>
      </c>
      <c r="D158" t="s">
        <v>300</v>
      </c>
      <c r="E158">
        <v>6.63</v>
      </c>
      <c r="F158">
        <v>3</v>
      </c>
      <c r="G158">
        <v>0</v>
      </c>
      <c r="H158">
        <v>1.7901</v>
      </c>
      <c r="U158">
        <v>1.7901</v>
      </c>
    </row>
    <row r="159" spans="1:21" x14ac:dyDescent="0.35">
      <c r="A159" s="1">
        <v>41642</v>
      </c>
      <c r="B159" t="s">
        <v>301</v>
      </c>
      <c r="C159" t="s">
        <v>13</v>
      </c>
      <c r="D159" t="s">
        <v>250</v>
      </c>
      <c r="E159">
        <v>457.56799999999998</v>
      </c>
      <c r="F159">
        <v>2</v>
      </c>
      <c r="G159">
        <v>0.2</v>
      </c>
      <c r="H159">
        <v>51.476399999999998</v>
      </c>
      <c r="U159">
        <v>51.476399999999998</v>
      </c>
    </row>
    <row r="160" spans="1:21" x14ac:dyDescent="0.35">
      <c r="A160" t="s">
        <v>302</v>
      </c>
      <c r="B160" t="s">
        <v>304</v>
      </c>
      <c r="C160" t="s">
        <v>35</v>
      </c>
      <c r="D160" t="s">
        <v>305</v>
      </c>
      <c r="E160">
        <v>14.62</v>
      </c>
      <c r="F160">
        <v>2</v>
      </c>
      <c r="G160">
        <v>0</v>
      </c>
      <c r="H160">
        <v>6.8714000000000004</v>
      </c>
      <c r="U160">
        <v>6.8714000000000004</v>
      </c>
    </row>
    <row r="161" spans="1:21" x14ac:dyDescent="0.35">
      <c r="A161" t="s">
        <v>302</v>
      </c>
      <c r="B161" t="s">
        <v>304</v>
      </c>
      <c r="C161" t="s">
        <v>35</v>
      </c>
      <c r="D161" t="s">
        <v>306</v>
      </c>
      <c r="E161">
        <v>944.93</v>
      </c>
      <c r="F161">
        <v>7</v>
      </c>
      <c r="G161">
        <v>0</v>
      </c>
      <c r="H161">
        <v>236.23249999999999</v>
      </c>
      <c r="U161">
        <v>236.23249999999999</v>
      </c>
    </row>
    <row r="162" spans="1:21" x14ac:dyDescent="0.35">
      <c r="A162" s="1">
        <v>42679</v>
      </c>
      <c r="B162" t="s">
        <v>307</v>
      </c>
      <c r="C162" t="s">
        <v>13</v>
      </c>
      <c r="D162" t="s">
        <v>308</v>
      </c>
      <c r="E162">
        <v>5.98</v>
      </c>
      <c r="F162">
        <v>1</v>
      </c>
      <c r="G162">
        <v>0</v>
      </c>
      <c r="H162">
        <v>2.6909999999999998</v>
      </c>
      <c r="U162">
        <v>2.6909999999999998</v>
      </c>
    </row>
    <row r="163" spans="1:21" x14ac:dyDescent="0.35">
      <c r="A163" t="s">
        <v>309</v>
      </c>
      <c r="B163" t="s">
        <v>310</v>
      </c>
      <c r="C163" t="s">
        <v>55</v>
      </c>
      <c r="D163" t="s">
        <v>311</v>
      </c>
      <c r="E163">
        <v>54.384</v>
      </c>
      <c r="F163">
        <v>2</v>
      </c>
      <c r="G163">
        <v>0.2</v>
      </c>
      <c r="H163">
        <v>1.3595999999999999</v>
      </c>
      <c r="U163">
        <v>1.3595999999999999</v>
      </c>
    </row>
    <row r="164" spans="1:21" x14ac:dyDescent="0.35">
      <c r="A164" t="s">
        <v>312</v>
      </c>
      <c r="B164" t="s">
        <v>313</v>
      </c>
      <c r="C164" t="s">
        <v>13</v>
      </c>
      <c r="D164" t="s">
        <v>314</v>
      </c>
      <c r="E164">
        <v>28.4</v>
      </c>
      <c r="F164">
        <v>5</v>
      </c>
      <c r="G164">
        <v>0</v>
      </c>
      <c r="H164">
        <v>13.348000000000001</v>
      </c>
      <c r="U164">
        <v>13.348000000000001</v>
      </c>
    </row>
    <row r="165" spans="1:21" x14ac:dyDescent="0.35">
      <c r="A165" s="1">
        <v>42562</v>
      </c>
      <c r="B165" t="s">
        <v>315</v>
      </c>
      <c r="C165" t="s">
        <v>13</v>
      </c>
      <c r="D165" t="s">
        <v>316</v>
      </c>
      <c r="E165">
        <v>27.68</v>
      </c>
      <c r="F165">
        <v>2</v>
      </c>
      <c r="G165">
        <v>0.2</v>
      </c>
      <c r="H165">
        <v>9.6880000000000006</v>
      </c>
      <c r="U165">
        <v>9.6880000000000006</v>
      </c>
    </row>
    <row r="166" spans="1:21" x14ac:dyDescent="0.35">
      <c r="A166" s="1">
        <v>41860</v>
      </c>
      <c r="B166" t="s">
        <v>317</v>
      </c>
      <c r="C166" t="s">
        <v>35</v>
      </c>
      <c r="D166" t="s">
        <v>318</v>
      </c>
      <c r="E166">
        <v>9.9359999999999999</v>
      </c>
      <c r="F166">
        <v>3</v>
      </c>
      <c r="G166">
        <v>0.2</v>
      </c>
      <c r="H166">
        <v>2.7324000000000002</v>
      </c>
      <c r="U166">
        <v>2.7324000000000002</v>
      </c>
    </row>
    <row r="167" spans="1:21" x14ac:dyDescent="0.35">
      <c r="A167" s="1">
        <v>41860</v>
      </c>
      <c r="B167" t="s">
        <v>317</v>
      </c>
      <c r="C167" t="s">
        <v>35</v>
      </c>
      <c r="D167" t="s">
        <v>319</v>
      </c>
      <c r="E167">
        <v>8159.9520000000002</v>
      </c>
      <c r="F167">
        <v>8</v>
      </c>
      <c r="G167">
        <v>0.4</v>
      </c>
      <c r="H167">
        <v>-1359.992</v>
      </c>
      <c r="U167">
        <v>-1359.992</v>
      </c>
    </row>
    <row r="168" spans="1:21" x14ac:dyDescent="0.35">
      <c r="A168" s="1">
        <v>41860</v>
      </c>
      <c r="B168" t="s">
        <v>317</v>
      </c>
      <c r="C168" t="s">
        <v>35</v>
      </c>
      <c r="D168" t="s">
        <v>320</v>
      </c>
      <c r="E168">
        <v>275.928</v>
      </c>
      <c r="F168">
        <v>3</v>
      </c>
      <c r="G168">
        <v>0.2</v>
      </c>
      <c r="H168">
        <v>-58.634700000000002</v>
      </c>
      <c r="U168">
        <v>-58.634700000000002</v>
      </c>
    </row>
    <row r="169" spans="1:21" x14ac:dyDescent="0.35">
      <c r="A169" s="1">
        <v>41860</v>
      </c>
      <c r="B169" t="s">
        <v>317</v>
      </c>
      <c r="C169" t="s">
        <v>35</v>
      </c>
      <c r="D169" t="s">
        <v>321</v>
      </c>
      <c r="E169">
        <v>1740.06</v>
      </c>
      <c r="F169">
        <v>9</v>
      </c>
      <c r="G169">
        <v>0.3</v>
      </c>
      <c r="H169">
        <v>-24.858000000000001</v>
      </c>
      <c r="U169">
        <v>-24.858000000000001</v>
      </c>
    </row>
    <row r="170" spans="1:21" x14ac:dyDescent="0.35">
      <c r="A170" s="1">
        <v>41860</v>
      </c>
      <c r="B170" t="s">
        <v>317</v>
      </c>
      <c r="C170" t="s">
        <v>35</v>
      </c>
      <c r="D170" t="s">
        <v>322</v>
      </c>
      <c r="E170">
        <v>32.064</v>
      </c>
      <c r="F170">
        <v>6</v>
      </c>
      <c r="G170">
        <v>0.2</v>
      </c>
      <c r="H170">
        <v>6.8136000000000001</v>
      </c>
      <c r="U170">
        <v>6.8136000000000001</v>
      </c>
    </row>
    <row r="171" spans="1:21" x14ac:dyDescent="0.35">
      <c r="A171" s="1">
        <v>41860</v>
      </c>
      <c r="B171" t="s">
        <v>317</v>
      </c>
      <c r="C171" t="s">
        <v>35</v>
      </c>
      <c r="D171" t="s">
        <v>323</v>
      </c>
      <c r="E171">
        <v>177.98</v>
      </c>
      <c r="F171">
        <v>5</v>
      </c>
      <c r="G171">
        <v>0.8</v>
      </c>
      <c r="H171">
        <v>-453.84899999999999</v>
      </c>
      <c r="U171">
        <v>-453.84899999999999</v>
      </c>
    </row>
    <row r="172" spans="1:21" x14ac:dyDescent="0.35">
      <c r="A172" s="1">
        <v>41860</v>
      </c>
      <c r="B172" t="s">
        <v>317</v>
      </c>
      <c r="C172" t="s">
        <v>35</v>
      </c>
      <c r="D172" t="s">
        <v>324</v>
      </c>
      <c r="E172">
        <v>143.976</v>
      </c>
      <c r="F172">
        <v>3</v>
      </c>
      <c r="G172">
        <v>0.2</v>
      </c>
      <c r="H172">
        <v>8.9984999999999999</v>
      </c>
      <c r="U172">
        <v>8.9984999999999999</v>
      </c>
    </row>
    <row r="173" spans="1:21" x14ac:dyDescent="0.35">
      <c r="A173" s="1">
        <v>41767</v>
      </c>
      <c r="B173" t="s">
        <v>325</v>
      </c>
      <c r="C173" t="s">
        <v>13</v>
      </c>
      <c r="D173" t="s">
        <v>326</v>
      </c>
      <c r="E173">
        <v>20.94</v>
      </c>
      <c r="F173">
        <v>3</v>
      </c>
      <c r="G173">
        <v>0</v>
      </c>
      <c r="H173">
        <v>9.8417999999999992</v>
      </c>
      <c r="U173">
        <v>9.8417999999999992</v>
      </c>
    </row>
    <row r="174" spans="1:21" x14ac:dyDescent="0.35">
      <c r="A174" s="1">
        <v>41767</v>
      </c>
      <c r="B174" t="s">
        <v>325</v>
      </c>
      <c r="C174" t="s">
        <v>13</v>
      </c>
      <c r="D174" t="s">
        <v>327</v>
      </c>
      <c r="E174">
        <v>110.96</v>
      </c>
      <c r="F174">
        <v>2</v>
      </c>
      <c r="G174">
        <v>0</v>
      </c>
      <c r="H174">
        <v>53.260800000000003</v>
      </c>
      <c r="U174">
        <v>53.260800000000003</v>
      </c>
    </row>
    <row r="175" spans="1:21" x14ac:dyDescent="0.35">
      <c r="A175" s="1">
        <v>41767</v>
      </c>
      <c r="B175" t="s">
        <v>325</v>
      </c>
      <c r="C175" t="s">
        <v>13</v>
      </c>
      <c r="D175" t="s">
        <v>328</v>
      </c>
      <c r="E175">
        <v>340.14400000000001</v>
      </c>
      <c r="F175">
        <v>7</v>
      </c>
      <c r="G175">
        <v>0.2</v>
      </c>
      <c r="H175">
        <v>21.259</v>
      </c>
      <c r="U175">
        <v>21.259</v>
      </c>
    </row>
    <row r="176" spans="1:21" x14ac:dyDescent="0.35">
      <c r="A176" t="s">
        <v>329</v>
      </c>
      <c r="B176" t="s">
        <v>331</v>
      </c>
      <c r="C176" t="s">
        <v>35</v>
      </c>
      <c r="D176" t="s">
        <v>332</v>
      </c>
      <c r="E176">
        <v>52.448</v>
      </c>
      <c r="F176">
        <v>2</v>
      </c>
      <c r="G176">
        <v>0.8</v>
      </c>
      <c r="H176">
        <v>-131.12</v>
      </c>
      <c r="U176">
        <v>-131.12</v>
      </c>
    </row>
    <row r="177" spans="1:21" x14ac:dyDescent="0.35">
      <c r="A177" t="s">
        <v>329</v>
      </c>
      <c r="B177" t="s">
        <v>331</v>
      </c>
      <c r="C177" t="s">
        <v>35</v>
      </c>
      <c r="D177" t="s">
        <v>333</v>
      </c>
      <c r="E177">
        <v>20.16</v>
      </c>
      <c r="F177">
        <v>4</v>
      </c>
      <c r="G177">
        <v>0.2</v>
      </c>
      <c r="H177">
        <v>6.5519999999999996</v>
      </c>
      <c r="U177">
        <v>6.5519999999999996</v>
      </c>
    </row>
    <row r="178" spans="1:21" x14ac:dyDescent="0.35">
      <c r="A178" t="s">
        <v>334</v>
      </c>
      <c r="B178" t="s">
        <v>336</v>
      </c>
      <c r="C178" t="s">
        <v>35</v>
      </c>
      <c r="D178" t="s">
        <v>337</v>
      </c>
      <c r="E178">
        <v>97.263999999999996</v>
      </c>
      <c r="F178">
        <v>4</v>
      </c>
      <c r="G178">
        <v>0.8</v>
      </c>
      <c r="H178">
        <v>-243.16</v>
      </c>
      <c r="U178">
        <v>-243.16</v>
      </c>
    </row>
    <row r="179" spans="1:21" x14ac:dyDescent="0.35">
      <c r="A179" t="s">
        <v>338</v>
      </c>
      <c r="B179" t="s">
        <v>152</v>
      </c>
      <c r="C179" t="s">
        <v>55</v>
      </c>
      <c r="D179" t="s">
        <v>340</v>
      </c>
      <c r="E179">
        <v>396.80200000000002</v>
      </c>
      <c r="F179">
        <v>7</v>
      </c>
      <c r="G179">
        <v>0.3</v>
      </c>
      <c r="H179">
        <v>-11.337199999999999</v>
      </c>
      <c r="U179">
        <v>-11.337199999999999</v>
      </c>
    </row>
    <row r="180" spans="1:21" x14ac:dyDescent="0.35">
      <c r="A180" t="s">
        <v>338</v>
      </c>
      <c r="B180" t="s">
        <v>152</v>
      </c>
      <c r="C180" t="s">
        <v>55</v>
      </c>
      <c r="D180" t="s">
        <v>341</v>
      </c>
      <c r="E180">
        <v>15.88</v>
      </c>
      <c r="F180">
        <v>5</v>
      </c>
      <c r="G180">
        <v>0.2</v>
      </c>
      <c r="H180">
        <v>-3.7715000000000001</v>
      </c>
      <c r="U180">
        <v>-3.7715000000000001</v>
      </c>
    </row>
    <row r="181" spans="1:21" x14ac:dyDescent="0.35">
      <c r="A181" t="s">
        <v>342</v>
      </c>
      <c r="B181" t="s">
        <v>344</v>
      </c>
      <c r="C181" t="s">
        <v>55</v>
      </c>
      <c r="D181" t="s">
        <v>345</v>
      </c>
      <c r="E181">
        <v>3.28</v>
      </c>
      <c r="F181">
        <v>1</v>
      </c>
      <c r="G181">
        <v>0</v>
      </c>
      <c r="H181">
        <v>1.4104000000000001</v>
      </c>
      <c r="U181">
        <v>1.4104000000000001</v>
      </c>
    </row>
    <row r="182" spans="1:21" x14ac:dyDescent="0.35">
      <c r="A182" s="1">
        <v>41771</v>
      </c>
      <c r="B182" t="s">
        <v>346</v>
      </c>
      <c r="C182" t="s">
        <v>35</v>
      </c>
      <c r="D182" t="s">
        <v>347</v>
      </c>
      <c r="E182">
        <v>24.815999999999999</v>
      </c>
      <c r="F182">
        <v>2</v>
      </c>
      <c r="G182">
        <v>0.2</v>
      </c>
      <c r="H182">
        <v>1.8612</v>
      </c>
      <c r="U182">
        <v>1.8612</v>
      </c>
    </row>
    <row r="183" spans="1:21" x14ac:dyDescent="0.35">
      <c r="A183" s="1">
        <v>41771</v>
      </c>
      <c r="B183" t="s">
        <v>346</v>
      </c>
      <c r="C183" t="s">
        <v>35</v>
      </c>
      <c r="D183" t="s">
        <v>348</v>
      </c>
      <c r="E183">
        <v>408.74400000000003</v>
      </c>
      <c r="F183">
        <v>7</v>
      </c>
      <c r="G183">
        <v>0.2</v>
      </c>
      <c r="H183">
        <v>76.639499999999998</v>
      </c>
      <c r="U183">
        <v>76.639499999999998</v>
      </c>
    </row>
    <row r="184" spans="1:21" x14ac:dyDescent="0.35">
      <c r="A184" t="s">
        <v>349</v>
      </c>
      <c r="B184" t="s">
        <v>351</v>
      </c>
      <c r="C184" t="s">
        <v>8</v>
      </c>
      <c r="D184" t="s">
        <v>352</v>
      </c>
      <c r="E184">
        <v>503.96</v>
      </c>
      <c r="F184">
        <v>4</v>
      </c>
      <c r="G184">
        <v>0</v>
      </c>
      <c r="H184">
        <v>131.02959999999999</v>
      </c>
      <c r="U184">
        <v>131.02959999999999</v>
      </c>
    </row>
    <row r="185" spans="1:21" x14ac:dyDescent="0.35">
      <c r="A185" t="s">
        <v>349</v>
      </c>
      <c r="B185" t="s">
        <v>351</v>
      </c>
      <c r="C185" t="s">
        <v>8</v>
      </c>
      <c r="D185" t="s">
        <v>353</v>
      </c>
      <c r="E185">
        <v>149.94999999999999</v>
      </c>
      <c r="F185">
        <v>5</v>
      </c>
      <c r="G185">
        <v>0</v>
      </c>
      <c r="H185">
        <v>41.985999999999997</v>
      </c>
      <c r="U185">
        <v>41.985999999999997</v>
      </c>
    </row>
    <row r="186" spans="1:21" x14ac:dyDescent="0.35">
      <c r="A186" t="s">
        <v>349</v>
      </c>
      <c r="B186" t="s">
        <v>351</v>
      </c>
      <c r="C186" t="s">
        <v>8</v>
      </c>
      <c r="D186" t="s">
        <v>354</v>
      </c>
      <c r="E186">
        <v>29</v>
      </c>
      <c r="F186">
        <v>2</v>
      </c>
      <c r="G186">
        <v>0</v>
      </c>
      <c r="H186">
        <v>7.25</v>
      </c>
      <c r="U186">
        <v>7.25</v>
      </c>
    </row>
    <row r="187" spans="1:21" x14ac:dyDescent="0.35">
      <c r="A187" t="s">
        <v>355</v>
      </c>
      <c r="B187" t="s">
        <v>356</v>
      </c>
      <c r="C187" t="s">
        <v>55</v>
      </c>
      <c r="D187" t="s">
        <v>357</v>
      </c>
      <c r="E187">
        <v>7.16</v>
      </c>
      <c r="F187">
        <v>2</v>
      </c>
      <c r="G187">
        <v>0</v>
      </c>
      <c r="H187">
        <v>3.4367999999999999</v>
      </c>
      <c r="U187">
        <v>3.4367999999999999</v>
      </c>
    </row>
    <row r="188" spans="1:21" x14ac:dyDescent="0.35">
      <c r="A188" t="s">
        <v>358</v>
      </c>
      <c r="B188" t="s">
        <v>360</v>
      </c>
      <c r="C188" t="s">
        <v>13</v>
      </c>
      <c r="D188" t="s">
        <v>361</v>
      </c>
      <c r="E188">
        <v>176.8</v>
      </c>
      <c r="F188">
        <v>8</v>
      </c>
      <c r="G188">
        <v>0</v>
      </c>
      <c r="H188">
        <v>22.984000000000002</v>
      </c>
      <c r="U188">
        <v>22.984000000000002</v>
      </c>
    </row>
    <row r="189" spans="1:21" x14ac:dyDescent="0.35">
      <c r="A189" t="s">
        <v>362</v>
      </c>
      <c r="B189" t="s">
        <v>363</v>
      </c>
      <c r="C189" t="s">
        <v>35</v>
      </c>
      <c r="D189" t="s">
        <v>364</v>
      </c>
      <c r="E189">
        <v>37.223999999999997</v>
      </c>
      <c r="F189">
        <v>3</v>
      </c>
      <c r="G189">
        <v>0.2</v>
      </c>
      <c r="H189">
        <v>3.7223999999999999</v>
      </c>
      <c r="U189">
        <v>3.7223999999999999</v>
      </c>
    </row>
    <row r="190" spans="1:21" x14ac:dyDescent="0.35">
      <c r="A190" t="s">
        <v>362</v>
      </c>
      <c r="B190" t="s">
        <v>363</v>
      </c>
      <c r="C190" t="s">
        <v>35</v>
      </c>
      <c r="D190" t="s">
        <v>295</v>
      </c>
      <c r="E190">
        <v>20.015999999999998</v>
      </c>
      <c r="F190">
        <v>3</v>
      </c>
      <c r="G190">
        <v>0.2</v>
      </c>
      <c r="H190">
        <v>6.2549999999999999</v>
      </c>
      <c r="U190">
        <v>6.2549999999999999</v>
      </c>
    </row>
    <row r="191" spans="1:21" x14ac:dyDescent="0.35">
      <c r="A191" s="1">
        <v>42348</v>
      </c>
      <c r="B191" t="s">
        <v>365</v>
      </c>
      <c r="C191" t="s">
        <v>55</v>
      </c>
      <c r="D191" t="s">
        <v>366</v>
      </c>
      <c r="E191">
        <v>899.13599999999997</v>
      </c>
      <c r="F191">
        <v>4</v>
      </c>
      <c r="G191">
        <v>0.2</v>
      </c>
      <c r="H191">
        <v>112.392</v>
      </c>
      <c r="U191">
        <v>112.392</v>
      </c>
    </row>
    <row r="192" spans="1:21" x14ac:dyDescent="0.35">
      <c r="A192" s="1">
        <v>42348</v>
      </c>
      <c r="B192" t="s">
        <v>365</v>
      </c>
      <c r="C192" t="s">
        <v>55</v>
      </c>
      <c r="D192" t="s">
        <v>367</v>
      </c>
      <c r="E192">
        <v>71.760000000000005</v>
      </c>
      <c r="F192">
        <v>6</v>
      </c>
      <c r="G192">
        <v>0</v>
      </c>
      <c r="H192">
        <v>20.0928</v>
      </c>
      <c r="U192">
        <v>20.0928</v>
      </c>
    </row>
    <row r="193" spans="1:21" x14ac:dyDescent="0.35">
      <c r="A193" s="1">
        <v>42348</v>
      </c>
      <c r="B193" t="s">
        <v>365</v>
      </c>
      <c r="C193" t="s">
        <v>55</v>
      </c>
      <c r="D193" t="s">
        <v>368</v>
      </c>
      <c r="E193">
        <v>51.84</v>
      </c>
      <c r="F193">
        <v>8</v>
      </c>
      <c r="G193">
        <v>0</v>
      </c>
      <c r="H193">
        <v>24.883199999999999</v>
      </c>
      <c r="U193">
        <v>24.883199999999999</v>
      </c>
    </row>
    <row r="194" spans="1:21" x14ac:dyDescent="0.35">
      <c r="A194" s="1">
        <v>42348</v>
      </c>
      <c r="B194" t="s">
        <v>365</v>
      </c>
      <c r="C194" t="s">
        <v>55</v>
      </c>
      <c r="D194" t="s">
        <v>83</v>
      </c>
      <c r="E194">
        <v>626.35199999999998</v>
      </c>
      <c r="F194">
        <v>3</v>
      </c>
      <c r="G194">
        <v>0.2</v>
      </c>
      <c r="H194">
        <v>46.976399999999998</v>
      </c>
      <c r="U194">
        <v>46.976399999999998</v>
      </c>
    </row>
    <row r="195" spans="1:21" x14ac:dyDescent="0.35">
      <c r="A195" s="1">
        <v>42348</v>
      </c>
      <c r="B195" t="s">
        <v>365</v>
      </c>
      <c r="C195" t="s">
        <v>55</v>
      </c>
      <c r="D195" t="s">
        <v>369</v>
      </c>
      <c r="E195">
        <v>19.899999999999999</v>
      </c>
      <c r="F195">
        <v>5</v>
      </c>
      <c r="G195">
        <v>0</v>
      </c>
      <c r="H195">
        <v>6.5670000000000002</v>
      </c>
      <c r="U195">
        <v>6.5670000000000002</v>
      </c>
    </row>
    <row r="196" spans="1:21" x14ac:dyDescent="0.35">
      <c r="A196" t="s">
        <v>370</v>
      </c>
      <c r="B196" t="s">
        <v>371</v>
      </c>
      <c r="C196" t="s">
        <v>13</v>
      </c>
      <c r="D196" t="s">
        <v>68</v>
      </c>
      <c r="E196">
        <v>14.28</v>
      </c>
      <c r="F196">
        <v>7</v>
      </c>
      <c r="G196">
        <v>0</v>
      </c>
      <c r="H196">
        <v>6.7115999999999998</v>
      </c>
      <c r="U196">
        <v>6.7115999999999998</v>
      </c>
    </row>
    <row r="197" spans="1:21" x14ac:dyDescent="0.35">
      <c r="A197" t="s">
        <v>372</v>
      </c>
      <c r="B197" t="s">
        <v>374</v>
      </c>
      <c r="C197" t="s">
        <v>55</v>
      </c>
      <c r="D197" t="s">
        <v>375</v>
      </c>
      <c r="E197">
        <v>7.4080000000000004</v>
      </c>
      <c r="F197">
        <v>2</v>
      </c>
      <c r="G197">
        <v>0.2</v>
      </c>
      <c r="H197">
        <v>1.2038</v>
      </c>
      <c r="U197">
        <v>1.2038</v>
      </c>
    </row>
    <row r="198" spans="1:21" x14ac:dyDescent="0.35">
      <c r="A198" t="s">
        <v>372</v>
      </c>
      <c r="B198" t="s">
        <v>374</v>
      </c>
      <c r="C198" t="s">
        <v>55</v>
      </c>
      <c r="D198" t="s">
        <v>376</v>
      </c>
      <c r="E198">
        <v>6.048</v>
      </c>
      <c r="F198">
        <v>3</v>
      </c>
      <c r="G198">
        <v>0.2</v>
      </c>
      <c r="H198">
        <v>1.5875999999999999</v>
      </c>
      <c r="U198">
        <v>1.5875999999999999</v>
      </c>
    </row>
    <row r="199" spans="1:21" x14ac:dyDescent="0.35">
      <c r="A199" s="1">
        <v>42897</v>
      </c>
      <c r="B199" t="s">
        <v>377</v>
      </c>
      <c r="C199" t="s">
        <v>55</v>
      </c>
      <c r="D199" t="s">
        <v>378</v>
      </c>
      <c r="E199">
        <v>46.26</v>
      </c>
      <c r="F199">
        <v>3</v>
      </c>
      <c r="G199">
        <v>0</v>
      </c>
      <c r="H199">
        <v>12.0276</v>
      </c>
      <c r="U199">
        <v>12.0276</v>
      </c>
    </row>
    <row r="200" spans="1:21" x14ac:dyDescent="0.35">
      <c r="A200" s="1">
        <v>42893</v>
      </c>
      <c r="B200" t="s">
        <v>379</v>
      </c>
      <c r="C200" t="s">
        <v>55</v>
      </c>
      <c r="D200" t="s">
        <v>380</v>
      </c>
      <c r="E200">
        <v>2.9460000000000002</v>
      </c>
      <c r="F200">
        <v>2</v>
      </c>
      <c r="G200">
        <v>0.7</v>
      </c>
      <c r="H200">
        <v>-2.2585999999999999</v>
      </c>
      <c r="U200">
        <v>-2.2585999999999999</v>
      </c>
    </row>
    <row r="201" spans="1:21" x14ac:dyDescent="0.35">
      <c r="A201" s="1">
        <v>42893</v>
      </c>
      <c r="B201" t="s">
        <v>379</v>
      </c>
      <c r="C201" t="s">
        <v>55</v>
      </c>
      <c r="D201" t="s">
        <v>381</v>
      </c>
      <c r="E201">
        <v>16.056000000000001</v>
      </c>
      <c r="F201">
        <v>3</v>
      </c>
      <c r="G201">
        <v>0.2</v>
      </c>
      <c r="H201">
        <v>5.8202999999999996</v>
      </c>
      <c r="U201">
        <v>5.8202999999999996</v>
      </c>
    </row>
    <row r="202" spans="1:21" x14ac:dyDescent="0.35">
      <c r="A202" t="s">
        <v>382</v>
      </c>
      <c r="B202" t="s">
        <v>384</v>
      </c>
      <c r="C202" t="s">
        <v>55</v>
      </c>
      <c r="D202" t="s">
        <v>385</v>
      </c>
      <c r="E202">
        <v>21.744</v>
      </c>
      <c r="F202">
        <v>3</v>
      </c>
      <c r="G202">
        <v>0.2</v>
      </c>
      <c r="H202">
        <v>6.7949999999999999</v>
      </c>
      <c r="U202">
        <v>6.7949999999999999</v>
      </c>
    </row>
    <row r="203" spans="1:21" x14ac:dyDescent="0.35">
      <c r="A203" s="1">
        <v>41706</v>
      </c>
      <c r="B203" t="s">
        <v>386</v>
      </c>
      <c r="C203" t="s">
        <v>13</v>
      </c>
      <c r="D203" t="s">
        <v>387</v>
      </c>
      <c r="E203">
        <v>218.75</v>
      </c>
      <c r="F203">
        <v>2</v>
      </c>
      <c r="G203">
        <v>0.5</v>
      </c>
      <c r="H203">
        <v>-161.875</v>
      </c>
      <c r="U203">
        <v>-161.875</v>
      </c>
    </row>
    <row r="204" spans="1:21" x14ac:dyDescent="0.35">
      <c r="A204" s="1">
        <v>41706</v>
      </c>
      <c r="B204" t="s">
        <v>386</v>
      </c>
      <c r="C204" t="s">
        <v>13</v>
      </c>
      <c r="D204" t="s">
        <v>388</v>
      </c>
      <c r="E204">
        <v>2.6</v>
      </c>
      <c r="F204">
        <v>1</v>
      </c>
      <c r="G204">
        <v>0.2</v>
      </c>
      <c r="H204">
        <v>0.29249999999999998</v>
      </c>
      <c r="U204">
        <v>0.29249999999999998</v>
      </c>
    </row>
    <row r="205" spans="1:21" x14ac:dyDescent="0.35">
      <c r="A205" t="s">
        <v>389</v>
      </c>
      <c r="B205" t="s">
        <v>390</v>
      </c>
      <c r="C205" t="s">
        <v>35</v>
      </c>
      <c r="D205" t="s">
        <v>391</v>
      </c>
      <c r="E205">
        <v>66.284000000000006</v>
      </c>
      <c r="F205">
        <v>2</v>
      </c>
      <c r="G205">
        <v>0.8</v>
      </c>
      <c r="H205">
        <v>-178.96680000000001</v>
      </c>
      <c r="U205">
        <v>-178.96680000000001</v>
      </c>
    </row>
    <row r="206" spans="1:21" x14ac:dyDescent="0.35">
      <c r="A206" s="1">
        <v>42800</v>
      </c>
      <c r="B206" t="s">
        <v>392</v>
      </c>
      <c r="C206" t="s">
        <v>8</v>
      </c>
      <c r="D206" t="s">
        <v>393</v>
      </c>
      <c r="E206">
        <v>35.167999999999999</v>
      </c>
      <c r="F206">
        <v>7</v>
      </c>
      <c r="G206">
        <v>0.2</v>
      </c>
      <c r="H206">
        <v>9.6712000000000007</v>
      </c>
      <c r="U206">
        <v>9.6712000000000007</v>
      </c>
    </row>
    <row r="207" spans="1:21" x14ac:dyDescent="0.35">
      <c r="A207" s="1">
        <v>42990</v>
      </c>
      <c r="B207" t="s">
        <v>395</v>
      </c>
      <c r="C207" t="s">
        <v>13</v>
      </c>
      <c r="D207" t="s">
        <v>396</v>
      </c>
      <c r="E207">
        <v>444.76799999999997</v>
      </c>
      <c r="F207">
        <v>4</v>
      </c>
      <c r="G207">
        <v>0.2</v>
      </c>
      <c r="H207">
        <v>44.476799999999997</v>
      </c>
      <c r="U207">
        <v>44.476799999999997</v>
      </c>
    </row>
    <row r="208" spans="1:21" x14ac:dyDescent="0.35">
      <c r="A208" s="1">
        <v>42747</v>
      </c>
      <c r="B208" t="s">
        <v>397</v>
      </c>
      <c r="C208" t="s">
        <v>35</v>
      </c>
      <c r="D208" t="s">
        <v>398</v>
      </c>
      <c r="E208">
        <v>83.92</v>
      </c>
      <c r="F208">
        <v>4</v>
      </c>
      <c r="G208">
        <v>0</v>
      </c>
      <c r="H208">
        <v>5.8743999999999996</v>
      </c>
      <c r="U208">
        <v>5.8743999999999996</v>
      </c>
    </row>
    <row r="209" spans="1:21" x14ac:dyDescent="0.35">
      <c r="A209" s="1">
        <v>42747</v>
      </c>
      <c r="B209" t="s">
        <v>397</v>
      </c>
      <c r="C209" t="s">
        <v>35</v>
      </c>
      <c r="D209" t="s">
        <v>399</v>
      </c>
      <c r="E209">
        <v>131.97999999999999</v>
      </c>
      <c r="F209">
        <v>2</v>
      </c>
      <c r="G209">
        <v>0</v>
      </c>
      <c r="H209">
        <v>35.634599999999999</v>
      </c>
      <c r="U209">
        <v>35.634599999999999</v>
      </c>
    </row>
    <row r="210" spans="1:21" x14ac:dyDescent="0.35">
      <c r="A210" s="1">
        <v>42747</v>
      </c>
      <c r="B210" t="s">
        <v>397</v>
      </c>
      <c r="C210" t="s">
        <v>35</v>
      </c>
      <c r="D210" t="s">
        <v>255</v>
      </c>
      <c r="E210">
        <v>15.92</v>
      </c>
      <c r="F210">
        <v>4</v>
      </c>
      <c r="G210">
        <v>0</v>
      </c>
      <c r="H210">
        <v>7.4824000000000002</v>
      </c>
      <c r="U210">
        <v>7.4824000000000002</v>
      </c>
    </row>
    <row r="211" spans="1:21" x14ac:dyDescent="0.35">
      <c r="A211" s="1">
        <v>42747</v>
      </c>
      <c r="B211" t="s">
        <v>397</v>
      </c>
      <c r="C211" t="s">
        <v>35</v>
      </c>
      <c r="D211" t="s">
        <v>400</v>
      </c>
      <c r="E211">
        <v>52.29</v>
      </c>
      <c r="F211">
        <v>9</v>
      </c>
      <c r="G211">
        <v>0</v>
      </c>
      <c r="H211">
        <v>16.209900000000001</v>
      </c>
      <c r="U211">
        <v>16.209900000000001</v>
      </c>
    </row>
    <row r="212" spans="1:21" x14ac:dyDescent="0.35">
      <c r="A212" s="1">
        <v>42747</v>
      </c>
      <c r="B212" t="s">
        <v>397</v>
      </c>
      <c r="C212" t="s">
        <v>35</v>
      </c>
      <c r="D212" t="s">
        <v>401</v>
      </c>
      <c r="E212">
        <v>91.99</v>
      </c>
      <c r="F212">
        <v>1</v>
      </c>
      <c r="G212">
        <v>0</v>
      </c>
      <c r="H212">
        <v>3.6796000000000002</v>
      </c>
      <c r="U212">
        <v>3.6796000000000002</v>
      </c>
    </row>
    <row r="213" spans="1:21" x14ac:dyDescent="0.35">
      <c r="A213" s="1">
        <v>42249</v>
      </c>
      <c r="B213" t="s">
        <v>402</v>
      </c>
      <c r="C213" t="s">
        <v>35</v>
      </c>
      <c r="D213" t="s">
        <v>403</v>
      </c>
      <c r="E213">
        <v>20.8</v>
      </c>
      <c r="F213">
        <v>2</v>
      </c>
      <c r="G213">
        <v>0.2</v>
      </c>
      <c r="H213">
        <v>6.5</v>
      </c>
      <c r="U213">
        <v>6.5</v>
      </c>
    </row>
    <row r="214" spans="1:21" x14ac:dyDescent="0.35">
      <c r="A214" s="1">
        <v>42036</v>
      </c>
      <c r="B214" t="s">
        <v>404</v>
      </c>
      <c r="C214" t="s">
        <v>55</v>
      </c>
      <c r="D214" t="s">
        <v>405</v>
      </c>
      <c r="E214">
        <v>23.68</v>
      </c>
      <c r="F214">
        <v>2</v>
      </c>
      <c r="G214">
        <v>0.2</v>
      </c>
      <c r="H214">
        <v>8.8800000000000008</v>
      </c>
      <c r="U214">
        <v>8.8800000000000008</v>
      </c>
    </row>
    <row r="215" spans="1:21" x14ac:dyDescent="0.35">
      <c r="A215" s="1">
        <v>42036</v>
      </c>
      <c r="B215" t="s">
        <v>404</v>
      </c>
      <c r="C215" t="s">
        <v>55</v>
      </c>
      <c r="D215" t="s">
        <v>406</v>
      </c>
      <c r="E215">
        <v>452.45</v>
      </c>
      <c r="F215">
        <v>5</v>
      </c>
      <c r="G215">
        <v>0.5</v>
      </c>
      <c r="H215">
        <v>-244.32300000000001</v>
      </c>
      <c r="U215">
        <v>-244.32300000000001</v>
      </c>
    </row>
    <row r="216" spans="1:21" x14ac:dyDescent="0.35">
      <c r="A216" s="1">
        <v>42036</v>
      </c>
      <c r="B216" t="s">
        <v>404</v>
      </c>
      <c r="C216" t="s">
        <v>55</v>
      </c>
      <c r="D216" t="s">
        <v>220</v>
      </c>
      <c r="E216">
        <v>62.981999999999999</v>
      </c>
      <c r="F216">
        <v>3</v>
      </c>
      <c r="G216">
        <v>0.4</v>
      </c>
      <c r="H216">
        <v>-14.6958</v>
      </c>
      <c r="U216">
        <v>-14.6958</v>
      </c>
    </row>
    <row r="217" spans="1:21" x14ac:dyDescent="0.35">
      <c r="A217" s="1">
        <v>42036</v>
      </c>
      <c r="B217" t="s">
        <v>404</v>
      </c>
      <c r="C217" t="s">
        <v>55</v>
      </c>
      <c r="D217" t="s">
        <v>407</v>
      </c>
      <c r="E217">
        <v>1188</v>
      </c>
      <c r="F217">
        <v>9</v>
      </c>
      <c r="G217">
        <v>0.7</v>
      </c>
      <c r="H217">
        <v>-950.4</v>
      </c>
      <c r="U217">
        <v>-950.4</v>
      </c>
    </row>
    <row r="218" spans="1:21" x14ac:dyDescent="0.35">
      <c r="A218" s="1">
        <v>42036</v>
      </c>
      <c r="B218" t="s">
        <v>404</v>
      </c>
      <c r="C218" t="s">
        <v>55</v>
      </c>
      <c r="D218" t="s">
        <v>408</v>
      </c>
      <c r="E218">
        <v>89.584000000000003</v>
      </c>
      <c r="F218">
        <v>2</v>
      </c>
      <c r="G218">
        <v>0.2</v>
      </c>
      <c r="H218">
        <v>4.4791999999999996</v>
      </c>
      <c r="U218">
        <v>4.4791999999999996</v>
      </c>
    </row>
    <row r="219" spans="1:21" x14ac:dyDescent="0.35">
      <c r="A219" t="s">
        <v>409</v>
      </c>
      <c r="B219" t="s">
        <v>410</v>
      </c>
      <c r="C219" t="s">
        <v>13</v>
      </c>
      <c r="D219" t="s">
        <v>364</v>
      </c>
      <c r="E219">
        <v>93.06</v>
      </c>
      <c r="F219">
        <v>6</v>
      </c>
      <c r="G219">
        <v>0</v>
      </c>
      <c r="H219">
        <v>26.056799999999999</v>
      </c>
      <c r="U219">
        <v>26.056799999999999</v>
      </c>
    </row>
    <row r="220" spans="1:21" x14ac:dyDescent="0.35">
      <c r="A220" t="s">
        <v>409</v>
      </c>
      <c r="B220" t="s">
        <v>410</v>
      </c>
      <c r="C220" t="s">
        <v>13</v>
      </c>
      <c r="D220" t="s">
        <v>411</v>
      </c>
      <c r="E220">
        <v>302.37599999999998</v>
      </c>
      <c r="F220">
        <v>3</v>
      </c>
      <c r="G220">
        <v>0.2</v>
      </c>
      <c r="H220">
        <v>22.6782</v>
      </c>
      <c r="U220">
        <v>22.6782</v>
      </c>
    </row>
    <row r="221" spans="1:21" x14ac:dyDescent="0.35">
      <c r="A221" t="s">
        <v>412</v>
      </c>
      <c r="B221" t="s">
        <v>413</v>
      </c>
      <c r="C221" t="s">
        <v>55</v>
      </c>
      <c r="D221" t="s">
        <v>414</v>
      </c>
      <c r="E221">
        <v>5.5839999999999996</v>
      </c>
      <c r="F221">
        <v>2</v>
      </c>
      <c r="G221">
        <v>0.2</v>
      </c>
      <c r="H221">
        <v>1.8148</v>
      </c>
      <c r="U221">
        <v>1.8148</v>
      </c>
    </row>
    <row r="222" spans="1:21" x14ac:dyDescent="0.35">
      <c r="A222" t="s">
        <v>412</v>
      </c>
      <c r="B222" t="s">
        <v>413</v>
      </c>
      <c r="C222" t="s">
        <v>55</v>
      </c>
      <c r="D222" t="s">
        <v>415</v>
      </c>
      <c r="E222">
        <v>22.704000000000001</v>
      </c>
      <c r="F222">
        <v>6</v>
      </c>
      <c r="G222">
        <v>0.2</v>
      </c>
      <c r="H222">
        <v>8.2302</v>
      </c>
      <c r="U222">
        <v>8.2302</v>
      </c>
    </row>
    <row r="223" spans="1:21" x14ac:dyDescent="0.35">
      <c r="A223" t="s">
        <v>412</v>
      </c>
      <c r="B223" t="s">
        <v>413</v>
      </c>
      <c r="C223" t="s">
        <v>55</v>
      </c>
      <c r="D223" t="s">
        <v>192</v>
      </c>
      <c r="E223">
        <v>19.776</v>
      </c>
      <c r="F223">
        <v>4</v>
      </c>
      <c r="G223">
        <v>0.7</v>
      </c>
      <c r="H223">
        <v>-13.8432</v>
      </c>
      <c r="U223">
        <v>-13.8432</v>
      </c>
    </row>
    <row r="224" spans="1:21" x14ac:dyDescent="0.35">
      <c r="A224" t="s">
        <v>412</v>
      </c>
      <c r="B224" t="s">
        <v>413</v>
      </c>
      <c r="C224" t="s">
        <v>55</v>
      </c>
      <c r="D224" t="s">
        <v>416</v>
      </c>
      <c r="E224">
        <v>72.703999999999994</v>
      </c>
      <c r="F224">
        <v>4</v>
      </c>
      <c r="G224">
        <v>0.2</v>
      </c>
      <c r="H224">
        <v>19.084800000000001</v>
      </c>
      <c r="U224">
        <v>19.084800000000001</v>
      </c>
    </row>
    <row r="225" spans="1:21" x14ac:dyDescent="0.35">
      <c r="A225" t="s">
        <v>412</v>
      </c>
      <c r="B225" t="s">
        <v>413</v>
      </c>
      <c r="C225" t="s">
        <v>55</v>
      </c>
      <c r="D225" t="s">
        <v>417</v>
      </c>
      <c r="E225">
        <v>479.988</v>
      </c>
      <c r="F225">
        <v>4</v>
      </c>
      <c r="G225">
        <v>0.7</v>
      </c>
      <c r="H225">
        <v>-383.99040000000002</v>
      </c>
      <c r="U225">
        <v>-383.99040000000002</v>
      </c>
    </row>
    <row r="226" spans="1:21" x14ac:dyDescent="0.35">
      <c r="A226" t="s">
        <v>412</v>
      </c>
      <c r="B226" t="s">
        <v>413</v>
      </c>
      <c r="C226" t="s">
        <v>55</v>
      </c>
      <c r="D226" t="s">
        <v>418</v>
      </c>
      <c r="E226">
        <v>27.167999999999999</v>
      </c>
      <c r="F226">
        <v>2</v>
      </c>
      <c r="G226">
        <v>0.2</v>
      </c>
      <c r="H226">
        <v>2.7168000000000001</v>
      </c>
      <c r="U226">
        <v>2.7168000000000001</v>
      </c>
    </row>
    <row r="227" spans="1:21" x14ac:dyDescent="0.35">
      <c r="A227" s="1">
        <v>42255</v>
      </c>
      <c r="B227" t="s">
        <v>420</v>
      </c>
      <c r="C227" t="s">
        <v>35</v>
      </c>
      <c r="D227" t="s">
        <v>421</v>
      </c>
      <c r="E227">
        <v>2.2000000000000002</v>
      </c>
      <c r="F227">
        <v>1</v>
      </c>
      <c r="G227">
        <v>0</v>
      </c>
      <c r="H227">
        <v>0.96799999999999997</v>
      </c>
      <c r="U227">
        <v>0.96799999999999997</v>
      </c>
    </row>
    <row r="228" spans="1:21" x14ac:dyDescent="0.35">
      <c r="A228" s="1">
        <v>42255</v>
      </c>
      <c r="B228" t="s">
        <v>420</v>
      </c>
      <c r="C228" t="s">
        <v>35</v>
      </c>
      <c r="D228" t="s">
        <v>422</v>
      </c>
      <c r="E228">
        <v>622.45000000000005</v>
      </c>
      <c r="F228">
        <v>5</v>
      </c>
      <c r="G228">
        <v>0</v>
      </c>
      <c r="H228">
        <v>136.93899999999999</v>
      </c>
      <c r="U228">
        <v>136.93899999999999</v>
      </c>
    </row>
    <row r="229" spans="1:21" x14ac:dyDescent="0.35">
      <c r="A229" s="1">
        <v>42255</v>
      </c>
      <c r="B229" t="s">
        <v>420</v>
      </c>
      <c r="C229" t="s">
        <v>35</v>
      </c>
      <c r="D229" t="s">
        <v>423</v>
      </c>
      <c r="E229">
        <v>21.98</v>
      </c>
      <c r="F229">
        <v>1</v>
      </c>
      <c r="G229">
        <v>0</v>
      </c>
      <c r="H229">
        <v>0.2198</v>
      </c>
      <c r="U229">
        <v>0.2198</v>
      </c>
    </row>
    <row r="230" spans="1:21" x14ac:dyDescent="0.35">
      <c r="A230" t="s">
        <v>424</v>
      </c>
      <c r="B230" t="s">
        <v>425</v>
      </c>
      <c r="C230" t="s">
        <v>8</v>
      </c>
      <c r="D230" t="s">
        <v>426</v>
      </c>
      <c r="E230">
        <v>161.56800000000001</v>
      </c>
      <c r="F230">
        <v>2</v>
      </c>
      <c r="G230">
        <v>0.2</v>
      </c>
      <c r="H230">
        <v>-28.2744</v>
      </c>
      <c r="U230">
        <v>-28.2744</v>
      </c>
    </row>
    <row r="231" spans="1:21" x14ac:dyDescent="0.35">
      <c r="A231" t="s">
        <v>424</v>
      </c>
      <c r="B231" t="s">
        <v>425</v>
      </c>
      <c r="C231" t="s">
        <v>8</v>
      </c>
      <c r="D231" t="s">
        <v>427</v>
      </c>
      <c r="E231">
        <v>389.69600000000003</v>
      </c>
      <c r="F231">
        <v>8</v>
      </c>
      <c r="G231">
        <v>0.2</v>
      </c>
      <c r="H231">
        <v>43.840800000000002</v>
      </c>
      <c r="U231">
        <v>43.840800000000002</v>
      </c>
    </row>
    <row r="232" spans="1:21" x14ac:dyDescent="0.35">
      <c r="A232" t="s">
        <v>428</v>
      </c>
      <c r="B232" t="s">
        <v>430</v>
      </c>
      <c r="C232" t="s">
        <v>8</v>
      </c>
      <c r="D232" t="s">
        <v>431</v>
      </c>
      <c r="E232">
        <v>18.648</v>
      </c>
      <c r="F232">
        <v>7</v>
      </c>
      <c r="G232">
        <v>0.7</v>
      </c>
      <c r="H232">
        <v>-12.432</v>
      </c>
      <c r="U232">
        <v>-12.432</v>
      </c>
    </row>
    <row r="233" spans="1:21" x14ac:dyDescent="0.35">
      <c r="A233" s="1">
        <v>42920</v>
      </c>
      <c r="B233" t="s">
        <v>172</v>
      </c>
      <c r="C233" t="s">
        <v>8</v>
      </c>
      <c r="D233" t="s">
        <v>432</v>
      </c>
      <c r="E233">
        <v>233.86</v>
      </c>
      <c r="F233">
        <v>2</v>
      </c>
      <c r="G233">
        <v>0.45</v>
      </c>
      <c r="H233">
        <v>-102.048</v>
      </c>
      <c r="U233">
        <v>-102.048</v>
      </c>
    </row>
    <row r="234" spans="1:21" x14ac:dyDescent="0.35">
      <c r="A234" s="1">
        <v>42920</v>
      </c>
      <c r="B234" t="s">
        <v>172</v>
      </c>
      <c r="C234" t="s">
        <v>8</v>
      </c>
      <c r="D234" t="s">
        <v>433</v>
      </c>
      <c r="E234">
        <v>620.61450000000002</v>
      </c>
      <c r="F234">
        <v>3</v>
      </c>
      <c r="G234">
        <v>0.45</v>
      </c>
      <c r="H234">
        <v>-248.2458</v>
      </c>
      <c r="U234">
        <v>-248.2458</v>
      </c>
    </row>
    <row r="235" spans="1:21" x14ac:dyDescent="0.35">
      <c r="A235" s="1">
        <v>42920</v>
      </c>
      <c r="B235" t="s">
        <v>172</v>
      </c>
      <c r="C235" t="s">
        <v>8</v>
      </c>
      <c r="D235" t="s">
        <v>431</v>
      </c>
      <c r="E235">
        <v>5.3280000000000003</v>
      </c>
      <c r="F235">
        <v>2</v>
      </c>
      <c r="G235">
        <v>0.7</v>
      </c>
      <c r="H235">
        <v>-3.552</v>
      </c>
      <c r="U235">
        <v>-3.552</v>
      </c>
    </row>
    <row r="236" spans="1:21" x14ac:dyDescent="0.35">
      <c r="A236" s="1">
        <v>42920</v>
      </c>
      <c r="B236" t="s">
        <v>172</v>
      </c>
      <c r="C236" t="s">
        <v>8</v>
      </c>
      <c r="D236" t="s">
        <v>434</v>
      </c>
      <c r="E236">
        <v>258.072</v>
      </c>
      <c r="F236">
        <v>3</v>
      </c>
      <c r="G236">
        <v>0.2</v>
      </c>
      <c r="H236">
        <v>0</v>
      </c>
      <c r="U236">
        <v>0</v>
      </c>
    </row>
    <row r="237" spans="1:21" x14ac:dyDescent="0.35">
      <c r="A237" s="1">
        <v>42920</v>
      </c>
      <c r="B237" t="s">
        <v>172</v>
      </c>
      <c r="C237" t="s">
        <v>8</v>
      </c>
      <c r="D237" t="s">
        <v>435</v>
      </c>
      <c r="E237">
        <v>617.976</v>
      </c>
      <c r="F237">
        <v>3</v>
      </c>
      <c r="G237">
        <v>0.2</v>
      </c>
      <c r="H237">
        <v>-7.7247000000000003</v>
      </c>
      <c r="U237">
        <v>-7.7247000000000003</v>
      </c>
    </row>
    <row r="238" spans="1:21" x14ac:dyDescent="0.35">
      <c r="A238" s="1">
        <v>43080</v>
      </c>
      <c r="B238" t="s">
        <v>436</v>
      </c>
      <c r="C238" t="s">
        <v>13</v>
      </c>
      <c r="D238" t="s">
        <v>437</v>
      </c>
      <c r="E238">
        <v>10.56</v>
      </c>
      <c r="F238">
        <v>2</v>
      </c>
      <c r="G238">
        <v>0</v>
      </c>
      <c r="H238">
        <v>4.7519999999999998</v>
      </c>
      <c r="U238">
        <v>4.7519999999999998</v>
      </c>
    </row>
    <row r="239" spans="1:21" x14ac:dyDescent="0.35">
      <c r="A239" s="1">
        <v>42466</v>
      </c>
      <c r="B239" t="s">
        <v>438</v>
      </c>
      <c r="C239" t="s">
        <v>35</v>
      </c>
      <c r="D239" t="s">
        <v>439</v>
      </c>
      <c r="E239">
        <v>25.92</v>
      </c>
      <c r="F239">
        <v>5</v>
      </c>
      <c r="G239">
        <v>0.2</v>
      </c>
      <c r="H239">
        <v>9.3960000000000008</v>
      </c>
      <c r="U239">
        <v>9.3960000000000008</v>
      </c>
    </row>
    <row r="240" spans="1:21" x14ac:dyDescent="0.35">
      <c r="A240" s="1">
        <v>42466</v>
      </c>
      <c r="B240" t="s">
        <v>438</v>
      </c>
      <c r="C240" t="s">
        <v>35</v>
      </c>
      <c r="D240" t="s">
        <v>440</v>
      </c>
      <c r="E240">
        <v>419.68</v>
      </c>
      <c r="F240">
        <v>5</v>
      </c>
      <c r="G240">
        <v>0.6</v>
      </c>
      <c r="H240">
        <v>-356.72800000000001</v>
      </c>
      <c r="U240">
        <v>-356.72800000000001</v>
      </c>
    </row>
    <row r="241" spans="1:21" x14ac:dyDescent="0.35">
      <c r="A241" s="1">
        <v>42466</v>
      </c>
      <c r="B241" t="s">
        <v>438</v>
      </c>
      <c r="C241" t="s">
        <v>35</v>
      </c>
      <c r="D241" t="s">
        <v>441</v>
      </c>
      <c r="E241">
        <v>11.688000000000001</v>
      </c>
      <c r="F241">
        <v>3</v>
      </c>
      <c r="G241">
        <v>0.6</v>
      </c>
      <c r="H241">
        <v>-4.6752000000000002</v>
      </c>
      <c r="U241">
        <v>-4.6752000000000002</v>
      </c>
    </row>
    <row r="242" spans="1:21" x14ac:dyDescent="0.35">
      <c r="A242" s="1">
        <v>42466</v>
      </c>
      <c r="B242" t="s">
        <v>438</v>
      </c>
      <c r="C242" t="s">
        <v>35</v>
      </c>
      <c r="D242" t="s">
        <v>442</v>
      </c>
      <c r="E242">
        <v>31.984000000000002</v>
      </c>
      <c r="F242">
        <v>2</v>
      </c>
      <c r="G242">
        <v>0.2</v>
      </c>
      <c r="H242">
        <v>11.1944</v>
      </c>
      <c r="U242">
        <v>11.1944</v>
      </c>
    </row>
    <row r="243" spans="1:21" x14ac:dyDescent="0.35">
      <c r="A243" s="1">
        <v>42466</v>
      </c>
      <c r="B243" t="s">
        <v>438</v>
      </c>
      <c r="C243" t="s">
        <v>35</v>
      </c>
      <c r="D243" t="s">
        <v>443</v>
      </c>
      <c r="E243">
        <v>177.22499999999999</v>
      </c>
      <c r="F243">
        <v>5</v>
      </c>
      <c r="G243">
        <v>0.5</v>
      </c>
      <c r="H243">
        <v>-120.51300000000001</v>
      </c>
      <c r="U243">
        <v>-120.51300000000001</v>
      </c>
    </row>
    <row r="244" spans="1:21" x14ac:dyDescent="0.35">
      <c r="A244" s="1">
        <v>42466</v>
      </c>
      <c r="B244" t="s">
        <v>438</v>
      </c>
      <c r="C244" t="s">
        <v>35</v>
      </c>
      <c r="D244" t="s">
        <v>444</v>
      </c>
      <c r="E244">
        <v>4.0439999999999996</v>
      </c>
      <c r="F244">
        <v>3</v>
      </c>
      <c r="G244">
        <v>0.6</v>
      </c>
      <c r="H244">
        <v>-2.8308</v>
      </c>
      <c r="U244">
        <v>-2.8308</v>
      </c>
    </row>
    <row r="245" spans="1:21" x14ac:dyDescent="0.35">
      <c r="A245" s="1">
        <v>42466</v>
      </c>
      <c r="B245" t="s">
        <v>438</v>
      </c>
      <c r="C245" t="s">
        <v>35</v>
      </c>
      <c r="D245" t="s">
        <v>375</v>
      </c>
      <c r="E245">
        <v>7.4080000000000004</v>
      </c>
      <c r="F245">
        <v>2</v>
      </c>
      <c r="G245">
        <v>0.2</v>
      </c>
      <c r="H245">
        <v>1.2038</v>
      </c>
      <c r="U245">
        <v>1.2038</v>
      </c>
    </row>
    <row r="246" spans="1:21" x14ac:dyDescent="0.35">
      <c r="A246" s="1">
        <v>41645</v>
      </c>
      <c r="B246" t="s">
        <v>445</v>
      </c>
      <c r="C246" t="s">
        <v>35</v>
      </c>
      <c r="D246" t="s">
        <v>250</v>
      </c>
      <c r="E246">
        <v>2001.86</v>
      </c>
      <c r="F246">
        <v>7</v>
      </c>
      <c r="G246">
        <v>0</v>
      </c>
      <c r="H246">
        <v>580.5394</v>
      </c>
      <c r="U246">
        <v>580.5394</v>
      </c>
    </row>
    <row r="247" spans="1:21" x14ac:dyDescent="0.35">
      <c r="A247" s="1">
        <v>41645</v>
      </c>
      <c r="B247" t="s">
        <v>445</v>
      </c>
      <c r="C247" t="s">
        <v>35</v>
      </c>
      <c r="D247" t="s">
        <v>446</v>
      </c>
      <c r="E247">
        <v>166.72</v>
      </c>
      <c r="F247">
        <v>2</v>
      </c>
      <c r="G247">
        <v>0</v>
      </c>
      <c r="H247">
        <v>41.68</v>
      </c>
      <c r="U247">
        <v>41.68</v>
      </c>
    </row>
    <row r="248" spans="1:21" x14ac:dyDescent="0.35">
      <c r="A248" s="1">
        <v>41645</v>
      </c>
      <c r="B248" t="s">
        <v>445</v>
      </c>
      <c r="C248" t="s">
        <v>35</v>
      </c>
      <c r="D248" t="s">
        <v>447</v>
      </c>
      <c r="E248">
        <v>47.88</v>
      </c>
      <c r="F248">
        <v>6</v>
      </c>
      <c r="G248">
        <v>0</v>
      </c>
      <c r="H248">
        <v>23.94</v>
      </c>
      <c r="U248">
        <v>23.94</v>
      </c>
    </row>
    <row r="249" spans="1:21" x14ac:dyDescent="0.35">
      <c r="A249" s="1">
        <v>41645</v>
      </c>
      <c r="B249" t="s">
        <v>445</v>
      </c>
      <c r="C249" t="s">
        <v>35</v>
      </c>
      <c r="D249" t="s">
        <v>448</v>
      </c>
      <c r="E249">
        <v>1503.25</v>
      </c>
      <c r="F249">
        <v>5</v>
      </c>
      <c r="G249">
        <v>0</v>
      </c>
      <c r="H249">
        <v>496.07249999999999</v>
      </c>
      <c r="U249">
        <v>496.07249999999999</v>
      </c>
    </row>
    <row r="250" spans="1:21" x14ac:dyDescent="0.35">
      <c r="A250" s="1">
        <v>41645</v>
      </c>
      <c r="B250" t="s">
        <v>445</v>
      </c>
      <c r="C250" t="s">
        <v>35</v>
      </c>
      <c r="D250" t="s">
        <v>368</v>
      </c>
      <c r="E250">
        <v>25.92</v>
      </c>
      <c r="F250">
        <v>4</v>
      </c>
      <c r="G250">
        <v>0</v>
      </c>
      <c r="H250">
        <v>12.441599999999999</v>
      </c>
      <c r="U250">
        <v>12.441599999999999</v>
      </c>
    </row>
    <row r="251" spans="1:21" x14ac:dyDescent="0.35">
      <c r="A251" s="1">
        <v>42655</v>
      </c>
      <c r="B251" t="s">
        <v>450</v>
      </c>
      <c r="C251" t="s">
        <v>13</v>
      </c>
      <c r="D251" t="s">
        <v>451</v>
      </c>
      <c r="E251">
        <v>321.56799999999998</v>
      </c>
      <c r="F251">
        <v>2</v>
      </c>
      <c r="G251">
        <v>0.2</v>
      </c>
      <c r="H251">
        <v>28.1372</v>
      </c>
      <c r="U251">
        <v>28.1372</v>
      </c>
    </row>
    <row r="252" spans="1:21" x14ac:dyDescent="0.35">
      <c r="A252" s="1">
        <v>42683</v>
      </c>
      <c r="B252" t="s">
        <v>452</v>
      </c>
      <c r="C252" t="s">
        <v>13</v>
      </c>
      <c r="D252" t="s">
        <v>453</v>
      </c>
      <c r="E252">
        <v>7.61</v>
      </c>
      <c r="F252">
        <v>1</v>
      </c>
      <c r="G252">
        <v>0</v>
      </c>
      <c r="H252">
        <v>3.5767000000000002</v>
      </c>
      <c r="U252">
        <v>3.5767000000000002</v>
      </c>
    </row>
    <row r="253" spans="1:21" x14ac:dyDescent="0.35">
      <c r="A253" s="1">
        <v>42683</v>
      </c>
      <c r="B253" t="s">
        <v>452</v>
      </c>
      <c r="C253" t="s">
        <v>13</v>
      </c>
      <c r="D253" t="s">
        <v>435</v>
      </c>
      <c r="E253">
        <v>3347.37</v>
      </c>
      <c r="F253">
        <v>13</v>
      </c>
      <c r="G253">
        <v>0</v>
      </c>
      <c r="H253">
        <v>636.00030000000004</v>
      </c>
      <c r="U253">
        <v>636.00030000000004</v>
      </c>
    </row>
    <row r="254" spans="1:21" x14ac:dyDescent="0.35">
      <c r="A254" s="1">
        <v>42655</v>
      </c>
      <c r="B254" t="s">
        <v>454</v>
      </c>
      <c r="C254" t="s">
        <v>55</v>
      </c>
      <c r="D254" t="s">
        <v>455</v>
      </c>
      <c r="E254">
        <v>80.58</v>
      </c>
      <c r="F254">
        <v>6</v>
      </c>
      <c r="G254">
        <v>0</v>
      </c>
      <c r="H254">
        <v>22.5624</v>
      </c>
      <c r="U254">
        <v>22.5624</v>
      </c>
    </row>
    <row r="255" spans="1:21" x14ac:dyDescent="0.35">
      <c r="A255" s="1">
        <v>42655</v>
      </c>
      <c r="B255" t="s">
        <v>454</v>
      </c>
      <c r="C255" t="s">
        <v>55</v>
      </c>
      <c r="D255" t="s">
        <v>456</v>
      </c>
      <c r="E255">
        <v>361.92</v>
      </c>
      <c r="F255">
        <v>4</v>
      </c>
      <c r="G255">
        <v>0</v>
      </c>
      <c r="H255">
        <v>162.864</v>
      </c>
      <c r="U255">
        <v>162.864</v>
      </c>
    </row>
    <row r="256" spans="1:21" x14ac:dyDescent="0.35">
      <c r="A256" t="s">
        <v>457</v>
      </c>
      <c r="B256" t="s">
        <v>458</v>
      </c>
      <c r="C256" t="s">
        <v>35</v>
      </c>
      <c r="D256" t="s">
        <v>444</v>
      </c>
      <c r="E256">
        <v>12.132</v>
      </c>
      <c r="F256">
        <v>9</v>
      </c>
      <c r="G256">
        <v>0.6</v>
      </c>
      <c r="H256">
        <v>-8.4923999999999999</v>
      </c>
      <c r="U256">
        <v>-8.4923999999999999</v>
      </c>
    </row>
    <row r="257" spans="1:21" x14ac:dyDescent="0.35">
      <c r="A257" t="s">
        <v>457</v>
      </c>
      <c r="B257" t="s">
        <v>458</v>
      </c>
      <c r="C257" t="s">
        <v>35</v>
      </c>
      <c r="D257" t="s">
        <v>459</v>
      </c>
      <c r="E257">
        <v>82.367999999999995</v>
      </c>
      <c r="F257">
        <v>2</v>
      </c>
      <c r="G257">
        <v>0.2</v>
      </c>
      <c r="H257">
        <v>-19.5624</v>
      </c>
      <c r="U257">
        <v>-19.5624</v>
      </c>
    </row>
    <row r="258" spans="1:21" x14ac:dyDescent="0.35">
      <c r="A258" t="s">
        <v>457</v>
      </c>
      <c r="B258" t="s">
        <v>458</v>
      </c>
      <c r="C258" t="s">
        <v>35</v>
      </c>
      <c r="D258" t="s">
        <v>297</v>
      </c>
      <c r="E258">
        <v>53.92</v>
      </c>
      <c r="F258">
        <v>5</v>
      </c>
      <c r="G258">
        <v>0.2</v>
      </c>
      <c r="H258">
        <v>4.0439999999999996</v>
      </c>
      <c r="U258">
        <v>4.0439999999999996</v>
      </c>
    </row>
    <row r="259" spans="1:21" x14ac:dyDescent="0.35">
      <c r="A259" t="s">
        <v>457</v>
      </c>
      <c r="B259" t="s">
        <v>458</v>
      </c>
      <c r="C259" t="s">
        <v>35</v>
      </c>
      <c r="D259" t="s">
        <v>460</v>
      </c>
      <c r="E259">
        <v>647.904</v>
      </c>
      <c r="F259">
        <v>6</v>
      </c>
      <c r="G259">
        <v>0.2</v>
      </c>
      <c r="H259">
        <v>56.691600000000001</v>
      </c>
      <c r="U259">
        <v>56.691600000000001</v>
      </c>
    </row>
    <row r="260" spans="1:21" x14ac:dyDescent="0.35">
      <c r="A260" s="1">
        <v>42747</v>
      </c>
      <c r="B260" t="s">
        <v>461</v>
      </c>
      <c r="C260" t="s">
        <v>55</v>
      </c>
      <c r="D260" t="s">
        <v>462</v>
      </c>
      <c r="E260">
        <v>20.37</v>
      </c>
      <c r="F260">
        <v>3</v>
      </c>
      <c r="G260">
        <v>0</v>
      </c>
      <c r="H260">
        <v>6.9257999999999997</v>
      </c>
      <c r="U260">
        <v>6.9257999999999997</v>
      </c>
    </row>
    <row r="261" spans="1:21" x14ac:dyDescent="0.35">
      <c r="A261" s="1">
        <v>42747</v>
      </c>
      <c r="B261" t="s">
        <v>461</v>
      </c>
      <c r="C261" t="s">
        <v>55</v>
      </c>
      <c r="D261" t="s">
        <v>463</v>
      </c>
      <c r="E261">
        <v>221.55</v>
      </c>
      <c r="F261">
        <v>3</v>
      </c>
      <c r="G261">
        <v>0</v>
      </c>
      <c r="H261">
        <v>6.6464999999999996</v>
      </c>
      <c r="U261">
        <v>6.6464999999999996</v>
      </c>
    </row>
    <row r="262" spans="1:21" x14ac:dyDescent="0.35">
      <c r="A262" s="1">
        <v>42747</v>
      </c>
      <c r="B262" t="s">
        <v>461</v>
      </c>
      <c r="C262" t="s">
        <v>55</v>
      </c>
      <c r="D262" t="s">
        <v>464</v>
      </c>
      <c r="E262">
        <v>17.52</v>
      </c>
      <c r="F262">
        <v>5</v>
      </c>
      <c r="G262">
        <v>0.2</v>
      </c>
      <c r="H262">
        <v>6.1319999999999997</v>
      </c>
      <c r="U262">
        <v>6.1319999999999997</v>
      </c>
    </row>
    <row r="263" spans="1:21" x14ac:dyDescent="0.35">
      <c r="A263" s="1">
        <v>42953</v>
      </c>
      <c r="B263" t="s">
        <v>465</v>
      </c>
      <c r="C263" t="s">
        <v>35</v>
      </c>
      <c r="D263" t="s">
        <v>466</v>
      </c>
      <c r="E263">
        <v>1.6240000000000001</v>
      </c>
      <c r="F263">
        <v>2</v>
      </c>
      <c r="G263">
        <v>0.8</v>
      </c>
      <c r="H263">
        <v>-4.4660000000000002</v>
      </c>
      <c r="U263">
        <v>-4.4660000000000002</v>
      </c>
    </row>
    <row r="264" spans="1:21" x14ac:dyDescent="0.35">
      <c r="A264" t="s">
        <v>330</v>
      </c>
      <c r="B264" t="s">
        <v>468</v>
      </c>
      <c r="C264" t="s">
        <v>35</v>
      </c>
      <c r="D264" t="s">
        <v>319</v>
      </c>
      <c r="E264">
        <v>3059.982</v>
      </c>
      <c r="F264">
        <v>3</v>
      </c>
      <c r="G264">
        <v>0.4</v>
      </c>
      <c r="H264">
        <v>-509.99700000000001</v>
      </c>
      <c r="U264">
        <v>-509.99700000000001</v>
      </c>
    </row>
    <row r="265" spans="1:21" x14ac:dyDescent="0.35">
      <c r="A265" t="s">
        <v>330</v>
      </c>
      <c r="B265" t="s">
        <v>468</v>
      </c>
      <c r="C265" t="s">
        <v>35</v>
      </c>
      <c r="D265" t="s">
        <v>469</v>
      </c>
      <c r="E265">
        <v>2519.9580000000001</v>
      </c>
      <c r="F265">
        <v>7</v>
      </c>
      <c r="G265">
        <v>0.4</v>
      </c>
      <c r="H265">
        <v>-251.9958</v>
      </c>
      <c r="U265">
        <v>-251.9958</v>
      </c>
    </row>
    <row r="266" spans="1:21" x14ac:dyDescent="0.35">
      <c r="A266" s="1">
        <v>42527</v>
      </c>
      <c r="B266" t="s">
        <v>470</v>
      </c>
      <c r="C266" t="s">
        <v>35</v>
      </c>
      <c r="D266" t="s">
        <v>471</v>
      </c>
      <c r="E266">
        <v>328.22399999999999</v>
      </c>
      <c r="F266">
        <v>4</v>
      </c>
      <c r="G266">
        <v>0.2</v>
      </c>
      <c r="H266">
        <v>28.7196</v>
      </c>
      <c r="U266">
        <v>28.7196</v>
      </c>
    </row>
    <row r="267" spans="1:21" x14ac:dyDescent="0.35">
      <c r="A267" s="1">
        <v>42288</v>
      </c>
      <c r="B267" t="s">
        <v>473</v>
      </c>
      <c r="C267" t="s">
        <v>13</v>
      </c>
      <c r="D267" t="s">
        <v>474</v>
      </c>
      <c r="E267">
        <v>79.900000000000006</v>
      </c>
      <c r="F267">
        <v>2</v>
      </c>
      <c r="G267">
        <v>0</v>
      </c>
      <c r="H267">
        <v>35.155999999999999</v>
      </c>
      <c r="U267">
        <v>35.155999999999999</v>
      </c>
    </row>
    <row r="268" spans="1:21" x14ac:dyDescent="0.35">
      <c r="A268" t="s">
        <v>475</v>
      </c>
      <c r="B268" t="s">
        <v>476</v>
      </c>
      <c r="C268" t="s">
        <v>8</v>
      </c>
      <c r="D268" t="s">
        <v>477</v>
      </c>
      <c r="E268">
        <v>14.016</v>
      </c>
      <c r="F268">
        <v>3</v>
      </c>
      <c r="G268">
        <v>0.2</v>
      </c>
      <c r="H268">
        <v>4.7304000000000004</v>
      </c>
      <c r="U268">
        <v>4.7304000000000004</v>
      </c>
    </row>
    <row r="269" spans="1:21" x14ac:dyDescent="0.35">
      <c r="A269" t="s">
        <v>478</v>
      </c>
      <c r="B269" t="s">
        <v>178</v>
      </c>
      <c r="C269" t="s">
        <v>55</v>
      </c>
      <c r="D269" t="s">
        <v>480</v>
      </c>
      <c r="E269">
        <v>7.56</v>
      </c>
      <c r="F269">
        <v>6</v>
      </c>
      <c r="G269">
        <v>0</v>
      </c>
      <c r="H269">
        <v>0.3024</v>
      </c>
      <c r="U269">
        <v>0.3024</v>
      </c>
    </row>
    <row r="270" spans="1:21" x14ac:dyDescent="0.35">
      <c r="A270" s="1">
        <v>42990</v>
      </c>
      <c r="B270" t="s">
        <v>482</v>
      </c>
      <c r="C270" t="s">
        <v>55</v>
      </c>
      <c r="D270" t="s">
        <v>483</v>
      </c>
      <c r="E270">
        <v>37.207999999999998</v>
      </c>
      <c r="F270">
        <v>1</v>
      </c>
      <c r="G270">
        <v>0.2</v>
      </c>
      <c r="H270">
        <v>-7.4416000000000002</v>
      </c>
      <c r="U270">
        <v>-7.4416000000000002</v>
      </c>
    </row>
    <row r="271" spans="1:21" x14ac:dyDescent="0.35">
      <c r="A271" s="1">
        <v>42990</v>
      </c>
      <c r="B271" t="s">
        <v>482</v>
      </c>
      <c r="C271" t="s">
        <v>55</v>
      </c>
      <c r="D271" t="s">
        <v>484</v>
      </c>
      <c r="E271">
        <v>57.576000000000001</v>
      </c>
      <c r="F271">
        <v>3</v>
      </c>
      <c r="G271">
        <v>0.2</v>
      </c>
      <c r="H271">
        <v>21.591000000000001</v>
      </c>
      <c r="U271">
        <v>21.591000000000001</v>
      </c>
    </row>
    <row r="272" spans="1:21" x14ac:dyDescent="0.35">
      <c r="A272" t="s">
        <v>485</v>
      </c>
      <c r="B272" t="s">
        <v>486</v>
      </c>
      <c r="C272" t="s">
        <v>13</v>
      </c>
      <c r="D272" t="s">
        <v>487</v>
      </c>
      <c r="E272">
        <v>725.84</v>
      </c>
      <c r="F272">
        <v>4</v>
      </c>
      <c r="G272">
        <v>0</v>
      </c>
      <c r="H272">
        <v>210.49359999999999</v>
      </c>
      <c r="U272">
        <v>210.49359999999999</v>
      </c>
    </row>
    <row r="273" spans="1:21" x14ac:dyDescent="0.35">
      <c r="A273" t="s">
        <v>488</v>
      </c>
      <c r="B273" t="s">
        <v>281</v>
      </c>
      <c r="C273" t="s">
        <v>13</v>
      </c>
      <c r="D273" t="s">
        <v>490</v>
      </c>
      <c r="E273">
        <v>209.93</v>
      </c>
      <c r="F273">
        <v>7</v>
      </c>
      <c r="G273">
        <v>0</v>
      </c>
      <c r="H273">
        <v>92.369200000000006</v>
      </c>
      <c r="U273">
        <v>92.369200000000006</v>
      </c>
    </row>
    <row r="274" spans="1:21" x14ac:dyDescent="0.35">
      <c r="A274" t="s">
        <v>488</v>
      </c>
      <c r="B274" t="s">
        <v>281</v>
      </c>
      <c r="C274" t="s">
        <v>13</v>
      </c>
      <c r="D274" t="s">
        <v>491</v>
      </c>
      <c r="E274">
        <v>5.28</v>
      </c>
      <c r="F274">
        <v>3</v>
      </c>
      <c r="G274">
        <v>0</v>
      </c>
      <c r="H274">
        <v>2.3231999999999999</v>
      </c>
      <c r="U274">
        <v>2.3231999999999999</v>
      </c>
    </row>
    <row r="275" spans="1:21" x14ac:dyDescent="0.35">
      <c r="A275" t="s">
        <v>488</v>
      </c>
      <c r="B275" t="s">
        <v>281</v>
      </c>
      <c r="C275" t="s">
        <v>13</v>
      </c>
      <c r="D275" t="s">
        <v>492</v>
      </c>
      <c r="E275">
        <v>10.92</v>
      </c>
      <c r="F275">
        <v>3</v>
      </c>
      <c r="G275">
        <v>0.2</v>
      </c>
      <c r="H275">
        <v>4.0949999999999998</v>
      </c>
      <c r="U275">
        <v>4.0949999999999998</v>
      </c>
    </row>
    <row r="276" spans="1:21" x14ac:dyDescent="0.35">
      <c r="A276" t="s">
        <v>493</v>
      </c>
      <c r="B276" t="s">
        <v>494</v>
      </c>
      <c r="C276" t="s">
        <v>13</v>
      </c>
      <c r="D276" t="s">
        <v>495</v>
      </c>
      <c r="E276">
        <v>8.82</v>
      </c>
      <c r="F276">
        <v>2</v>
      </c>
      <c r="G276">
        <v>0</v>
      </c>
      <c r="H276">
        <v>4.0571999999999999</v>
      </c>
      <c r="U276">
        <v>4.0571999999999999</v>
      </c>
    </row>
    <row r="277" spans="1:21" x14ac:dyDescent="0.35">
      <c r="A277" t="s">
        <v>493</v>
      </c>
      <c r="B277" t="s">
        <v>494</v>
      </c>
      <c r="C277" t="s">
        <v>13</v>
      </c>
      <c r="D277" t="s">
        <v>496</v>
      </c>
      <c r="E277">
        <v>5.98</v>
      </c>
      <c r="F277">
        <v>1</v>
      </c>
      <c r="G277">
        <v>0</v>
      </c>
      <c r="H277">
        <v>1.5548</v>
      </c>
      <c r="U277">
        <v>1.5548</v>
      </c>
    </row>
    <row r="278" spans="1:21" x14ac:dyDescent="0.35">
      <c r="A278" t="s">
        <v>497</v>
      </c>
      <c r="B278" t="s">
        <v>499</v>
      </c>
      <c r="C278" t="s">
        <v>55</v>
      </c>
      <c r="D278" t="s">
        <v>500</v>
      </c>
      <c r="E278">
        <v>11.648</v>
      </c>
      <c r="F278">
        <v>2</v>
      </c>
      <c r="G278">
        <v>0.2</v>
      </c>
      <c r="H278">
        <v>4.0768000000000004</v>
      </c>
      <c r="U278">
        <v>4.0768000000000004</v>
      </c>
    </row>
    <row r="279" spans="1:21" x14ac:dyDescent="0.35">
      <c r="A279" t="s">
        <v>497</v>
      </c>
      <c r="B279" t="s">
        <v>499</v>
      </c>
      <c r="C279" t="s">
        <v>55</v>
      </c>
      <c r="D279" t="s">
        <v>501</v>
      </c>
      <c r="E279">
        <v>18.175999999999998</v>
      </c>
      <c r="F279">
        <v>4</v>
      </c>
      <c r="G279">
        <v>0.2</v>
      </c>
      <c r="H279">
        <v>5.9071999999999996</v>
      </c>
      <c r="U279">
        <v>5.9071999999999996</v>
      </c>
    </row>
    <row r="280" spans="1:21" x14ac:dyDescent="0.35">
      <c r="A280" t="s">
        <v>497</v>
      </c>
      <c r="B280" t="s">
        <v>499</v>
      </c>
      <c r="C280" t="s">
        <v>55</v>
      </c>
      <c r="D280" t="s">
        <v>502</v>
      </c>
      <c r="E280">
        <v>59.712000000000003</v>
      </c>
      <c r="F280">
        <v>6</v>
      </c>
      <c r="G280">
        <v>0.2</v>
      </c>
      <c r="H280">
        <v>5.9711999999999996</v>
      </c>
      <c r="U280">
        <v>5.9711999999999996</v>
      </c>
    </row>
    <row r="281" spans="1:21" x14ac:dyDescent="0.35">
      <c r="A281" t="s">
        <v>497</v>
      </c>
      <c r="B281" t="s">
        <v>499</v>
      </c>
      <c r="C281" t="s">
        <v>55</v>
      </c>
      <c r="D281" t="s">
        <v>503</v>
      </c>
      <c r="E281">
        <v>24.84</v>
      </c>
      <c r="F281">
        <v>3</v>
      </c>
      <c r="G281">
        <v>0.2</v>
      </c>
      <c r="H281">
        <v>8.6940000000000008</v>
      </c>
      <c r="U281">
        <v>8.6940000000000008</v>
      </c>
    </row>
    <row r="282" spans="1:21" x14ac:dyDescent="0.35">
      <c r="A282" t="s">
        <v>504</v>
      </c>
      <c r="B282" t="s">
        <v>242</v>
      </c>
      <c r="C282" t="s">
        <v>35</v>
      </c>
      <c r="D282" t="s">
        <v>506</v>
      </c>
      <c r="E282">
        <v>2.08</v>
      </c>
      <c r="F282">
        <v>5</v>
      </c>
      <c r="G282">
        <v>0.8</v>
      </c>
      <c r="H282">
        <v>-3.4319999999999999</v>
      </c>
      <c r="U282">
        <v>-3.4319999999999999</v>
      </c>
    </row>
    <row r="283" spans="1:21" x14ac:dyDescent="0.35">
      <c r="A283" t="s">
        <v>504</v>
      </c>
      <c r="B283" t="s">
        <v>242</v>
      </c>
      <c r="C283" t="s">
        <v>35</v>
      </c>
      <c r="D283" t="s">
        <v>507</v>
      </c>
      <c r="E283">
        <v>1114.4000000000001</v>
      </c>
      <c r="F283">
        <v>7</v>
      </c>
      <c r="G283">
        <v>0.2</v>
      </c>
      <c r="H283">
        <v>376.11</v>
      </c>
      <c r="U283">
        <v>376.11</v>
      </c>
    </row>
    <row r="284" spans="1:21" x14ac:dyDescent="0.35">
      <c r="A284" s="1">
        <v>42046</v>
      </c>
      <c r="B284" t="s">
        <v>508</v>
      </c>
      <c r="C284" t="s">
        <v>13</v>
      </c>
      <c r="D284" t="s">
        <v>509</v>
      </c>
      <c r="E284">
        <v>1038.8399999999999</v>
      </c>
      <c r="F284">
        <v>5</v>
      </c>
      <c r="G284">
        <v>0.2</v>
      </c>
      <c r="H284">
        <v>51.942</v>
      </c>
      <c r="U284">
        <v>51.942</v>
      </c>
    </row>
    <row r="285" spans="1:21" x14ac:dyDescent="0.35">
      <c r="A285" t="s">
        <v>504</v>
      </c>
      <c r="B285" t="s">
        <v>64</v>
      </c>
      <c r="C285" t="s">
        <v>13</v>
      </c>
      <c r="D285" t="s">
        <v>75</v>
      </c>
      <c r="E285">
        <v>141.76</v>
      </c>
      <c r="F285">
        <v>5</v>
      </c>
      <c r="G285">
        <v>0.2</v>
      </c>
      <c r="H285">
        <v>47.844000000000001</v>
      </c>
      <c r="U285">
        <v>47.844000000000001</v>
      </c>
    </row>
    <row r="286" spans="1:21" x14ac:dyDescent="0.35">
      <c r="A286" t="s">
        <v>504</v>
      </c>
      <c r="B286" t="s">
        <v>64</v>
      </c>
      <c r="C286" t="s">
        <v>13</v>
      </c>
      <c r="D286" t="s">
        <v>510</v>
      </c>
      <c r="E286">
        <v>239.8</v>
      </c>
      <c r="F286">
        <v>5</v>
      </c>
      <c r="G286">
        <v>0.2</v>
      </c>
      <c r="H286">
        <v>47.96</v>
      </c>
      <c r="U286">
        <v>47.96</v>
      </c>
    </row>
    <row r="287" spans="1:21" x14ac:dyDescent="0.35">
      <c r="A287" t="s">
        <v>504</v>
      </c>
      <c r="B287" t="s">
        <v>64</v>
      </c>
      <c r="C287" t="s">
        <v>13</v>
      </c>
      <c r="D287" t="s">
        <v>511</v>
      </c>
      <c r="E287">
        <v>31.103999999999999</v>
      </c>
      <c r="F287">
        <v>6</v>
      </c>
      <c r="G287">
        <v>0.2</v>
      </c>
      <c r="H287">
        <v>10.8864</v>
      </c>
      <c r="U287">
        <v>10.8864</v>
      </c>
    </row>
    <row r="288" spans="1:21" x14ac:dyDescent="0.35">
      <c r="A288" t="s">
        <v>512</v>
      </c>
      <c r="B288" t="s">
        <v>513</v>
      </c>
      <c r="C288" t="s">
        <v>8</v>
      </c>
      <c r="D288" t="s">
        <v>514</v>
      </c>
      <c r="E288">
        <v>254.05799999999999</v>
      </c>
      <c r="F288">
        <v>7</v>
      </c>
      <c r="G288">
        <v>0.7</v>
      </c>
      <c r="H288">
        <v>-169.37200000000001</v>
      </c>
      <c r="U288">
        <v>-169.37200000000001</v>
      </c>
    </row>
    <row r="289" spans="1:21" x14ac:dyDescent="0.35">
      <c r="A289" t="s">
        <v>512</v>
      </c>
      <c r="B289" t="s">
        <v>513</v>
      </c>
      <c r="C289" t="s">
        <v>8</v>
      </c>
      <c r="D289" t="s">
        <v>337</v>
      </c>
      <c r="E289">
        <v>194.52799999999999</v>
      </c>
      <c r="F289">
        <v>2</v>
      </c>
      <c r="G289">
        <v>0.2</v>
      </c>
      <c r="H289">
        <v>24.315999999999999</v>
      </c>
      <c r="U289">
        <v>24.315999999999999</v>
      </c>
    </row>
    <row r="290" spans="1:21" x14ac:dyDescent="0.35">
      <c r="A290" t="s">
        <v>512</v>
      </c>
      <c r="B290" t="s">
        <v>513</v>
      </c>
      <c r="C290" t="s">
        <v>8</v>
      </c>
      <c r="D290" t="s">
        <v>515</v>
      </c>
      <c r="E290">
        <v>961.48</v>
      </c>
      <c r="F290">
        <v>5</v>
      </c>
      <c r="G290">
        <v>0.2</v>
      </c>
      <c r="H290">
        <v>-204.31450000000001</v>
      </c>
      <c r="U290">
        <v>-204.31450000000001</v>
      </c>
    </row>
    <row r="291" spans="1:21" x14ac:dyDescent="0.35">
      <c r="A291" t="s">
        <v>302</v>
      </c>
      <c r="B291" t="s">
        <v>516</v>
      </c>
      <c r="C291" t="s">
        <v>55</v>
      </c>
      <c r="D291" t="s">
        <v>517</v>
      </c>
      <c r="E291">
        <v>19.096</v>
      </c>
      <c r="F291">
        <v>7</v>
      </c>
      <c r="G291">
        <v>0.2</v>
      </c>
      <c r="H291">
        <v>6.6836000000000002</v>
      </c>
      <c r="U291">
        <v>6.6836000000000002</v>
      </c>
    </row>
    <row r="292" spans="1:21" x14ac:dyDescent="0.35">
      <c r="A292" t="s">
        <v>302</v>
      </c>
      <c r="B292" t="s">
        <v>516</v>
      </c>
      <c r="C292" t="s">
        <v>55</v>
      </c>
      <c r="D292" t="s">
        <v>518</v>
      </c>
      <c r="E292">
        <v>18.495999999999999</v>
      </c>
      <c r="F292">
        <v>8</v>
      </c>
      <c r="G292">
        <v>0.2</v>
      </c>
      <c r="H292">
        <v>6.2423999999999999</v>
      </c>
      <c r="U292">
        <v>6.2423999999999999</v>
      </c>
    </row>
    <row r="293" spans="1:21" x14ac:dyDescent="0.35">
      <c r="A293" t="s">
        <v>302</v>
      </c>
      <c r="B293" t="s">
        <v>516</v>
      </c>
      <c r="C293" t="s">
        <v>55</v>
      </c>
      <c r="D293" t="s">
        <v>519</v>
      </c>
      <c r="E293">
        <v>255.98400000000001</v>
      </c>
      <c r="F293">
        <v>2</v>
      </c>
      <c r="G293">
        <v>0.2</v>
      </c>
      <c r="H293">
        <v>54.396599999999999</v>
      </c>
      <c r="U293">
        <v>54.396599999999999</v>
      </c>
    </row>
    <row r="294" spans="1:21" x14ac:dyDescent="0.35">
      <c r="A294" t="s">
        <v>302</v>
      </c>
      <c r="B294" t="s">
        <v>516</v>
      </c>
      <c r="C294" t="s">
        <v>55</v>
      </c>
      <c r="D294" t="s">
        <v>520</v>
      </c>
      <c r="E294">
        <v>86.97</v>
      </c>
      <c r="F294">
        <v>3</v>
      </c>
      <c r="G294">
        <v>0.5</v>
      </c>
      <c r="H294">
        <v>-48.703200000000002</v>
      </c>
      <c r="U294">
        <v>-48.703200000000002</v>
      </c>
    </row>
    <row r="295" spans="1:21" x14ac:dyDescent="0.35">
      <c r="A295" t="s">
        <v>247</v>
      </c>
      <c r="B295" t="s">
        <v>521</v>
      </c>
      <c r="C295" t="s">
        <v>13</v>
      </c>
      <c r="D295" t="s">
        <v>522</v>
      </c>
      <c r="E295">
        <v>300.416</v>
      </c>
      <c r="F295">
        <v>8</v>
      </c>
      <c r="G295">
        <v>0.2</v>
      </c>
      <c r="H295">
        <v>78.859200000000001</v>
      </c>
      <c r="U295">
        <v>78.859200000000001</v>
      </c>
    </row>
    <row r="296" spans="1:21" x14ac:dyDescent="0.35">
      <c r="A296" t="s">
        <v>247</v>
      </c>
      <c r="B296" t="s">
        <v>521</v>
      </c>
      <c r="C296" t="s">
        <v>13</v>
      </c>
      <c r="D296" t="s">
        <v>523</v>
      </c>
      <c r="E296">
        <v>230.352</v>
      </c>
      <c r="F296">
        <v>3</v>
      </c>
      <c r="G296">
        <v>0.2</v>
      </c>
      <c r="H296">
        <v>20.155799999999999</v>
      </c>
      <c r="U296">
        <v>20.155799999999999</v>
      </c>
    </row>
    <row r="297" spans="1:21" x14ac:dyDescent="0.35">
      <c r="A297" t="s">
        <v>247</v>
      </c>
      <c r="B297" t="s">
        <v>521</v>
      </c>
      <c r="C297" t="s">
        <v>13</v>
      </c>
      <c r="D297" t="s">
        <v>524</v>
      </c>
      <c r="E297">
        <v>218.352</v>
      </c>
      <c r="F297">
        <v>3</v>
      </c>
      <c r="G297">
        <v>0.2</v>
      </c>
      <c r="H297">
        <v>-24.564599999999999</v>
      </c>
      <c r="U297">
        <v>-24.564599999999999</v>
      </c>
    </row>
    <row r="298" spans="1:21" x14ac:dyDescent="0.35">
      <c r="A298" t="s">
        <v>247</v>
      </c>
      <c r="B298" t="s">
        <v>521</v>
      </c>
      <c r="C298" t="s">
        <v>13</v>
      </c>
      <c r="D298" t="s">
        <v>525</v>
      </c>
      <c r="E298">
        <v>78.599999999999994</v>
      </c>
      <c r="F298">
        <v>5</v>
      </c>
      <c r="G298">
        <v>0.7</v>
      </c>
      <c r="H298">
        <v>-62.88</v>
      </c>
      <c r="U298">
        <v>-62.88</v>
      </c>
    </row>
    <row r="299" spans="1:21" x14ac:dyDescent="0.35">
      <c r="A299" t="s">
        <v>247</v>
      </c>
      <c r="B299" t="s">
        <v>521</v>
      </c>
      <c r="C299" t="s">
        <v>13</v>
      </c>
      <c r="D299" t="s">
        <v>526</v>
      </c>
      <c r="E299">
        <v>27.552</v>
      </c>
      <c r="F299">
        <v>3</v>
      </c>
      <c r="G299">
        <v>0.2</v>
      </c>
      <c r="H299">
        <v>9.2988</v>
      </c>
      <c r="U299">
        <v>9.2988</v>
      </c>
    </row>
    <row r="300" spans="1:21" x14ac:dyDescent="0.35">
      <c r="A300" t="s">
        <v>409</v>
      </c>
      <c r="B300" t="s">
        <v>272</v>
      </c>
      <c r="C300" t="s">
        <v>55</v>
      </c>
      <c r="D300" t="s">
        <v>527</v>
      </c>
      <c r="E300">
        <v>32.4</v>
      </c>
      <c r="F300">
        <v>5</v>
      </c>
      <c r="G300">
        <v>0</v>
      </c>
      <c r="H300">
        <v>15.552</v>
      </c>
      <c r="U300">
        <v>15.552</v>
      </c>
    </row>
    <row r="301" spans="1:21" x14ac:dyDescent="0.35">
      <c r="A301" t="s">
        <v>409</v>
      </c>
      <c r="B301" t="s">
        <v>272</v>
      </c>
      <c r="C301" t="s">
        <v>55</v>
      </c>
      <c r="D301" t="s">
        <v>528</v>
      </c>
      <c r="E301">
        <v>1082.48</v>
      </c>
      <c r="F301">
        <v>8</v>
      </c>
      <c r="G301">
        <v>0</v>
      </c>
      <c r="H301">
        <v>10.8248</v>
      </c>
      <c r="U301">
        <v>10.8248</v>
      </c>
    </row>
    <row r="302" spans="1:21" x14ac:dyDescent="0.35">
      <c r="A302" t="s">
        <v>409</v>
      </c>
      <c r="B302" t="s">
        <v>272</v>
      </c>
      <c r="C302" t="s">
        <v>55</v>
      </c>
      <c r="D302" t="s">
        <v>529</v>
      </c>
      <c r="E302">
        <v>56.91</v>
      </c>
      <c r="F302">
        <v>3</v>
      </c>
      <c r="G302">
        <v>0</v>
      </c>
      <c r="H302">
        <v>27.316800000000001</v>
      </c>
      <c r="U302">
        <v>27.316800000000001</v>
      </c>
    </row>
    <row r="303" spans="1:21" x14ac:dyDescent="0.35">
      <c r="A303" t="s">
        <v>409</v>
      </c>
      <c r="B303" t="s">
        <v>272</v>
      </c>
      <c r="C303" t="s">
        <v>55</v>
      </c>
      <c r="D303" t="s">
        <v>530</v>
      </c>
      <c r="E303">
        <v>77.599999999999994</v>
      </c>
      <c r="F303">
        <v>4</v>
      </c>
      <c r="G303">
        <v>0</v>
      </c>
      <c r="H303">
        <v>38.024000000000001</v>
      </c>
      <c r="U303">
        <v>38.024000000000001</v>
      </c>
    </row>
    <row r="304" spans="1:21" x14ac:dyDescent="0.35">
      <c r="A304" t="s">
        <v>409</v>
      </c>
      <c r="B304" t="s">
        <v>272</v>
      </c>
      <c r="C304" t="s">
        <v>55</v>
      </c>
      <c r="D304" t="s">
        <v>531</v>
      </c>
      <c r="E304">
        <v>14.28</v>
      </c>
      <c r="F304">
        <v>1</v>
      </c>
      <c r="G304">
        <v>0</v>
      </c>
      <c r="H304">
        <v>6.5688000000000004</v>
      </c>
      <c r="U304">
        <v>6.5688000000000004</v>
      </c>
    </row>
    <row r="305" spans="1:21" x14ac:dyDescent="0.35">
      <c r="A305" t="s">
        <v>532</v>
      </c>
      <c r="B305" t="s">
        <v>410</v>
      </c>
      <c r="C305" t="s">
        <v>35</v>
      </c>
      <c r="D305" t="s">
        <v>533</v>
      </c>
      <c r="E305">
        <v>219.07499999999999</v>
      </c>
      <c r="F305">
        <v>3</v>
      </c>
      <c r="G305">
        <v>0.5</v>
      </c>
      <c r="H305">
        <v>-131.44499999999999</v>
      </c>
      <c r="U305">
        <v>-131.44499999999999</v>
      </c>
    </row>
    <row r="306" spans="1:21" x14ac:dyDescent="0.35">
      <c r="A306" s="1">
        <v>42099</v>
      </c>
      <c r="B306" t="s">
        <v>534</v>
      </c>
      <c r="C306" t="s">
        <v>55</v>
      </c>
      <c r="D306" t="s">
        <v>535</v>
      </c>
      <c r="E306">
        <v>26.8</v>
      </c>
      <c r="F306">
        <v>2</v>
      </c>
      <c r="G306">
        <v>0</v>
      </c>
      <c r="H306">
        <v>12.864000000000001</v>
      </c>
      <c r="U306">
        <v>12.864000000000001</v>
      </c>
    </row>
    <row r="307" spans="1:21" x14ac:dyDescent="0.35">
      <c r="A307" t="s">
        <v>536</v>
      </c>
      <c r="B307" t="s">
        <v>156</v>
      </c>
      <c r="C307" t="s">
        <v>35</v>
      </c>
      <c r="D307" t="s">
        <v>537</v>
      </c>
      <c r="E307">
        <v>9.84</v>
      </c>
      <c r="F307">
        <v>3</v>
      </c>
      <c r="G307">
        <v>0</v>
      </c>
      <c r="H307">
        <v>2.8536000000000001</v>
      </c>
      <c r="U307">
        <v>2.8536000000000001</v>
      </c>
    </row>
    <row r="308" spans="1:21" x14ac:dyDescent="0.35">
      <c r="A308" s="1">
        <v>41645</v>
      </c>
      <c r="B308" t="s">
        <v>538</v>
      </c>
      <c r="C308" t="s">
        <v>55</v>
      </c>
      <c r="D308" t="s">
        <v>539</v>
      </c>
      <c r="E308">
        <v>45.48</v>
      </c>
      <c r="F308">
        <v>3</v>
      </c>
      <c r="G308">
        <v>0</v>
      </c>
      <c r="H308">
        <v>20.9208</v>
      </c>
      <c r="U308">
        <v>20.9208</v>
      </c>
    </row>
    <row r="309" spans="1:21" x14ac:dyDescent="0.35">
      <c r="A309" s="1">
        <v>41645</v>
      </c>
      <c r="B309" t="s">
        <v>538</v>
      </c>
      <c r="C309" t="s">
        <v>55</v>
      </c>
      <c r="D309" t="s">
        <v>540</v>
      </c>
      <c r="E309">
        <v>289.2</v>
      </c>
      <c r="F309">
        <v>6</v>
      </c>
      <c r="G309">
        <v>0</v>
      </c>
      <c r="H309">
        <v>83.867999999999995</v>
      </c>
      <c r="U309">
        <v>83.867999999999995</v>
      </c>
    </row>
    <row r="310" spans="1:21" x14ac:dyDescent="0.35">
      <c r="A310" t="s">
        <v>27</v>
      </c>
      <c r="B310" t="s">
        <v>542</v>
      </c>
      <c r="C310" t="s">
        <v>8</v>
      </c>
      <c r="D310" t="s">
        <v>543</v>
      </c>
      <c r="E310">
        <v>4.8899999999999997</v>
      </c>
      <c r="F310">
        <v>1</v>
      </c>
      <c r="G310">
        <v>0</v>
      </c>
      <c r="H310">
        <v>2.0049000000000001</v>
      </c>
      <c r="U310">
        <v>2.0049000000000001</v>
      </c>
    </row>
    <row r="311" spans="1:21" x14ac:dyDescent="0.35">
      <c r="A311" s="1">
        <v>42713</v>
      </c>
      <c r="B311" t="s">
        <v>545</v>
      </c>
      <c r="C311" t="s">
        <v>13</v>
      </c>
      <c r="D311" t="s">
        <v>546</v>
      </c>
      <c r="E311">
        <v>15.135999999999999</v>
      </c>
      <c r="F311">
        <v>4</v>
      </c>
      <c r="G311">
        <v>0.2</v>
      </c>
      <c r="H311">
        <v>3.5948000000000002</v>
      </c>
      <c r="U311">
        <v>3.5948000000000002</v>
      </c>
    </row>
    <row r="312" spans="1:21" x14ac:dyDescent="0.35">
      <c r="A312" s="1">
        <v>42713</v>
      </c>
      <c r="B312" t="s">
        <v>545</v>
      </c>
      <c r="C312" t="s">
        <v>13</v>
      </c>
      <c r="D312" t="s">
        <v>547</v>
      </c>
      <c r="E312">
        <v>466.76799999999997</v>
      </c>
      <c r="F312">
        <v>2</v>
      </c>
      <c r="G312">
        <v>0.2</v>
      </c>
      <c r="H312">
        <v>52.511400000000002</v>
      </c>
      <c r="U312">
        <v>52.511400000000002</v>
      </c>
    </row>
    <row r="313" spans="1:21" x14ac:dyDescent="0.35">
      <c r="A313" s="1">
        <v>42713</v>
      </c>
      <c r="B313" t="s">
        <v>545</v>
      </c>
      <c r="C313" t="s">
        <v>13</v>
      </c>
      <c r="D313" t="s">
        <v>548</v>
      </c>
      <c r="E313">
        <v>15.231999999999999</v>
      </c>
      <c r="F313">
        <v>1</v>
      </c>
      <c r="G313">
        <v>0.2</v>
      </c>
      <c r="H313">
        <v>1.7136</v>
      </c>
      <c r="U313">
        <v>1.7136</v>
      </c>
    </row>
    <row r="314" spans="1:21" x14ac:dyDescent="0.35">
      <c r="A314" s="1">
        <v>42713</v>
      </c>
      <c r="B314" t="s">
        <v>545</v>
      </c>
      <c r="C314" t="s">
        <v>13</v>
      </c>
      <c r="D314" t="s">
        <v>549</v>
      </c>
      <c r="E314">
        <v>6.2640000000000002</v>
      </c>
      <c r="F314">
        <v>3</v>
      </c>
      <c r="G314">
        <v>0.2</v>
      </c>
      <c r="H314">
        <v>2.0358000000000001</v>
      </c>
      <c r="U314">
        <v>2.0358000000000001</v>
      </c>
    </row>
    <row r="315" spans="1:21" x14ac:dyDescent="0.35">
      <c r="A315" t="s">
        <v>550</v>
      </c>
      <c r="B315" t="s">
        <v>551</v>
      </c>
      <c r="C315" t="s">
        <v>55</v>
      </c>
      <c r="D315" t="s">
        <v>552</v>
      </c>
      <c r="E315">
        <v>87.54</v>
      </c>
      <c r="F315">
        <v>3</v>
      </c>
      <c r="G315">
        <v>0</v>
      </c>
      <c r="H315">
        <v>37.642200000000003</v>
      </c>
      <c r="U315">
        <v>37.642200000000003</v>
      </c>
    </row>
    <row r="316" spans="1:21" x14ac:dyDescent="0.35">
      <c r="A316" s="1">
        <v>41890</v>
      </c>
      <c r="B316" t="s">
        <v>553</v>
      </c>
      <c r="C316" t="s">
        <v>8</v>
      </c>
      <c r="D316" t="s">
        <v>554</v>
      </c>
      <c r="E316">
        <v>178.38399999999999</v>
      </c>
      <c r="F316">
        <v>2</v>
      </c>
      <c r="G316">
        <v>0.2</v>
      </c>
      <c r="H316">
        <v>22.297999999999998</v>
      </c>
      <c r="U316">
        <v>22.297999999999998</v>
      </c>
    </row>
    <row r="317" spans="1:21" x14ac:dyDescent="0.35">
      <c r="A317" s="1">
        <v>41890</v>
      </c>
      <c r="B317" t="s">
        <v>553</v>
      </c>
      <c r="C317" t="s">
        <v>8</v>
      </c>
      <c r="D317" t="s">
        <v>555</v>
      </c>
      <c r="E317">
        <v>15.552</v>
      </c>
      <c r="F317">
        <v>3</v>
      </c>
      <c r="G317">
        <v>0.2</v>
      </c>
      <c r="H317">
        <v>5.4432</v>
      </c>
      <c r="U317">
        <v>5.4432</v>
      </c>
    </row>
    <row r="318" spans="1:21" x14ac:dyDescent="0.35">
      <c r="A318" t="s">
        <v>248</v>
      </c>
      <c r="B318" t="s">
        <v>556</v>
      </c>
      <c r="C318" t="s">
        <v>55</v>
      </c>
      <c r="D318" t="s">
        <v>557</v>
      </c>
      <c r="E318">
        <v>99.135999999999996</v>
      </c>
      <c r="F318">
        <v>4</v>
      </c>
      <c r="G318">
        <v>0.2</v>
      </c>
      <c r="H318">
        <v>8.6744000000000003</v>
      </c>
      <c r="U318">
        <v>8.6744000000000003</v>
      </c>
    </row>
    <row r="319" spans="1:21" x14ac:dyDescent="0.35">
      <c r="A319" s="1">
        <v>41740</v>
      </c>
      <c r="B319" t="s">
        <v>558</v>
      </c>
      <c r="C319" t="s">
        <v>55</v>
      </c>
      <c r="D319" t="s">
        <v>559</v>
      </c>
      <c r="E319">
        <v>135.88200000000001</v>
      </c>
      <c r="F319">
        <v>1</v>
      </c>
      <c r="G319">
        <v>0.1</v>
      </c>
      <c r="H319">
        <v>24.1568</v>
      </c>
      <c r="U319">
        <v>24.1568</v>
      </c>
    </row>
    <row r="320" spans="1:21" x14ac:dyDescent="0.35">
      <c r="A320" s="1">
        <v>41740</v>
      </c>
      <c r="B320" t="s">
        <v>558</v>
      </c>
      <c r="C320" t="s">
        <v>55</v>
      </c>
      <c r="D320" t="s">
        <v>560</v>
      </c>
      <c r="E320">
        <v>3991.98</v>
      </c>
      <c r="F320">
        <v>2</v>
      </c>
      <c r="G320">
        <v>0</v>
      </c>
      <c r="H320">
        <v>1995.99</v>
      </c>
      <c r="U320">
        <v>1995.99</v>
      </c>
    </row>
    <row r="321" spans="1:21" x14ac:dyDescent="0.35">
      <c r="A321" s="1">
        <v>41740</v>
      </c>
      <c r="B321" t="s">
        <v>558</v>
      </c>
      <c r="C321" t="s">
        <v>55</v>
      </c>
      <c r="D321" t="s">
        <v>88</v>
      </c>
      <c r="E321">
        <v>275.94</v>
      </c>
      <c r="F321">
        <v>6</v>
      </c>
      <c r="G321">
        <v>0</v>
      </c>
      <c r="H321">
        <v>80.022599999999997</v>
      </c>
      <c r="U321">
        <v>80.022599999999997</v>
      </c>
    </row>
    <row r="322" spans="1:21" x14ac:dyDescent="0.35">
      <c r="A322" s="1">
        <v>41740</v>
      </c>
      <c r="B322" t="s">
        <v>558</v>
      </c>
      <c r="C322" t="s">
        <v>55</v>
      </c>
      <c r="D322" t="s">
        <v>561</v>
      </c>
      <c r="E322">
        <v>360</v>
      </c>
      <c r="F322">
        <v>4</v>
      </c>
      <c r="G322">
        <v>0</v>
      </c>
      <c r="H322">
        <v>129.6</v>
      </c>
      <c r="U322">
        <v>129.6</v>
      </c>
    </row>
    <row r="323" spans="1:21" x14ac:dyDescent="0.35">
      <c r="A323" s="1">
        <v>41740</v>
      </c>
      <c r="B323" t="s">
        <v>558</v>
      </c>
      <c r="C323" t="s">
        <v>55</v>
      </c>
      <c r="D323" t="s">
        <v>256</v>
      </c>
      <c r="E323">
        <v>43.57</v>
      </c>
      <c r="F323">
        <v>1</v>
      </c>
      <c r="G323">
        <v>0</v>
      </c>
      <c r="H323">
        <v>13.071</v>
      </c>
      <c r="U323">
        <v>13.071</v>
      </c>
    </row>
    <row r="324" spans="1:21" x14ac:dyDescent="0.35">
      <c r="A324" t="s">
        <v>330</v>
      </c>
      <c r="B324" t="s">
        <v>563</v>
      </c>
      <c r="C324" t="s">
        <v>13</v>
      </c>
      <c r="D324" t="s">
        <v>564</v>
      </c>
      <c r="E324">
        <v>7.16</v>
      </c>
      <c r="F324">
        <v>2</v>
      </c>
      <c r="G324">
        <v>0</v>
      </c>
      <c r="H324">
        <v>3.58</v>
      </c>
      <c r="U324">
        <v>3.58</v>
      </c>
    </row>
    <row r="325" spans="1:21" x14ac:dyDescent="0.35">
      <c r="A325" t="s">
        <v>565</v>
      </c>
      <c r="B325" t="s">
        <v>566</v>
      </c>
      <c r="C325" t="s">
        <v>13</v>
      </c>
      <c r="D325" t="s">
        <v>525</v>
      </c>
      <c r="E325">
        <v>251.52</v>
      </c>
      <c r="F325">
        <v>6</v>
      </c>
      <c r="G325">
        <v>0.2</v>
      </c>
      <c r="H325">
        <v>81.744</v>
      </c>
      <c r="U325">
        <v>81.744</v>
      </c>
    </row>
    <row r="326" spans="1:21" x14ac:dyDescent="0.35">
      <c r="A326" t="s">
        <v>565</v>
      </c>
      <c r="B326" t="s">
        <v>566</v>
      </c>
      <c r="C326" t="s">
        <v>13</v>
      </c>
      <c r="D326" t="s">
        <v>567</v>
      </c>
      <c r="E326">
        <v>99.99</v>
      </c>
      <c r="F326">
        <v>1</v>
      </c>
      <c r="G326">
        <v>0</v>
      </c>
      <c r="H326">
        <v>34.996499999999997</v>
      </c>
      <c r="U326">
        <v>34.996499999999997</v>
      </c>
    </row>
    <row r="327" spans="1:21" x14ac:dyDescent="0.35">
      <c r="A327" s="1">
        <v>42805</v>
      </c>
      <c r="B327" t="s">
        <v>568</v>
      </c>
      <c r="C327" t="s">
        <v>8</v>
      </c>
      <c r="D327" t="s">
        <v>569</v>
      </c>
      <c r="E327">
        <v>15.992000000000001</v>
      </c>
      <c r="F327">
        <v>1</v>
      </c>
      <c r="G327">
        <v>0.2</v>
      </c>
      <c r="H327">
        <v>0.99950000000000006</v>
      </c>
      <c r="U327">
        <v>0.99950000000000006</v>
      </c>
    </row>
    <row r="328" spans="1:21" x14ac:dyDescent="0.35">
      <c r="A328" t="s">
        <v>570</v>
      </c>
      <c r="B328" t="s">
        <v>571</v>
      </c>
      <c r="C328" t="s">
        <v>55</v>
      </c>
      <c r="D328" t="s">
        <v>572</v>
      </c>
      <c r="E328">
        <v>290.89800000000002</v>
      </c>
      <c r="F328">
        <v>3</v>
      </c>
      <c r="G328">
        <v>0.4</v>
      </c>
      <c r="H328">
        <v>-67.876199999999997</v>
      </c>
      <c r="U328">
        <v>-67.876199999999997</v>
      </c>
    </row>
    <row r="329" spans="1:21" x14ac:dyDescent="0.35">
      <c r="A329" t="s">
        <v>570</v>
      </c>
      <c r="B329" t="s">
        <v>571</v>
      </c>
      <c r="C329" t="s">
        <v>55</v>
      </c>
      <c r="D329" t="s">
        <v>573</v>
      </c>
      <c r="E329">
        <v>54.223999999999997</v>
      </c>
      <c r="F329">
        <v>2</v>
      </c>
      <c r="G329">
        <v>0.2</v>
      </c>
      <c r="H329">
        <v>3.3889999999999998</v>
      </c>
      <c r="U329">
        <v>3.3889999999999998</v>
      </c>
    </row>
    <row r="330" spans="1:21" x14ac:dyDescent="0.35">
      <c r="A330" t="s">
        <v>570</v>
      </c>
      <c r="B330" t="s">
        <v>571</v>
      </c>
      <c r="C330" t="s">
        <v>55</v>
      </c>
      <c r="D330" t="s">
        <v>574</v>
      </c>
      <c r="E330">
        <v>786.74400000000003</v>
      </c>
      <c r="F330">
        <v>4</v>
      </c>
      <c r="G330">
        <v>0.3</v>
      </c>
      <c r="H330">
        <v>-258.5016</v>
      </c>
      <c r="U330">
        <v>-258.5016</v>
      </c>
    </row>
    <row r="331" spans="1:21" x14ac:dyDescent="0.35">
      <c r="A331" t="s">
        <v>570</v>
      </c>
      <c r="B331" t="s">
        <v>571</v>
      </c>
      <c r="C331" t="s">
        <v>55</v>
      </c>
      <c r="D331" t="s">
        <v>575</v>
      </c>
      <c r="E331">
        <v>100.24</v>
      </c>
      <c r="F331">
        <v>10</v>
      </c>
      <c r="G331">
        <v>0.2</v>
      </c>
      <c r="H331">
        <v>33.831000000000003</v>
      </c>
      <c r="U331">
        <v>33.831000000000003</v>
      </c>
    </row>
    <row r="332" spans="1:21" x14ac:dyDescent="0.35">
      <c r="A332" t="s">
        <v>570</v>
      </c>
      <c r="B332" t="s">
        <v>571</v>
      </c>
      <c r="C332" t="s">
        <v>55</v>
      </c>
      <c r="D332" t="s">
        <v>576</v>
      </c>
      <c r="E332">
        <v>37.764000000000003</v>
      </c>
      <c r="F332">
        <v>6</v>
      </c>
      <c r="G332">
        <v>0.7</v>
      </c>
      <c r="H332">
        <v>-27.6936</v>
      </c>
      <c r="U332">
        <v>-27.6936</v>
      </c>
    </row>
    <row r="333" spans="1:21" x14ac:dyDescent="0.35">
      <c r="A333" t="s">
        <v>577</v>
      </c>
      <c r="B333" t="s">
        <v>578</v>
      </c>
      <c r="C333" t="s">
        <v>55</v>
      </c>
      <c r="D333" t="s">
        <v>579</v>
      </c>
      <c r="E333">
        <v>82.8</v>
      </c>
      <c r="F333">
        <v>2</v>
      </c>
      <c r="G333">
        <v>0.4</v>
      </c>
      <c r="H333">
        <v>-20.7</v>
      </c>
      <c r="U333">
        <v>-20.7</v>
      </c>
    </row>
    <row r="334" spans="1:21" x14ac:dyDescent="0.35">
      <c r="A334" t="s">
        <v>577</v>
      </c>
      <c r="B334" t="s">
        <v>578</v>
      </c>
      <c r="C334" t="s">
        <v>55</v>
      </c>
      <c r="D334" t="s">
        <v>580</v>
      </c>
      <c r="E334">
        <v>20.724</v>
      </c>
      <c r="F334">
        <v>2</v>
      </c>
      <c r="G334">
        <v>0.7</v>
      </c>
      <c r="H334">
        <v>-13.816000000000001</v>
      </c>
      <c r="U334">
        <v>-13.816000000000001</v>
      </c>
    </row>
    <row r="335" spans="1:21" x14ac:dyDescent="0.35">
      <c r="A335" t="s">
        <v>577</v>
      </c>
      <c r="B335" t="s">
        <v>578</v>
      </c>
      <c r="C335" t="s">
        <v>55</v>
      </c>
      <c r="D335" t="s">
        <v>581</v>
      </c>
      <c r="E335">
        <v>4.8959999999999999</v>
      </c>
      <c r="F335">
        <v>3</v>
      </c>
      <c r="G335">
        <v>0.7</v>
      </c>
      <c r="H335">
        <v>-3.4272</v>
      </c>
      <c r="U335">
        <v>-3.4272</v>
      </c>
    </row>
    <row r="336" spans="1:21" x14ac:dyDescent="0.35">
      <c r="A336" s="1">
        <v>42013</v>
      </c>
      <c r="B336" t="s">
        <v>582</v>
      </c>
      <c r="C336" t="s">
        <v>13</v>
      </c>
      <c r="D336" t="s">
        <v>583</v>
      </c>
      <c r="E336">
        <v>4.7519999999999998</v>
      </c>
      <c r="F336">
        <v>1</v>
      </c>
      <c r="G336">
        <v>0.2</v>
      </c>
      <c r="H336">
        <v>1.6037999999999999</v>
      </c>
      <c r="U336">
        <v>1.6037999999999999</v>
      </c>
    </row>
    <row r="337" spans="1:21" x14ac:dyDescent="0.35">
      <c r="A337" s="1">
        <v>42013</v>
      </c>
      <c r="B337" t="s">
        <v>582</v>
      </c>
      <c r="C337" t="s">
        <v>13</v>
      </c>
      <c r="D337" t="s">
        <v>584</v>
      </c>
      <c r="E337">
        <v>959.98400000000004</v>
      </c>
      <c r="F337">
        <v>2</v>
      </c>
      <c r="G337">
        <v>0.2</v>
      </c>
      <c r="H337">
        <v>335.99439999999998</v>
      </c>
      <c r="U337">
        <v>335.99439999999998</v>
      </c>
    </row>
    <row r="338" spans="1:21" x14ac:dyDescent="0.35">
      <c r="A338" s="1">
        <v>42013</v>
      </c>
      <c r="B338" t="s">
        <v>582</v>
      </c>
      <c r="C338" t="s">
        <v>13</v>
      </c>
      <c r="D338" t="s">
        <v>585</v>
      </c>
      <c r="E338">
        <v>14.368</v>
      </c>
      <c r="F338">
        <v>4</v>
      </c>
      <c r="G338">
        <v>0.2</v>
      </c>
      <c r="H338">
        <v>4.49</v>
      </c>
      <c r="U338">
        <v>4.49</v>
      </c>
    </row>
    <row r="339" spans="1:21" x14ac:dyDescent="0.35">
      <c r="A339" s="1">
        <v>41980</v>
      </c>
      <c r="B339" t="s">
        <v>586</v>
      </c>
      <c r="C339" t="s">
        <v>13</v>
      </c>
      <c r="D339" t="s">
        <v>587</v>
      </c>
      <c r="E339">
        <v>7.7119999999999997</v>
      </c>
      <c r="F339">
        <v>2</v>
      </c>
      <c r="G339">
        <v>0.2</v>
      </c>
      <c r="H339">
        <v>2.7955999999999999</v>
      </c>
      <c r="U339">
        <v>2.7955999999999999</v>
      </c>
    </row>
    <row r="340" spans="1:21" x14ac:dyDescent="0.35">
      <c r="A340" s="1">
        <v>41980</v>
      </c>
      <c r="B340" t="s">
        <v>586</v>
      </c>
      <c r="C340" t="s">
        <v>13</v>
      </c>
      <c r="D340" t="s">
        <v>588</v>
      </c>
      <c r="E340">
        <v>698.35199999999998</v>
      </c>
      <c r="F340">
        <v>3</v>
      </c>
      <c r="G340">
        <v>0.2</v>
      </c>
      <c r="H340">
        <v>-17.4588</v>
      </c>
      <c r="U340">
        <v>-17.4588</v>
      </c>
    </row>
    <row r="341" spans="1:21" x14ac:dyDescent="0.35">
      <c r="A341" t="s">
        <v>589</v>
      </c>
      <c r="B341" t="s">
        <v>438</v>
      </c>
      <c r="C341" t="s">
        <v>13</v>
      </c>
      <c r="D341" t="s">
        <v>591</v>
      </c>
      <c r="E341">
        <v>4.96</v>
      </c>
      <c r="F341">
        <v>4</v>
      </c>
      <c r="G341">
        <v>0</v>
      </c>
      <c r="H341">
        <v>2.3311999999999999</v>
      </c>
      <c r="U341">
        <v>2.3311999999999999</v>
      </c>
    </row>
    <row r="342" spans="1:21" x14ac:dyDescent="0.35">
      <c r="A342" t="s">
        <v>592</v>
      </c>
      <c r="B342" t="s">
        <v>272</v>
      </c>
      <c r="C342" t="s">
        <v>55</v>
      </c>
      <c r="D342" t="s">
        <v>593</v>
      </c>
      <c r="E342">
        <v>17.856000000000002</v>
      </c>
      <c r="F342">
        <v>4</v>
      </c>
      <c r="G342">
        <v>0.2</v>
      </c>
      <c r="H342">
        <v>1.1160000000000001</v>
      </c>
      <c r="U342">
        <v>1.1160000000000001</v>
      </c>
    </row>
    <row r="343" spans="1:21" x14ac:dyDescent="0.35">
      <c r="A343" t="s">
        <v>592</v>
      </c>
      <c r="B343" t="s">
        <v>272</v>
      </c>
      <c r="C343" t="s">
        <v>55</v>
      </c>
      <c r="D343" t="s">
        <v>32</v>
      </c>
      <c r="E343">
        <v>509.97</v>
      </c>
      <c r="F343">
        <v>10</v>
      </c>
      <c r="G343">
        <v>0.7</v>
      </c>
      <c r="H343">
        <v>-407.976</v>
      </c>
      <c r="U343">
        <v>-407.976</v>
      </c>
    </row>
    <row r="344" spans="1:21" x14ac:dyDescent="0.35">
      <c r="A344" t="s">
        <v>592</v>
      </c>
      <c r="B344" t="s">
        <v>272</v>
      </c>
      <c r="C344" t="s">
        <v>55</v>
      </c>
      <c r="D344" t="s">
        <v>263</v>
      </c>
      <c r="E344">
        <v>30.992000000000001</v>
      </c>
      <c r="F344">
        <v>13</v>
      </c>
      <c r="G344">
        <v>0.2</v>
      </c>
      <c r="H344">
        <v>10.0724</v>
      </c>
      <c r="U344">
        <v>10.0724</v>
      </c>
    </row>
    <row r="345" spans="1:21" x14ac:dyDescent="0.35">
      <c r="A345" t="s">
        <v>592</v>
      </c>
      <c r="B345" t="s">
        <v>272</v>
      </c>
      <c r="C345" t="s">
        <v>55</v>
      </c>
      <c r="D345" t="s">
        <v>594</v>
      </c>
      <c r="E345">
        <v>71.927999999999997</v>
      </c>
      <c r="F345">
        <v>12</v>
      </c>
      <c r="G345">
        <v>0.4</v>
      </c>
      <c r="H345">
        <v>8.3916000000000004</v>
      </c>
      <c r="U345">
        <v>8.3916000000000004</v>
      </c>
    </row>
    <row r="346" spans="1:21" x14ac:dyDescent="0.35">
      <c r="A346" t="s">
        <v>595</v>
      </c>
      <c r="B346" t="s">
        <v>325</v>
      </c>
      <c r="C346" t="s">
        <v>35</v>
      </c>
      <c r="D346" t="s">
        <v>43</v>
      </c>
      <c r="E346">
        <v>88.8</v>
      </c>
      <c r="F346">
        <v>4</v>
      </c>
      <c r="G346">
        <v>0.2</v>
      </c>
      <c r="H346">
        <v>-2.2200000000000002</v>
      </c>
      <c r="U346">
        <v>-2.2200000000000002</v>
      </c>
    </row>
    <row r="347" spans="1:21" x14ac:dyDescent="0.35">
      <c r="A347" t="s">
        <v>596</v>
      </c>
      <c r="B347" t="s">
        <v>598</v>
      </c>
      <c r="C347" t="s">
        <v>13</v>
      </c>
      <c r="D347" t="s">
        <v>261</v>
      </c>
      <c r="E347">
        <v>47.975999999999999</v>
      </c>
      <c r="F347">
        <v>3</v>
      </c>
      <c r="G347">
        <v>0.2</v>
      </c>
      <c r="H347">
        <v>4.7976000000000001</v>
      </c>
      <c r="U347">
        <v>4.7976000000000001</v>
      </c>
    </row>
    <row r="348" spans="1:21" x14ac:dyDescent="0.35">
      <c r="A348" s="1">
        <v>42954</v>
      </c>
      <c r="B348" t="s">
        <v>599</v>
      </c>
      <c r="C348" t="s">
        <v>55</v>
      </c>
      <c r="D348" t="s">
        <v>376</v>
      </c>
      <c r="E348">
        <v>7.56</v>
      </c>
      <c r="F348">
        <v>3</v>
      </c>
      <c r="G348">
        <v>0</v>
      </c>
      <c r="H348">
        <v>3.0996000000000001</v>
      </c>
      <c r="U348">
        <v>3.0996000000000001</v>
      </c>
    </row>
    <row r="349" spans="1:21" x14ac:dyDescent="0.35">
      <c r="A349" s="1">
        <v>42954</v>
      </c>
      <c r="B349" t="s">
        <v>599</v>
      </c>
      <c r="C349" t="s">
        <v>55</v>
      </c>
      <c r="D349" t="s">
        <v>75</v>
      </c>
      <c r="E349">
        <v>24.56</v>
      </c>
      <c r="F349">
        <v>2</v>
      </c>
      <c r="G349">
        <v>0</v>
      </c>
      <c r="H349">
        <v>11.543200000000001</v>
      </c>
      <c r="U349">
        <v>11.543200000000001</v>
      </c>
    </row>
    <row r="350" spans="1:21" x14ac:dyDescent="0.35">
      <c r="A350" s="1">
        <v>42954</v>
      </c>
      <c r="B350" t="s">
        <v>599</v>
      </c>
      <c r="C350" t="s">
        <v>55</v>
      </c>
      <c r="D350" t="s">
        <v>600</v>
      </c>
      <c r="E350">
        <v>12.96</v>
      </c>
      <c r="F350">
        <v>2</v>
      </c>
      <c r="G350">
        <v>0</v>
      </c>
      <c r="H350">
        <v>4.1471999999999998</v>
      </c>
      <c r="U350">
        <v>4.1471999999999998</v>
      </c>
    </row>
    <row r="351" spans="1:21" x14ac:dyDescent="0.35">
      <c r="A351" s="1">
        <v>42378</v>
      </c>
      <c r="B351" t="s">
        <v>601</v>
      </c>
      <c r="C351" t="s">
        <v>55</v>
      </c>
      <c r="D351" t="s">
        <v>462</v>
      </c>
      <c r="E351">
        <v>6.79</v>
      </c>
      <c r="F351">
        <v>1</v>
      </c>
      <c r="G351">
        <v>0</v>
      </c>
      <c r="H351">
        <v>2.3086000000000002</v>
      </c>
      <c r="U351">
        <v>2.3086000000000002</v>
      </c>
    </row>
    <row r="352" spans="1:21" x14ac:dyDescent="0.35">
      <c r="A352" s="1">
        <v>42378</v>
      </c>
      <c r="B352" t="s">
        <v>601</v>
      </c>
      <c r="C352" t="s">
        <v>55</v>
      </c>
      <c r="D352" t="s">
        <v>602</v>
      </c>
      <c r="E352">
        <v>24.56</v>
      </c>
      <c r="F352">
        <v>2</v>
      </c>
      <c r="G352">
        <v>0</v>
      </c>
      <c r="H352">
        <v>11.543200000000001</v>
      </c>
      <c r="U352">
        <v>11.543200000000001</v>
      </c>
    </row>
    <row r="353" spans="1:21" x14ac:dyDescent="0.35">
      <c r="A353" s="1">
        <v>42378</v>
      </c>
      <c r="B353" t="s">
        <v>601</v>
      </c>
      <c r="C353" t="s">
        <v>55</v>
      </c>
      <c r="D353" t="s">
        <v>603</v>
      </c>
      <c r="E353">
        <v>3.048</v>
      </c>
      <c r="F353">
        <v>1</v>
      </c>
      <c r="G353">
        <v>0.2</v>
      </c>
      <c r="H353">
        <v>1.0668</v>
      </c>
      <c r="U353">
        <v>1.0668</v>
      </c>
    </row>
    <row r="354" spans="1:21" x14ac:dyDescent="0.35">
      <c r="A354" s="1">
        <v>42378</v>
      </c>
      <c r="B354" t="s">
        <v>601</v>
      </c>
      <c r="C354" t="s">
        <v>55</v>
      </c>
      <c r="D354" t="s">
        <v>602</v>
      </c>
      <c r="E354">
        <v>49.12</v>
      </c>
      <c r="F354">
        <v>4</v>
      </c>
      <c r="G354">
        <v>0</v>
      </c>
      <c r="H354">
        <v>23.086400000000001</v>
      </c>
      <c r="U354">
        <v>23.086400000000001</v>
      </c>
    </row>
    <row r="355" spans="1:21" x14ac:dyDescent="0.35">
      <c r="A355" s="1">
        <v>42378</v>
      </c>
      <c r="B355" t="s">
        <v>601</v>
      </c>
      <c r="C355" t="s">
        <v>55</v>
      </c>
      <c r="D355" t="s">
        <v>604</v>
      </c>
      <c r="E355">
        <v>4355.1679999999997</v>
      </c>
      <c r="F355">
        <v>4</v>
      </c>
      <c r="G355">
        <v>0.2</v>
      </c>
      <c r="H355">
        <v>1415.4295999999999</v>
      </c>
      <c r="U355">
        <v>1415.4295999999999</v>
      </c>
    </row>
    <row r="356" spans="1:21" x14ac:dyDescent="0.35">
      <c r="A356" s="1">
        <v>42586</v>
      </c>
      <c r="B356" t="s">
        <v>606</v>
      </c>
      <c r="C356" t="s">
        <v>55</v>
      </c>
      <c r="D356" t="s">
        <v>607</v>
      </c>
      <c r="E356">
        <v>388.70400000000001</v>
      </c>
      <c r="F356">
        <v>6</v>
      </c>
      <c r="G356">
        <v>0.2</v>
      </c>
      <c r="H356">
        <v>-4.8587999999999996</v>
      </c>
      <c r="U356">
        <v>-4.8587999999999996</v>
      </c>
    </row>
    <row r="357" spans="1:21" x14ac:dyDescent="0.35">
      <c r="A357" s="1">
        <v>42586</v>
      </c>
      <c r="B357" t="s">
        <v>606</v>
      </c>
      <c r="C357" t="s">
        <v>55</v>
      </c>
      <c r="D357" t="s">
        <v>608</v>
      </c>
      <c r="E357">
        <v>8.26</v>
      </c>
      <c r="F357">
        <v>2</v>
      </c>
      <c r="G357">
        <v>0</v>
      </c>
      <c r="H357">
        <v>3.7995999999999999</v>
      </c>
      <c r="U357">
        <v>3.7995999999999999</v>
      </c>
    </row>
    <row r="358" spans="1:21" x14ac:dyDescent="0.35">
      <c r="A358" s="1">
        <v>42586</v>
      </c>
      <c r="B358" t="s">
        <v>606</v>
      </c>
      <c r="C358" t="s">
        <v>55</v>
      </c>
      <c r="D358" t="s">
        <v>609</v>
      </c>
      <c r="E358">
        <v>17.04</v>
      </c>
      <c r="F358">
        <v>4</v>
      </c>
      <c r="G358">
        <v>0</v>
      </c>
      <c r="H358">
        <v>6.9863999999999997</v>
      </c>
      <c r="U358">
        <v>6.9863999999999997</v>
      </c>
    </row>
    <row r="359" spans="1:21" x14ac:dyDescent="0.35">
      <c r="A359" s="1">
        <v>42586</v>
      </c>
      <c r="B359" t="s">
        <v>606</v>
      </c>
      <c r="C359" t="s">
        <v>55</v>
      </c>
      <c r="D359" t="s">
        <v>610</v>
      </c>
      <c r="E359">
        <v>34.4</v>
      </c>
      <c r="F359">
        <v>5</v>
      </c>
      <c r="G359">
        <v>0</v>
      </c>
      <c r="H359">
        <v>15.824</v>
      </c>
      <c r="U359">
        <v>15.824</v>
      </c>
    </row>
    <row r="360" spans="1:21" x14ac:dyDescent="0.35">
      <c r="A360" t="s">
        <v>565</v>
      </c>
      <c r="B360" t="s">
        <v>392</v>
      </c>
      <c r="C360" t="s">
        <v>8</v>
      </c>
      <c r="D360" t="s">
        <v>385</v>
      </c>
      <c r="E360">
        <v>36.24</v>
      </c>
      <c r="F360">
        <v>5</v>
      </c>
      <c r="G360">
        <v>0.2</v>
      </c>
      <c r="H360">
        <v>11.324999999999999</v>
      </c>
      <c r="U360">
        <v>11.324999999999999</v>
      </c>
    </row>
    <row r="361" spans="1:21" x14ac:dyDescent="0.35">
      <c r="A361" s="1">
        <v>42950</v>
      </c>
      <c r="B361" t="s">
        <v>612</v>
      </c>
      <c r="C361" t="s">
        <v>8</v>
      </c>
      <c r="D361" t="s">
        <v>613</v>
      </c>
      <c r="E361">
        <v>647.84</v>
      </c>
      <c r="F361">
        <v>8</v>
      </c>
      <c r="G361">
        <v>0</v>
      </c>
      <c r="H361">
        <v>168.4384</v>
      </c>
      <c r="U361">
        <v>168.4384</v>
      </c>
    </row>
    <row r="362" spans="1:21" x14ac:dyDescent="0.35">
      <c r="A362" s="1">
        <v>42950</v>
      </c>
      <c r="B362" t="s">
        <v>612</v>
      </c>
      <c r="C362" t="s">
        <v>8</v>
      </c>
      <c r="D362" t="s">
        <v>614</v>
      </c>
      <c r="E362">
        <v>20.7</v>
      </c>
      <c r="F362">
        <v>2</v>
      </c>
      <c r="G362">
        <v>0</v>
      </c>
      <c r="H362">
        <v>9.9359999999999999</v>
      </c>
      <c r="U362">
        <v>9.9359999999999999</v>
      </c>
    </row>
    <row r="363" spans="1:21" x14ac:dyDescent="0.35">
      <c r="A363" t="s">
        <v>615</v>
      </c>
      <c r="B363" t="s">
        <v>616</v>
      </c>
      <c r="C363" t="s">
        <v>55</v>
      </c>
      <c r="D363" t="s">
        <v>614</v>
      </c>
      <c r="E363">
        <v>20.7</v>
      </c>
      <c r="F363">
        <v>2</v>
      </c>
      <c r="G363">
        <v>0</v>
      </c>
      <c r="H363">
        <v>9.9359999999999999</v>
      </c>
      <c r="U363">
        <v>9.9359999999999999</v>
      </c>
    </row>
    <row r="364" spans="1:21" x14ac:dyDescent="0.35">
      <c r="A364" t="s">
        <v>615</v>
      </c>
      <c r="B364" t="s">
        <v>616</v>
      </c>
      <c r="C364" t="s">
        <v>55</v>
      </c>
      <c r="D364" t="s">
        <v>617</v>
      </c>
      <c r="E364">
        <v>488.64600000000002</v>
      </c>
      <c r="F364">
        <v>3</v>
      </c>
      <c r="G364">
        <v>0.1</v>
      </c>
      <c r="H364">
        <v>86.870400000000004</v>
      </c>
      <c r="U364">
        <v>86.870400000000004</v>
      </c>
    </row>
    <row r="365" spans="1:21" x14ac:dyDescent="0.35">
      <c r="A365" t="s">
        <v>615</v>
      </c>
      <c r="B365" t="s">
        <v>616</v>
      </c>
      <c r="C365" t="s">
        <v>55</v>
      </c>
      <c r="D365" t="s">
        <v>618</v>
      </c>
      <c r="E365">
        <v>5.56</v>
      </c>
      <c r="F365">
        <v>2</v>
      </c>
      <c r="G365">
        <v>0</v>
      </c>
      <c r="H365">
        <v>1.4456</v>
      </c>
      <c r="U365">
        <v>1.4456</v>
      </c>
    </row>
    <row r="366" spans="1:21" x14ac:dyDescent="0.35">
      <c r="A366" t="s">
        <v>615</v>
      </c>
      <c r="B366" t="s">
        <v>616</v>
      </c>
      <c r="C366" t="s">
        <v>55</v>
      </c>
      <c r="D366" t="s">
        <v>619</v>
      </c>
      <c r="E366">
        <v>47.12</v>
      </c>
      <c r="F366">
        <v>8</v>
      </c>
      <c r="G366">
        <v>0</v>
      </c>
      <c r="H366">
        <v>20.732800000000001</v>
      </c>
      <c r="U366">
        <v>20.732800000000001</v>
      </c>
    </row>
    <row r="367" spans="1:21" x14ac:dyDescent="0.35">
      <c r="A367" t="s">
        <v>562</v>
      </c>
      <c r="B367" t="s">
        <v>621</v>
      </c>
      <c r="C367" t="s">
        <v>13</v>
      </c>
      <c r="D367" t="s">
        <v>104</v>
      </c>
      <c r="E367">
        <v>211.96</v>
      </c>
      <c r="F367">
        <v>4</v>
      </c>
      <c r="G367">
        <v>0</v>
      </c>
      <c r="H367">
        <v>8.4784000000000006</v>
      </c>
      <c r="U367">
        <v>8.4784000000000006</v>
      </c>
    </row>
    <row r="368" spans="1:21" x14ac:dyDescent="0.35">
      <c r="A368" t="s">
        <v>622</v>
      </c>
      <c r="B368" t="s">
        <v>623</v>
      </c>
      <c r="C368" t="s">
        <v>55</v>
      </c>
      <c r="D368" t="s">
        <v>624</v>
      </c>
      <c r="E368">
        <v>23.2</v>
      </c>
      <c r="F368">
        <v>4</v>
      </c>
      <c r="G368">
        <v>0</v>
      </c>
      <c r="H368">
        <v>10.44</v>
      </c>
      <c r="U368">
        <v>10.44</v>
      </c>
    </row>
    <row r="369" spans="1:21" x14ac:dyDescent="0.35">
      <c r="A369" t="s">
        <v>622</v>
      </c>
      <c r="B369" t="s">
        <v>623</v>
      </c>
      <c r="C369" t="s">
        <v>55</v>
      </c>
      <c r="D369" t="s">
        <v>625</v>
      </c>
      <c r="E369">
        <v>7.36</v>
      </c>
      <c r="F369">
        <v>2</v>
      </c>
      <c r="G369">
        <v>0</v>
      </c>
      <c r="H369">
        <v>0.1472</v>
      </c>
      <c r="U369">
        <v>0.1472</v>
      </c>
    </row>
    <row r="370" spans="1:21" x14ac:dyDescent="0.35">
      <c r="A370" t="s">
        <v>622</v>
      </c>
      <c r="B370" t="s">
        <v>623</v>
      </c>
      <c r="C370" t="s">
        <v>55</v>
      </c>
      <c r="D370" t="s">
        <v>626</v>
      </c>
      <c r="E370">
        <v>104.79</v>
      </c>
      <c r="F370">
        <v>7</v>
      </c>
      <c r="G370">
        <v>0</v>
      </c>
      <c r="H370">
        <v>29.341200000000001</v>
      </c>
      <c r="U370">
        <v>29.341200000000001</v>
      </c>
    </row>
    <row r="371" spans="1:21" x14ac:dyDescent="0.35">
      <c r="A371" t="s">
        <v>622</v>
      </c>
      <c r="B371" t="s">
        <v>623</v>
      </c>
      <c r="C371" t="s">
        <v>55</v>
      </c>
      <c r="D371" t="s">
        <v>83</v>
      </c>
      <c r="E371">
        <v>1043.92</v>
      </c>
      <c r="F371">
        <v>4</v>
      </c>
      <c r="G371">
        <v>0</v>
      </c>
      <c r="H371">
        <v>271.41919999999999</v>
      </c>
      <c r="U371">
        <v>271.41919999999999</v>
      </c>
    </row>
    <row r="372" spans="1:21" x14ac:dyDescent="0.35">
      <c r="A372" t="s">
        <v>627</v>
      </c>
      <c r="B372" t="s">
        <v>628</v>
      </c>
      <c r="C372" t="s">
        <v>35</v>
      </c>
      <c r="D372" t="s">
        <v>629</v>
      </c>
      <c r="E372">
        <v>25.92</v>
      </c>
      <c r="F372">
        <v>5</v>
      </c>
      <c r="G372">
        <v>0.2</v>
      </c>
      <c r="H372">
        <v>9.3960000000000008</v>
      </c>
      <c r="U372">
        <v>9.3960000000000008</v>
      </c>
    </row>
    <row r="373" spans="1:21" x14ac:dyDescent="0.35">
      <c r="A373" t="s">
        <v>627</v>
      </c>
      <c r="B373" t="s">
        <v>628</v>
      </c>
      <c r="C373" t="s">
        <v>35</v>
      </c>
      <c r="D373" t="s">
        <v>630</v>
      </c>
      <c r="E373">
        <v>53.423999999999999</v>
      </c>
      <c r="F373">
        <v>3</v>
      </c>
      <c r="G373">
        <v>0.2</v>
      </c>
      <c r="H373">
        <v>4.6745999999999999</v>
      </c>
      <c r="U373">
        <v>4.6745999999999999</v>
      </c>
    </row>
    <row r="374" spans="1:21" x14ac:dyDescent="0.35">
      <c r="A374" t="s">
        <v>631</v>
      </c>
      <c r="B374" t="s">
        <v>633</v>
      </c>
      <c r="C374" t="s">
        <v>13</v>
      </c>
      <c r="D374" t="s">
        <v>581</v>
      </c>
      <c r="E374">
        <v>8.16</v>
      </c>
      <c r="F374">
        <v>5</v>
      </c>
      <c r="G374">
        <v>0.7</v>
      </c>
      <c r="H374">
        <v>-5.7119999999999997</v>
      </c>
      <c r="U374">
        <v>-5.7119999999999997</v>
      </c>
    </row>
    <row r="375" spans="1:21" x14ac:dyDescent="0.35">
      <c r="A375" t="s">
        <v>631</v>
      </c>
      <c r="B375" t="s">
        <v>633</v>
      </c>
      <c r="C375" t="s">
        <v>13</v>
      </c>
      <c r="D375" t="s">
        <v>634</v>
      </c>
      <c r="E375">
        <v>1023.936</v>
      </c>
      <c r="F375">
        <v>8</v>
      </c>
      <c r="G375">
        <v>0.2</v>
      </c>
      <c r="H375">
        <v>179.18879999999999</v>
      </c>
      <c r="U375">
        <v>179.18879999999999</v>
      </c>
    </row>
    <row r="376" spans="1:21" x14ac:dyDescent="0.35">
      <c r="A376" t="s">
        <v>631</v>
      </c>
      <c r="B376" t="s">
        <v>633</v>
      </c>
      <c r="C376" t="s">
        <v>13</v>
      </c>
      <c r="D376" t="s">
        <v>635</v>
      </c>
      <c r="E376">
        <v>9.24</v>
      </c>
      <c r="F376">
        <v>1</v>
      </c>
      <c r="G376">
        <v>0.2</v>
      </c>
      <c r="H376">
        <v>0.92400000000000004</v>
      </c>
      <c r="U376">
        <v>0.92400000000000004</v>
      </c>
    </row>
    <row r="377" spans="1:21" x14ac:dyDescent="0.35">
      <c r="A377" t="s">
        <v>631</v>
      </c>
      <c r="B377" t="s">
        <v>633</v>
      </c>
      <c r="C377" t="s">
        <v>13</v>
      </c>
      <c r="D377" t="s">
        <v>636</v>
      </c>
      <c r="E377">
        <v>479.04</v>
      </c>
      <c r="F377">
        <v>10</v>
      </c>
      <c r="G377">
        <v>0.2</v>
      </c>
      <c r="H377">
        <v>-29.94</v>
      </c>
      <c r="U377">
        <v>-29.94</v>
      </c>
    </row>
    <row r="378" spans="1:21" x14ac:dyDescent="0.35">
      <c r="A378" t="s">
        <v>637</v>
      </c>
      <c r="B378" t="s">
        <v>638</v>
      </c>
      <c r="C378" t="s">
        <v>35</v>
      </c>
      <c r="D378" t="s">
        <v>639</v>
      </c>
      <c r="E378">
        <v>99.135999999999996</v>
      </c>
      <c r="F378">
        <v>4</v>
      </c>
      <c r="G378">
        <v>0.2</v>
      </c>
      <c r="H378">
        <v>30.98</v>
      </c>
      <c r="U378">
        <v>30.98</v>
      </c>
    </row>
    <row r="379" spans="1:21" x14ac:dyDescent="0.35">
      <c r="A379" t="s">
        <v>640</v>
      </c>
      <c r="B379" t="s">
        <v>641</v>
      </c>
      <c r="C379" t="s">
        <v>55</v>
      </c>
      <c r="D379" t="s">
        <v>642</v>
      </c>
      <c r="E379">
        <v>1488.424</v>
      </c>
      <c r="F379">
        <v>7</v>
      </c>
      <c r="G379">
        <v>0.3</v>
      </c>
      <c r="H379">
        <v>-297.6848</v>
      </c>
      <c r="U379">
        <v>-297.6848</v>
      </c>
    </row>
    <row r="380" spans="1:21" x14ac:dyDescent="0.35">
      <c r="A380" t="s">
        <v>643</v>
      </c>
      <c r="B380" t="s">
        <v>644</v>
      </c>
      <c r="C380" t="s">
        <v>35</v>
      </c>
      <c r="D380" t="s">
        <v>645</v>
      </c>
      <c r="E380">
        <v>8.6519999999999992</v>
      </c>
      <c r="F380">
        <v>3</v>
      </c>
      <c r="G380">
        <v>0.8</v>
      </c>
      <c r="H380">
        <v>-20.3322</v>
      </c>
      <c r="U380">
        <v>-20.3322</v>
      </c>
    </row>
    <row r="381" spans="1:21" x14ac:dyDescent="0.35">
      <c r="A381" t="s">
        <v>643</v>
      </c>
      <c r="B381" t="s">
        <v>644</v>
      </c>
      <c r="C381" t="s">
        <v>35</v>
      </c>
      <c r="D381" t="s">
        <v>646</v>
      </c>
      <c r="E381">
        <v>23.832000000000001</v>
      </c>
      <c r="F381">
        <v>3</v>
      </c>
      <c r="G381">
        <v>0.2</v>
      </c>
      <c r="H381">
        <v>2.6810999999999998</v>
      </c>
      <c r="U381">
        <v>2.6810999999999998</v>
      </c>
    </row>
    <row r="382" spans="1:21" x14ac:dyDescent="0.35">
      <c r="A382" t="s">
        <v>643</v>
      </c>
      <c r="B382" t="s">
        <v>644</v>
      </c>
      <c r="C382" t="s">
        <v>35</v>
      </c>
      <c r="D382" t="s">
        <v>647</v>
      </c>
      <c r="E382">
        <v>12.176</v>
      </c>
      <c r="F382">
        <v>4</v>
      </c>
      <c r="G382">
        <v>0.8</v>
      </c>
      <c r="H382">
        <v>-18.872800000000002</v>
      </c>
      <c r="U382">
        <v>-18.872800000000002</v>
      </c>
    </row>
    <row r="383" spans="1:21" x14ac:dyDescent="0.35">
      <c r="A383" t="s">
        <v>409</v>
      </c>
      <c r="B383" t="s">
        <v>648</v>
      </c>
      <c r="C383" t="s">
        <v>13</v>
      </c>
      <c r="D383" t="s">
        <v>649</v>
      </c>
      <c r="E383">
        <v>50.96</v>
      </c>
      <c r="F383">
        <v>7</v>
      </c>
      <c r="G383">
        <v>0</v>
      </c>
      <c r="H383">
        <v>25.48</v>
      </c>
      <c r="U383">
        <v>25.48</v>
      </c>
    </row>
    <row r="384" spans="1:21" x14ac:dyDescent="0.35">
      <c r="A384" t="s">
        <v>409</v>
      </c>
      <c r="B384" t="s">
        <v>648</v>
      </c>
      <c r="C384" t="s">
        <v>13</v>
      </c>
      <c r="D384" t="s">
        <v>650</v>
      </c>
      <c r="E384">
        <v>49.536000000000001</v>
      </c>
      <c r="F384">
        <v>3</v>
      </c>
      <c r="G384">
        <v>0.2</v>
      </c>
      <c r="H384">
        <v>17.337599999999998</v>
      </c>
      <c r="U384">
        <v>17.337599999999998</v>
      </c>
    </row>
    <row r="385" spans="1:21" x14ac:dyDescent="0.35">
      <c r="A385" t="s">
        <v>590</v>
      </c>
      <c r="B385" t="s">
        <v>652</v>
      </c>
      <c r="C385" t="s">
        <v>35</v>
      </c>
      <c r="D385" t="s">
        <v>653</v>
      </c>
      <c r="E385">
        <v>41.9</v>
      </c>
      <c r="F385">
        <v>2</v>
      </c>
      <c r="G385">
        <v>0</v>
      </c>
      <c r="H385">
        <v>8.7989999999999995</v>
      </c>
      <c r="U385">
        <v>8.7989999999999995</v>
      </c>
    </row>
    <row r="386" spans="1:21" x14ac:dyDescent="0.35">
      <c r="A386" t="s">
        <v>654</v>
      </c>
      <c r="B386" t="s">
        <v>655</v>
      </c>
      <c r="C386" t="s">
        <v>8</v>
      </c>
      <c r="D386" t="s">
        <v>656</v>
      </c>
      <c r="E386">
        <v>375.45749999999998</v>
      </c>
      <c r="F386">
        <v>3</v>
      </c>
      <c r="G386">
        <v>0.45</v>
      </c>
      <c r="H386">
        <v>-157.0095</v>
      </c>
      <c r="U386">
        <v>-157.0095</v>
      </c>
    </row>
    <row r="387" spans="1:21" x14ac:dyDescent="0.35">
      <c r="A387" t="s">
        <v>654</v>
      </c>
      <c r="B387" t="s">
        <v>655</v>
      </c>
      <c r="C387" t="s">
        <v>8</v>
      </c>
      <c r="D387" t="s">
        <v>657</v>
      </c>
      <c r="E387">
        <v>83.975999999999999</v>
      </c>
      <c r="F387">
        <v>3</v>
      </c>
      <c r="G387">
        <v>0.2</v>
      </c>
      <c r="H387">
        <v>-1.0497000000000001</v>
      </c>
      <c r="U387">
        <v>-1.0497000000000001</v>
      </c>
    </row>
    <row r="388" spans="1:21" x14ac:dyDescent="0.35">
      <c r="A388" s="1">
        <v>42075</v>
      </c>
      <c r="B388" t="s">
        <v>658</v>
      </c>
      <c r="C388" t="s">
        <v>55</v>
      </c>
      <c r="D388" t="s">
        <v>659</v>
      </c>
      <c r="E388">
        <v>482.34</v>
      </c>
      <c r="F388">
        <v>4</v>
      </c>
      <c r="G388">
        <v>0.7</v>
      </c>
      <c r="H388">
        <v>-337.63799999999998</v>
      </c>
      <c r="U388">
        <v>-337.63799999999998</v>
      </c>
    </row>
    <row r="389" spans="1:21" x14ac:dyDescent="0.35">
      <c r="A389" s="1">
        <v>42075</v>
      </c>
      <c r="B389" t="s">
        <v>658</v>
      </c>
      <c r="C389" t="s">
        <v>55</v>
      </c>
      <c r="D389" t="s">
        <v>660</v>
      </c>
      <c r="E389">
        <v>2.96</v>
      </c>
      <c r="F389">
        <v>1</v>
      </c>
      <c r="G389">
        <v>0.2</v>
      </c>
      <c r="H389">
        <v>0.77700000000000002</v>
      </c>
      <c r="U389">
        <v>0.77700000000000002</v>
      </c>
    </row>
    <row r="390" spans="1:21" x14ac:dyDescent="0.35">
      <c r="A390" t="s">
        <v>350</v>
      </c>
      <c r="B390" t="s">
        <v>661</v>
      </c>
      <c r="C390" t="s">
        <v>55</v>
      </c>
      <c r="D390" t="s">
        <v>662</v>
      </c>
      <c r="E390">
        <v>2.6240000000000001</v>
      </c>
      <c r="F390">
        <v>1</v>
      </c>
      <c r="G390">
        <v>0.2</v>
      </c>
      <c r="H390">
        <v>0.4264</v>
      </c>
      <c r="U390">
        <v>0.4264</v>
      </c>
    </row>
    <row r="391" spans="1:21" x14ac:dyDescent="0.35">
      <c r="A391" s="1">
        <v>43051</v>
      </c>
      <c r="B391" t="s">
        <v>664</v>
      </c>
      <c r="C391" t="s">
        <v>55</v>
      </c>
      <c r="D391" t="s">
        <v>665</v>
      </c>
      <c r="E391">
        <v>23.36</v>
      </c>
      <c r="F391">
        <v>4</v>
      </c>
      <c r="G391">
        <v>0.2</v>
      </c>
      <c r="H391">
        <v>7.8840000000000003</v>
      </c>
      <c r="U391">
        <v>7.8840000000000003</v>
      </c>
    </row>
    <row r="392" spans="1:21" x14ac:dyDescent="0.35">
      <c r="A392" s="1">
        <v>43051</v>
      </c>
      <c r="B392" t="s">
        <v>664</v>
      </c>
      <c r="C392" t="s">
        <v>55</v>
      </c>
      <c r="D392" t="s">
        <v>179</v>
      </c>
      <c r="E392">
        <v>39.979999999999997</v>
      </c>
      <c r="F392">
        <v>2</v>
      </c>
      <c r="G392">
        <v>0</v>
      </c>
      <c r="H392">
        <v>13.5932</v>
      </c>
      <c r="U392">
        <v>13.5932</v>
      </c>
    </row>
    <row r="393" spans="1:21" x14ac:dyDescent="0.35">
      <c r="A393" t="s">
        <v>467</v>
      </c>
      <c r="B393" t="s">
        <v>667</v>
      </c>
      <c r="C393" t="s">
        <v>13</v>
      </c>
      <c r="D393" t="s">
        <v>668</v>
      </c>
      <c r="E393">
        <v>246.38399999999999</v>
      </c>
      <c r="F393">
        <v>2</v>
      </c>
      <c r="G393">
        <v>0.2</v>
      </c>
      <c r="H393">
        <v>27.7182</v>
      </c>
      <c r="U393">
        <v>27.7182</v>
      </c>
    </row>
    <row r="394" spans="1:21" x14ac:dyDescent="0.35">
      <c r="A394" t="s">
        <v>467</v>
      </c>
      <c r="B394" t="s">
        <v>667</v>
      </c>
      <c r="C394" t="s">
        <v>13</v>
      </c>
      <c r="D394" t="s">
        <v>669</v>
      </c>
      <c r="E394">
        <v>1799.97</v>
      </c>
      <c r="F394">
        <v>3</v>
      </c>
      <c r="G394">
        <v>0</v>
      </c>
      <c r="H394">
        <v>701.98829999999998</v>
      </c>
      <c r="U394">
        <v>701.98829999999998</v>
      </c>
    </row>
    <row r="395" spans="1:21" x14ac:dyDescent="0.35">
      <c r="A395" s="1">
        <v>41826</v>
      </c>
      <c r="B395" t="s">
        <v>670</v>
      </c>
      <c r="C395" t="s">
        <v>35</v>
      </c>
      <c r="D395" t="s">
        <v>671</v>
      </c>
      <c r="E395">
        <v>12.462</v>
      </c>
      <c r="F395">
        <v>3</v>
      </c>
      <c r="G395">
        <v>0.8</v>
      </c>
      <c r="H395">
        <v>-20.5623</v>
      </c>
      <c r="U395">
        <v>-20.5623</v>
      </c>
    </row>
    <row r="396" spans="1:21" x14ac:dyDescent="0.35">
      <c r="A396" t="s">
        <v>672</v>
      </c>
      <c r="B396" t="s">
        <v>673</v>
      </c>
      <c r="C396" t="s">
        <v>13</v>
      </c>
      <c r="D396" t="s">
        <v>674</v>
      </c>
      <c r="E396">
        <v>75.792000000000002</v>
      </c>
      <c r="F396">
        <v>3</v>
      </c>
      <c r="G396">
        <v>0.2</v>
      </c>
      <c r="H396">
        <v>25.579799999999999</v>
      </c>
      <c r="U396">
        <v>25.579799999999999</v>
      </c>
    </row>
    <row r="397" spans="1:21" x14ac:dyDescent="0.35">
      <c r="A397" t="s">
        <v>498</v>
      </c>
      <c r="B397" t="s">
        <v>675</v>
      </c>
      <c r="C397" t="s">
        <v>55</v>
      </c>
      <c r="D397" t="s">
        <v>676</v>
      </c>
      <c r="E397">
        <v>49.96</v>
      </c>
      <c r="F397">
        <v>2</v>
      </c>
      <c r="G397">
        <v>0</v>
      </c>
      <c r="H397">
        <v>9.4923999999999999</v>
      </c>
      <c r="U397">
        <v>9.4923999999999999</v>
      </c>
    </row>
    <row r="398" spans="1:21" x14ac:dyDescent="0.35">
      <c r="A398" t="s">
        <v>498</v>
      </c>
      <c r="B398" t="s">
        <v>675</v>
      </c>
      <c r="C398" t="s">
        <v>55</v>
      </c>
      <c r="D398" t="s">
        <v>677</v>
      </c>
      <c r="E398">
        <v>12.96</v>
      </c>
      <c r="F398">
        <v>2</v>
      </c>
      <c r="G398">
        <v>0</v>
      </c>
      <c r="H398">
        <v>6.2207999999999997</v>
      </c>
      <c r="U398">
        <v>6.2207999999999997</v>
      </c>
    </row>
    <row r="399" spans="1:21" x14ac:dyDescent="0.35">
      <c r="A399" t="s">
        <v>370</v>
      </c>
      <c r="B399" t="s">
        <v>34</v>
      </c>
      <c r="C399" t="s">
        <v>35</v>
      </c>
      <c r="D399" t="s">
        <v>678</v>
      </c>
      <c r="E399">
        <v>70.12</v>
      </c>
      <c r="F399">
        <v>4</v>
      </c>
      <c r="G399">
        <v>0</v>
      </c>
      <c r="H399">
        <v>21.036000000000001</v>
      </c>
      <c r="U399">
        <v>21.036000000000001</v>
      </c>
    </row>
    <row r="400" spans="1:21" x14ac:dyDescent="0.35">
      <c r="A400" s="1">
        <v>42591</v>
      </c>
      <c r="B400" t="s">
        <v>679</v>
      </c>
      <c r="C400" t="s">
        <v>35</v>
      </c>
      <c r="D400" t="s">
        <v>680</v>
      </c>
      <c r="E400">
        <v>35.951999999999998</v>
      </c>
      <c r="F400">
        <v>3</v>
      </c>
      <c r="G400">
        <v>0.2</v>
      </c>
      <c r="H400">
        <v>3.5952000000000002</v>
      </c>
      <c r="U400">
        <v>3.5952000000000002</v>
      </c>
    </row>
    <row r="401" spans="1:21" x14ac:dyDescent="0.35">
      <c r="A401" s="1">
        <v>42591</v>
      </c>
      <c r="B401" t="s">
        <v>679</v>
      </c>
      <c r="C401" t="s">
        <v>35</v>
      </c>
      <c r="D401" t="s">
        <v>65</v>
      </c>
      <c r="E401">
        <v>2396.2656000000002</v>
      </c>
      <c r="F401">
        <v>4</v>
      </c>
      <c r="G401">
        <v>0.32</v>
      </c>
      <c r="H401">
        <v>-317.15280000000001</v>
      </c>
      <c r="U401">
        <v>-317.15280000000001</v>
      </c>
    </row>
    <row r="402" spans="1:21" x14ac:dyDescent="0.35">
      <c r="A402" s="1">
        <v>42591</v>
      </c>
      <c r="B402" t="s">
        <v>679</v>
      </c>
      <c r="C402" t="s">
        <v>35</v>
      </c>
      <c r="D402" t="s">
        <v>681</v>
      </c>
      <c r="E402">
        <v>131.136</v>
      </c>
      <c r="F402">
        <v>4</v>
      </c>
      <c r="G402">
        <v>0.2</v>
      </c>
      <c r="H402">
        <v>-32.783999999999999</v>
      </c>
      <c r="U402">
        <v>-32.783999999999999</v>
      </c>
    </row>
    <row r="403" spans="1:21" x14ac:dyDescent="0.35">
      <c r="A403" s="1">
        <v>42591</v>
      </c>
      <c r="B403" t="s">
        <v>679</v>
      </c>
      <c r="C403" t="s">
        <v>35</v>
      </c>
      <c r="D403" t="s">
        <v>682</v>
      </c>
      <c r="E403">
        <v>57.584000000000003</v>
      </c>
      <c r="F403">
        <v>2</v>
      </c>
      <c r="G403">
        <v>0.2</v>
      </c>
      <c r="H403">
        <v>0.7198</v>
      </c>
      <c r="U403">
        <v>0.7198</v>
      </c>
    </row>
    <row r="404" spans="1:21" x14ac:dyDescent="0.35">
      <c r="A404" t="s">
        <v>683</v>
      </c>
      <c r="B404" t="s">
        <v>684</v>
      </c>
      <c r="C404" t="s">
        <v>8</v>
      </c>
      <c r="D404" t="s">
        <v>685</v>
      </c>
      <c r="E404">
        <v>9.5679999999999996</v>
      </c>
      <c r="F404">
        <v>2</v>
      </c>
      <c r="G404">
        <v>0.2</v>
      </c>
      <c r="H404">
        <v>3.4683999999999999</v>
      </c>
      <c r="U404">
        <v>3.4683999999999999</v>
      </c>
    </row>
    <row r="405" spans="1:21" x14ac:dyDescent="0.35">
      <c r="A405" t="s">
        <v>686</v>
      </c>
      <c r="B405" t="s">
        <v>294</v>
      </c>
      <c r="C405" t="s">
        <v>8</v>
      </c>
      <c r="D405" t="s">
        <v>687</v>
      </c>
      <c r="E405">
        <v>39.072000000000003</v>
      </c>
      <c r="F405">
        <v>6</v>
      </c>
      <c r="G405">
        <v>0.2</v>
      </c>
      <c r="H405">
        <v>9.7680000000000007</v>
      </c>
      <c r="U405">
        <v>9.7680000000000007</v>
      </c>
    </row>
    <row r="406" spans="1:21" x14ac:dyDescent="0.35">
      <c r="A406" t="s">
        <v>688</v>
      </c>
      <c r="B406" t="s">
        <v>690</v>
      </c>
      <c r="C406" t="s">
        <v>55</v>
      </c>
      <c r="D406" t="s">
        <v>691</v>
      </c>
      <c r="E406">
        <v>35.909999999999997</v>
      </c>
      <c r="F406">
        <v>3</v>
      </c>
      <c r="G406">
        <v>0</v>
      </c>
      <c r="H406">
        <v>9.6957000000000004</v>
      </c>
      <c r="U406">
        <v>9.6957000000000004</v>
      </c>
    </row>
    <row r="407" spans="1:21" x14ac:dyDescent="0.35">
      <c r="A407" s="1">
        <v>42959</v>
      </c>
      <c r="B407" t="s">
        <v>692</v>
      </c>
      <c r="C407" t="s">
        <v>13</v>
      </c>
      <c r="D407" t="s">
        <v>682</v>
      </c>
      <c r="E407">
        <v>179.95</v>
      </c>
      <c r="F407">
        <v>5</v>
      </c>
      <c r="G407">
        <v>0</v>
      </c>
      <c r="H407">
        <v>37.789499999999997</v>
      </c>
      <c r="U407">
        <v>37.789499999999997</v>
      </c>
    </row>
    <row r="408" spans="1:21" x14ac:dyDescent="0.35">
      <c r="A408" s="1">
        <v>42959</v>
      </c>
      <c r="B408" t="s">
        <v>692</v>
      </c>
      <c r="C408" t="s">
        <v>13</v>
      </c>
      <c r="D408" t="s">
        <v>693</v>
      </c>
      <c r="E408">
        <v>1199.9760000000001</v>
      </c>
      <c r="F408">
        <v>3</v>
      </c>
      <c r="G408">
        <v>0.2</v>
      </c>
      <c r="H408">
        <v>434.99130000000002</v>
      </c>
      <c r="U408">
        <v>434.99130000000002</v>
      </c>
    </row>
    <row r="409" spans="1:21" x14ac:dyDescent="0.35">
      <c r="A409" s="1">
        <v>42959</v>
      </c>
      <c r="B409" t="s">
        <v>692</v>
      </c>
      <c r="C409" t="s">
        <v>13</v>
      </c>
      <c r="D409" t="s">
        <v>694</v>
      </c>
      <c r="E409">
        <v>27.15</v>
      </c>
      <c r="F409">
        <v>5</v>
      </c>
      <c r="G409">
        <v>0</v>
      </c>
      <c r="H409">
        <v>13.3035</v>
      </c>
      <c r="U409">
        <v>13.3035</v>
      </c>
    </row>
    <row r="410" spans="1:21" x14ac:dyDescent="0.35">
      <c r="A410" s="1">
        <v>42959</v>
      </c>
      <c r="B410" t="s">
        <v>692</v>
      </c>
      <c r="C410" t="s">
        <v>13</v>
      </c>
      <c r="D410" t="s">
        <v>695</v>
      </c>
      <c r="E410">
        <v>1004.024</v>
      </c>
      <c r="F410">
        <v>7</v>
      </c>
      <c r="G410">
        <v>0.2</v>
      </c>
      <c r="H410">
        <v>-112.95269999999999</v>
      </c>
      <c r="U410">
        <v>-112.95269999999999</v>
      </c>
    </row>
    <row r="411" spans="1:21" x14ac:dyDescent="0.35">
      <c r="A411" s="1">
        <v>42959</v>
      </c>
      <c r="B411" t="s">
        <v>692</v>
      </c>
      <c r="C411" t="s">
        <v>13</v>
      </c>
      <c r="D411" t="s">
        <v>696</v>
      </c>
      <c r="E411">
        <v>9.68</v>
      </c>
      <c r="F411">
        <v>1</v>
      </c>
      <c r="G411">
        <v>0</v>
      </c>
      <c r="H411">
        <v>4.6463999999999999</v>
      </c>
      <c r="U411">
        <v>4.6463999999999999</v>
      </c>
    </row>
    <row r="412" spans="1:21" x14ac:dyDescent="0.35">
      <c r="A412" s="1">
        <v>42959</v>
      </c>
      <c r="B412" t="s">
        <v>692</v>
      </c>
      <c r="C412" t="s">
        <v>13</v>
      </c>
      <c r="D412" t="s">
        <v>697</v>
      </c>
      <c r="E412">
        <v>28.35</v>
      </c>
      <c r="F412">
        <v>9</v>
      </c>
      <c r="G412">
        <v>0</v>
      </c>
      <c r="H412">
        <v>13.608000000000001</v>
      </c>
      <c r="U412">
        <v>13.608000000000001</v>
      </c>
    </row>
    <row r="413" spans="1:21" x14ac:dyDescent="0.35">
      <c r="A413" s="1">
        <v>42959</v>
      </c>
      <c r="B413" t="s">
        <v>692</v>
      </c>
      <c r="C413" t="s">
        <v>13</v>
      </c>
      <c r="D413" t="s">
        <v>698</v>
      </c>
      <c r="E413">
        <v>55.98</v>
      </c>
      <c r="F413">
        <v>1</v>
      </c>
      <c r="G413">
        <v>0</v>
      </c>
      <c r="H413">
        <v>27.430199999999999</v>
      </c>
      <c r="U413">
        <v>27.430199999999999</v>
      </c>
    </row>
    <row r="414" spans="1:21" x14ac:dyDescent="0.35">
      <c r="A414" s="1">
        <v>42959</v>
      </c>
      <c r="B414" t="s">
        <v>692</v>
      </c>
      <c r="C414" t="s">
        <v>13</v>
      </c>
      <c r="D414" t="s">
        <v>699</v>
      </c>
      <c r="E414">
        <v>1336.829</v>
      </c>
      <c r="F414">
        <v>13</v>
      </c>
      <c r="G414">
        <v>0.15</v>
      </c>
      <c r="H414">
        <v>31.454799999999999</v>
      </c>
      <c r="U414">
        <v>31.454799999999999</v>
      </c>
    </row>
    <row r="415" spans="1:21" x14ac:dyDescent="0.35">
      <c r="A415" s="1">
        <v>42959</v>
      </c>
      <c r="B415" t="s">
        <v>692</v>
      </c>
      <c r="C415" t="s">
        <v>13</v>
      </c>
      <c r="D415" t="s">
        <v>700</v>
      </c>
      <c r="E415">
        <v>113.568</v>
      </c>
      <c r="F415">
        <v>2</v>
      </c>
      <c r="G415">
        <v>0.2</v>
      </c>
      <c r="H415">
        <v>-18.454799999999999</v>
      </c>
      <c r="U415">
        <v>-18.454799999999999</v>
      </c>
    </row>
    <row r="416" spans="1:21" x14ac:dyDescent="0.35">
      <c r="A416" s="1">
        <v>42805</v>
      </c>
      <c r="B416" t="s">
        <v>701</v>
      </c>
      <c r="C416" t="s">
        <v>13</v>
      </c>
      <c r="D416" t="s">
        <v>702</v>
      </c>
      <c r="E416">
        <v>139.86000000000001</v>
      </c>
      <c r="F416">
        <v>7</v>
      </c>
      <c r="G416">
        <v>0</v>
      </c>
      <c r="H416">
        <v>65.734200000000001</v>
      </c>
      <c r="U416">
        <v>65.734200000000001</v>
      </c>
    </row>
    <row r="417" spans="1:21" x14ac:dyDescent="0.35">
      <c r="A417" s="1">
        <v>42805</v>
      </c>
      <c r="B417" t="s">
        <v>701</v>
      </c>
      <c r="C417" t="s">
        <v>13</v>
      </c>
      <c r="D417" t="s">
        <v>523</v>
      </c>
      <c r="E417">
        <v>307.13600000000002</v>
      </c>
      <c r="F417">
        <v>4</v>
      </c>
      <c r="G417">
        <v>0.2</v>
      </c>
      <c r="H417">
        <v>26.874400000000001</v>
      </c>
      <c r="U417">
        <v>26.874400000000001</v>
      </c>
    </row>
    <row r="418" spans="1:21" x14ac:dyDescent="0.35">
      <c r="A418" t="s">
        <v>382</v>
      </c>
      <c r="B418" t="s">
        <v>703</v>
      </c>
      <c r="C418" t="s">
        <v>13</v>
      </c>
      <c r="D418" t="s">
        <v>704</v>
      </c>
      <c r="E418">
        <v>95.92</v>
      </c>
      <c r="F418">
        <v>8</v>
      </c>
      <c r="G418">
        <v>0</v>
      </c>
      <c r="H418">
        <v>25.898399999999999</v>
      </c>
      <c r="U418">
        <v>25.898399999999999</v>
      </c>
    </row>
    <row r="419" spans="1:21" x14ac:dyDescent="0.35">
      <c r="A419" t="s">
        <v>705</v>
      </c>
      <c r="B419" t="s">
        <v>707</v>
      </c>
      <c r="C419" t="s">
        <v>13</v>
      </c>
      <c r="D419" t="s">
        <v>708</v>
      </c>
      <c r="E419">
        <v>383.8</v>
      </c>
      <c r="F419">
        <v>5</v>
      </c>
      <c r="G419">
        <v>0.2</v>
      </c>
      <c r="H419">
        <v>38.380000000000003</v>
      </c>
      <c r="U419">
        <v>38.380000000000003</v>
      </c>
    </row>
    <row r="420" spans="1:21" x14ac:dyDescent="0.35">
      <c r="A420" s="1">
        <v>42897</v>
      </c>
      <c r="B420" t="s">
        <v>612</v>
      </c>
      <c r="C420" t="s">
        <v>8</v>
      </c>
      <c r="D420" t="s">
        <v>709</v>
      </c>
      <c r="E420">
        <v>5.78</v>
      </c>
      <c r="F420">
        <v>1</v>
      </c>
      <c r="G420">
        <v>0</v>
      </c>
      <c r="H420">
        <v>2.8321999999999998</v>
      </c>
      <c r="U420">
        <v>2.8321999999999998</v>
      </c>
    </row>
    <row r="421" spans="1:21" x14ac:dyDescent="0.35">
      <c r="A421" s="1">
        <v>42828</v>
      </c>
      <c r="B421" t="s">
        <v>556</v>
      </c>
      <c r="C421" t="s">
        <v>13</v>
      </c>
      <c r="D421" t="s">
        <v>710</v>
      </c>
      <c r="E421">
        <v>9.32</v>
      </c>
      <c r="F421">
        <v>4</v>
      </c>
      <c r="G421">
        <v>0</v>
      </c>
      <c r="H421">
        <v>2.7027999999999999</v>
      </c>
      <c r="U421">
        <v>2.7027999999999999</v>
      </c>
    </row>
    <row r="422" spans="1:21" x14ac:dyDescent="0.35">
      <c r="A422" s="1">
        <v>42828</v>
      </c>
      <c r="B422" t="s">
        <v>556</v>
      </c>
      <c r="C422" t="s">
        <v>13</v>
      </c>
      <c r="D422" t="s">
        <v>711</v>
      </c>
      <c r="E422">
        <v>15.25</v>
      </c>
      <c r="F422">
        <v>1</v>
      </c>
      <c r="G422">
        <v>0</v>
      </c>
      <c r="H422">
        <v>7.0149999999999997</v>
      </c>
      <c r="U422">
        <v>7.0149999999999997</v>
      </c>
    </row>
    <row r="423" spans="1:21" x14ac:dyDescent="0.35">
      <c r="A423" t="s">
        <v>712</v>
      </c>
      <c r="B423" t="s">
        <v>152</v>
      </c>
      <c r="C423" t="s">
        <v>13</v>
      </c>
      <c r="D423" t="s">
        <v>713</v>
      </c>
      <c r="E423">
        <v>196.75200000000001</v>
      </c>
      <c r="F423">
        <v>6</v>
      </c>
      <c r="G423">
        <v>0.2</v>
      </c>
      <c r="H423">
        <v>56.566200000000002</v>
      </c>
      <c r="U423">
        <v>56.566200000000002</v>
      </c>
    </row>
    <row r="424" spans="1:21" x14ac:dyDescent="0.35">
      <c r="A424" t="s">
        <v>72</v>
      </c>
      <c r="B424" t="s">
        <v>714</v>
      </c>
      <c r="C424" t="s">
        <v>55</v>
      </c>
      <c r="D424" t="s">
        <v>715</v>
      </c>
      <c r="E424">
        <v>56.56</v>
      </c>
      <c r="F424">
        <v>4</v>
      </c>
      <c r="G424">
        <v>0</v>
      </c>
      <c r="H424">
        <v>14.7056</v>
      </c>
      <c r="U424">
        <v>14.7056</v>
      </c>
    </row>
    <row r="425" spans="1:21" x14ac:dyDescent="0.35">
      <c r="A425" t="s">
        <v>72</v>
      </c>
      <c r="B425" t="s">
        <v>714</v>
      </c>
      <c r="C425" t="s">
        <v>55</v>
      </c>
      <c r="D425" t="s">
        <v>716</v>
      </c>
      <c r="E425">
        <v>32.700000000000003</v>
      </c>
      <c r="F425">
        <v>3</v>
      </c>
      <c r="G425">
        <v>0</v>
      </c>
      <c r="H425">
        <v>8.5020000000000007</v>
      </c>
      <c r="U425">
        <v>8.5020000000000007</v>
      </c>
    </row>
    <row r="426" spans="1:21" x14ac:dyDescent="0.35">
      <c r="A426" t="s">
        <v>717</v>
      </c>
      <c r="B426" t="s">
        <v>718</v>
      </c>
      <c r="C426" t="s">
        <v>8</v>
      </c>
      <c r="D426" t="s">
        <v>719</v>
      </c>
      <c r="E426">
        <v>866.4</v>
      </c>
      <c r="F426">
        <v>4</v>
      </c>
      <c r="G426">
        <v>0</v>
      </c>
      <c r="H426">
        <v>225.26400000000001</v>
      </c>
      <c r="U426">
        <v>225.26400000000001</v>
      </c>
    </row>
    <row r="427" spans="1:21" x14ac:dyDescent="0.35">
      <c r="A427" t="s">
        <v>216</v>
      </c>
      <c r="B427" t="s">
        <v>117</v>
      </c>
      <c r="C427" t="s">
        <v>35</v>
      </c>
      <c r="D427" t="s">
        <v>721</v>
      </c>
      <c r="E427">
        <v>28.4</v>
      </c>
      <c r="F427">
        <v>2</v>
      </c>
      <c r="G427">
        <v>0</v>
      </c>
      <c r="H427">
        <v>11.076000000000001</v>
      </c>
      <c r="U427">
        <v>11.076000000000001</v>
      </c>
    </row>
    <row r="428" spans="1:21" x14ac:dyDescent="0.35">
      <c r="A428" t="s">
        <v>216</v>
      </c>
      <c r="B428" t="s">
        <v>117</v>
      </c>
      <c r="C428" t="s">
        <v>35</v>
      </c>
      <c r="D428" t="s">
        <v>722</v>
      </c>
      <c r="E428">
        <v>287.92</v>
      </c>
      <c r="F428">
        <v>8</v>
      </c>
      <c r="G428">
        <v>0</v>
      </c>
      <c r="H428">
        <v>138.20160000000001</v>
      </c>
      <c r="U428">
        <v>138.20160000000001</v>
      </c>
    </row>
    <row r="429" spans="1:21" x14ac:dyDescent="0.35">
      <c r="A429" s="1">
        <v>41982</v>
      </c>
      <c r="B429" t="s">
        <v>723</v>
      </c>
      <c r="C429" t="s">
        <v>55</v>
      </c>
      <c r="D429" t="s">
        <v>724</v>
      </c>
      <c r="E429">
        <v>69.989999999999995</v>
      </c>
      <c r="F429">
        <v>1</v>
      </c>
      <c r="G429">
        <v>0</v>
      </c>
      <c r="H429">
        <v>30.095700000000001</v>
      </c>
      <c r="U429">
        <v>30.095700000000001</v>
      </c>
    </row>
    <row r="430" spans="1:21" x14ac:dyDescent="0.35">
      <c r="A430" s="1">
        <v>42745</v>
      </c>
      <c r="B430" t="s">
        <v>725</v>
      </c>
      <c r="C430" t="s">
        <v>35</v>
      </c>
      <c r="D430" t="s">
        <v>726</v>
      </c>
      <c r="E430">
        <v>6.6719999999999997</v>
      </c>
      <c r="F430">
        <v>6</v>
      </c>
      <c r="G430">
        <v>0.2</v>
      </c>
      <c r="H430">
        <v>0.50039999999999996</v>
      </c>
      <c r="U430">
        <v>0.50039999999999996</v>
      </c>
    </row>
    <row r="431" spans="1:21" x14ac:dyDescent="0.35">
      <c r="A431" t="s">
        <v>727</v>
      </c>
      <c r="B431" t="s">
        <v>729</v>
      </c>
      <c r="C431" t="s">
        <v>8</v>
      </c>
      <c r="D431" t="s">
        <v>730</v>
      </c>
      <c r="E431">
        <v>189.58799999999999</v>
      </c>
      <c r="F431">
        <v>2</v>
      </c>
      <c r="G431">
        <v>0.7</v>
      </c>
      <c r="H431">
        <v>-145.35079999999999</v>
      </c>
      <c r="U431">
        <v>-145.35079999999999</v>
      </c>
    </row>
    <row r="432" spans="1:21" x14ac:dyDescent="0.35">
      <c r="A432" t="s">
        <v>727</v>
      </c>
      <c r="B432" t="s">
        <v>729</v>
      </c>
      <c r="C432" t="s">
        <v>8</v>
      </c>
      <c r="D432" t="s">
        <v>348</v>
      </c>
      <c r="E432">
        <v>408.74400000000003</v>
      </c>
      <c r="F432">
        <v>7</v>
      </c>
      <c r="G432">
        <v>0.2</v>
      </c>
      <c r="H432">
        <v>76.639499999999998</v>
      </c>
      <c r="U432">
        <v>76.639499999999998</v>
      </c>
    </row>
    <row r="433" spans="1:21" x14ac:dyDescent="0.35">
      <c r="A433" t="s">
        <v>727</v>
      </c>
      <c r="B433" t="s">
        <v>729</v>
      </c>
      <c r="C433" t="s">
        <v>8</v>
      </c>
      <c r="D433" t="s">
        <v>348</v>
      </c>
      <c r="E433">
        <v>291.95999999999998</v>
      </c>
      <c r="F433">
        <v>5</v>
      </c>
      <c r="G433">
        <v>0.2</v>
      </c>
      <c r="H433">
        <v>54.7425</v>
      </c>
      <c r="U433">
        <v>54.7425</v>
      </c>
    </row>
    <row r="434" spans="1:21" x14ac:dyDescent="0.35">
      <c r="A434" t="s">
        <v>727</v>
      </c>
      <c r="B434" t="s">
        <v>729</v>
      </c>
      <c r="C434" t="s">
        <v>8</v>
      </c>
      <c r="D434" t="s">
        <v>731</v>
      </c>
      <c r="E434">
        <v>4.7679999999999998</v>
      </c>
      <c r="F434">
        <v>2</v>
      </c>
      <c r="G434">
        <v>0.2</v>
      </c>
      <c r="H434">
        <v>-0.77480000000000004</v>
      </c>
      <c r="U434">
        <v>-0.77480000000000004</v>
      </c>
    </row>
    <row r="435" spans="1:21" x14ac:dyDescent="0.35">
      <c r="A435" s="1">
        <v>42527</v>
      </c>
      <c r="B435" t="s">
        <v>301</v>
      </c>
      <c r="C435" t="s">
        <v>55</v>
      </c>
      <c r="D435" t="s">
        <v>732</v>
      </c>
      <c r="E435">
        <v>714.3</v>
      </c>
      <c r="F435">
        <v>5</v>
      </c>
      <c r="G435">
        <v>0</v>
      </c>
      <c r="H435">
        <v>207.14699999999999</v>
      </c>
      <c r="U435">
        <v>207.14699999999999</v>
      </c>
    </row>
    <row r="436" spans="1:21" x14ac:dyDescent="0.35">
      <c r="A436" t="s">
        <v>733</v>
      </c>
      <c r="B436" t="s">
        <v>734</v>
      </c>
      <c r="C436" t="s">
        <v>8</v>
      </c>
      <c r="D436" t="s">
        <v>735</v>
      </c>
      <c r="E436">
        <v>4.8120000000000003</v>
      </c>
      <c r="F436">
        <v>2</v>
      </c>
      <c r="G436">
        <v>0.7</v>
      </c>
      <c r="H436">
        <v>-3.6892</v>
      </c>
      <c r="U436">
        <v>-3.6892</v>
      </c>
    </row>
    <row r="437" spans="1:21" x14ac:dyDescent="0.35">
      <c r="A437" t="s">
        <v>733</v>
      </c>
      <c r="B437" t="s">
        <v>734</v>
      </c>
      <c r="C437" t="s">
        <v>8</v>
      </c>
      <c r="D437" t="s">
        <v>736</v>
      </c>
      <c r="E437">
        <v>247.8</v>
      </c>
      <c r="F437">
        <v>5</v>
      </c>
      <c r="G437">
        <v>0.2</v>
      </c>
      <c r="H437">
        <v>-18.585000000000001</v>
      </c>
      <c r="U437">
        <v>-18.585000000000001</v>
      </c>
    </row>
    <row r="438" spans="1:21" x14ac:dyDescent="0.35">
      <c r="A438" s="1">
        <v>42710</v>
      </c>
      <c r="B438" t="s">
        <v>738</v>
      </c>
      <c r="C438" t="s">
        <v>35</v>
      </c>
      <c r="D438" t="s">
        <v>739</v>
      </c>
      <c r="E438">
        <v>1007.979</v>
      </c>
      <c r="F438">
        <v>3</v>
      </c>
      <c r="G438">
        <v>0.3</v>
      </c>
      <c r="H438">
        <v>43.199100000000001</v>
      </c>
      <c r="U438">
        <v>43.199100000000001</v>
      </c>
    </row>
    <row r="439" spans="1:21" x14ac:dyDescent="0.35">
      <c r="A439" s="1">
        <v>42710</v>
      </c>
      <c r="B439" t="s">
        <v>738</v>
      </c>
      <c r="C439" t="s">
        <v>35</v>
      </c>
      <c r="D439" t="s">
        <v>698</v>
      </c>
      <c r="E439">
        <v>313.488</v>
      </c>
      <c r="F439">
        <v>7</v>
      </c>
      <c r="G439">
        <v>0.2</v>
      </c>
      <c r="H439">
        <v>113.63939999999999</v>
      </c>
      <c r="U439">
        <v>113.63939999999999</v>
      </c>
    </row>
    <row r="440" spans="1:21" x14ac:dyDescent="0.35">
      <c r="A440" t="s">
        <v>86</v>
      </c>
      <c r="B440" t="s">
        <v>740</v>
      </c>
      <c r="C440" t="s">
        <v>35</v>
      </c>
      <c r="D440" t="s">
        <v>741</v>
      </c>
      <c r="E440">
        <v>31.872</v>
      </c>
      <c r="F440">
        <v>8</v>
      </c>
      <c r="G440">
        <v>0.2</v>
      </c>
      <c r="H440">
        <v>11.553599999999999</v>
      </c>
      <c r="U440">
        <v>11.553599999999999</v>
      </c>
    </row>
    <row r="441" spans="1:21" x14ac:dyDescent="0.35">
      <c r="A441" t="s">
        <v>742</v>
      </c>
      <c r="B441" t="s">
        <v>227</v>
      </c>
      <c r="C441" t="s">
        <v>55</v>
      </c>
      <c r="D441" t="s">
        <v>744</v>
      </c>
      <c r="E441">
        <v>207.846</v>
      </c>
      <c r="F441">
        <v>3</v>
      </c>
      <c r="G441">
        <v>0.1</v>
      </c>
      <c r="H441">
        <v>2.3094000000000001</v>
      </c>
      <c r="U441">
        <v>2.3094000000000001</v>
      </c>
    </row>
    <row r="442" spans="1:21" x14ac:dyDescent="0.35">
      <c r="A442" s="1">
        <v>42499</v>
      </c>
      <c r="B442" t="s">
        <v>39</v>
      </c>
      <c r="C442" t="s">
        <v>35</v>
      </c>
      <c r="D442" t="s">
        <v>745</v>
      </c>
      <c r="E442">
        <v>12.22</v>
      </c>
      <c r="F442">
        <v>1</v>
      </c>
      <c r="G442">
        <v>0</v>
      </c>
      <c r="H442">
        <v>3.6659999999999999</v>
      </c>
      <c r="U442">
        <v>3.6659999999999999</v>
      </c>
    </row>
    <row r="443" spans="1:21" x14ac:dyDescent="0.35">
      <c r="A443" s="1">
        <v>42499</v>
      </c>
      <c r="B443" t="s">
        <v>39</v>
      </c>
      <c r="C443" t="s">
        <v>35</v>
      </c>
      <c r="D443" t="s">
        <v>746</v>
      </c>
      <c r="E443">
        <v>194.94</v>
      </c>
      <c r="F443">
        <v>3</v>
      </c>
      <c r="G443">
        <v>0</v>
      </c>
      <c r="H443">
        <v>23.392800000000001</v>
      </c>
      <c r="U443">
        <v>23.392800000000001</v>
      </c>
    </row>
    <row r="444" spans="1:21" x14ac:dyDescent="0.35">
      <c r="A444" s="1">
        <v>42499</v>
      </c>
      <c r="B444" t="s">
        <v>39</v>
      </c>
      <c r="C444" t="s">
        <v>35</v>
      </c>
      <c r="D444" t="s">
        <v>747</v>
      </c>
      <c r="E444">
        <v>70.95</v>
      </c>
      <c r="F444">
        <v>3</v>
      </c>
      <c r="G444">
        <v>0</v>
      </c>
      <c r="H444">
        <v>20.575500000000002</v>
      </c>
      <c r="U444">
        <v>20.575500000000002</v>
      </c>
    </row>
    <row r="445" spans="1:21" x14ac:dyDescent="0.35">
      <c r="A445" s="1">
        <v>42499</v>
      </c>
      <c r="B445" t="s">
        <v>39</v>
      </c>
      <c r="C445" t="s">
        <v>35</v>
      </c>
      <c r="D445" t="s">
        <v>748</v>
      </c>
      <c r="E445">
        <v>91.36</v>
      </c>
      <c r="F445">
        <v>4</v>
      </c>
      <c r="G445">
        <v>0</v>
      </c>
      <c r="H445">
        <v>42.025599999999997</v>
      </c>
      <c r="U445">
        <v>42.025599999999997</v>
      </c>
    </row>
    <row r="446" spans="1:21" x14ac:dyDescent="0.35">
      <c r="A446" s="1">
        <v>42499</v>
      </c>
      <c r="B446" t="s">
        <v>39</v>
      </c>
      <c r="C446" t="s">
        <v>35</v>
      </c>
      <c r="D446" t="s">
        <v>749</v>
      </c>
      <c r="E446">
        <v>242.94</v>
      </c>
      <c r="F446">
        <v>3</v>
      </c>
      <c r="G446">
        <v>0</v>
      </c>
      <c r="H446">
        <v>29.152799999999999</v>
      </c>
      <c r="U446">
        <v>29.152799999999999</v>
      </c>
    </row>
    <row r="447" spans="1:21" x14ac:dyDescent="0.35">
      <c r="A447" s="1">
        <v>42499</v>
      </c>
      <c r="B447" t="s">
        <v>39</v>
      </c>
      <c r="C447" t="s">
        <v>35</v>
      </c>
      <c r="D447" t="s">
        <v>750</v>
      </c>
      <c r="E447">
        <v>22.05</v>
      </c>
      <c r="F447">
        <v>7</v>
      </c>
      <c r="G447">
        <v>0</v>
      </c>
      <c r="H447">
        <v>10.584</v>
      </c>
      <c r="U447">
        <v>10.584</v>
      </c>
    </row>
    <row r="448" spans="1:21" x14ac:dyDescent="0.35">
      <c r="A448" t="s">
        <v>751</v>
      </c>
      <c r="B448" t="s">
        <v>752</v>
      </c>
      <c r="C448" t="s">
        <v>35</v>
      </c>
      <c r="D448" t="s">
        <v>753</v>
      </c>
      <c r="E448">
        <v>2.91</v>
      </c>
      <c r="F448">
        <v>1</v>
      </c>
      <c r="G448">
        <v>0</v>
      </c>
      <c r="H448">
        <v>1.3676999999999999</v>
      </c>
      <c r="U448">
        <v>1.3676999999999999</v>
      </c>
    </row>
    <row r="449" spans="1:21" x14ac:dyDescent="0.35">
      <c r="A449" s="1">
        <v>42373</v>
      </c>
      <c r="B449" t="s">
        <v>754</v>
      </c>
      <c r="C449" t="s">
        <v>55</v>
      </c>
      <c r="D449" t="s">
        <v>755</v>
      </c>
      <c r="E449">
        <v>59.52</v>
      </c>
      <c r="F449">
        <v>3</v>
      </c>
      <c r="G449">
        <v>0</v>
      </c>
      <c r="H449">
        <v>15.475199999999999</v>
      </c>
      <c r="U449">
        <v>15.475199999999999</v>
      </c>
    </row>
    <row r="450" spans="1:21" x14ac:dyDescent="0.35">
      <c r="A450" s="1">
        <v>42373</v>
      </c>
      <c r="B450" t="s">
        <v>754</v>
      </c>
      <c r="C450" t="s">
        <v>55</v>
      </c>
      <c r="D450" t="s">
        <v>756</v>
      </c>
      <c r="E450">
        <v>161.94</v>
      </c>
      <c r="F450">
        <v>3</v>
      </c>
      <c r="G450">
        <v>0</v>
      </c>
      <c r="H450">
        <v>9.7164000000000001</v>
      </c>
      <c r="U450">
        <v>9.7164000000000001</v>
      </c>
    </row>
    <row r="451" spans="1:21" x14ac:dyDescent="0.35">
      <c r="A451" s="1">
        <v>42373</v>
      </c>
      <c r="B451" t="s">
        <v>754</v>
      </c>
      <c r="C451" t="s">
        <v>55</v>
      </c>
      <c r="D451" t="s">
        <v>757</v>
      </c>
      <c r="E451">
        <v>263.88</v>
      </c>
      <c r="F451">
        <v>6</v>
      </c>
      <c r="G451">
        <v>0</v>
      </c>
      <c r="H451">
        <v>71.247600000000006</v>
      </c>
      <c r="U451">
        <v>71.247600000000006</v>
      </c>
    </row>
    <row r="452" spans="1:21" x14ac:dyDescent="0.35">
      <c r="A452" s="1">
        <v>42373</v>
      </c>
      <c r="B452" t="s">
        <v>754</v>
      </c>
      <c r="C452" t="s">
        <v>55</v>
      </c>
      <c r="D452" t="s">
        <v>758</v>
      </c>
      <c r="E452">
        <v>30.48</v>
      </c>
      <c r="F452">
        <v>3</v>
      </c>
      <c r="G452">
        <v>0</v>
      </c>
      <c r="H452">
        <v>7.9248000000000003</v>
      </c>
      <c r="U452">
        <v>7.9248000000000003</v>
      </c>
    </row>
    <row r="453" spans="1:21" x14ac:dyDescent="0.35">
      <c r="A453" s="1">
        <v>42373</v>
      </c>
      <c r="B453" t="s">
        <v>754</v>
      </c>
      <c r="C453" t="s">
        <v>55</v>
      </c>
      <c r="D453" t="s">
        <v>759</v>
      </c>
      <c r="E453">
        <v>9.84</v>
      </c>
      <c r="F453">
        <v>3</v>
      </c>
      <c r="G453">
        <v>0</v>
      </c>
      <c r="H453">
        <v>2.8536000000000001</v>
      </c>
      <c r="U453">
        <v>2.8536000000000001</v>
      </c>
    </row>
    <row r="454" spans="1:21" x14ac:dyDescent="0.35">
      <c r="A454" s="1">
        <v>42373</v>
      </c>
      <c r="B454" t="s">
        <v>754</v>
      </c>
      <c r="C454" t="s">
        <v>55</v>
      </c>
      <c r="D454" t="s">
        <v>760</v>
      </c>
      <c r="E454">
        <v>35.119999999999997</v>
      </c>
      <c r="F454">
        <v>4</v>
      </c>
      <c r="G454">
        <v>0</v>
      </c>
      <c r="H454">
        <v>9.1311999999999998</v>
      </c>
      <c r="U454">
        <v>9.1311999999999998</v>
      </c>
    </row>
    <row r="455" spans="1:21" x14ac:dyDescent="0.35">
      <c r="A455" t="s">
        <v>761</v>
      </c>
      <c r="B455" t="s">
        <v>763</v>
      </c>
      <c r="C455" t="s">
        <v>55</v>
      </c>
      <c r="D455" t="s">
        <v>25</v>
      </c>
      <c r="E455">
        <v>284.36399999999998</v>
      </c>
      <c r="F455">
        <v>2</v>
      </c>
      <c r="G455">
        <v>0.4</v>
      </c>
      <c r="H455">
        <v>-75.830399999999997</v>
      </c>
      <c r="U455">
        <v>-75.830399999999997</v>
      </c>
    </row>
    <row r="456" spans="1:21" x14ac:dyDescent="0.35">
      <c r="A456" t="s">
        <v>761</v>
      </c>
      <c r="B456" t="s">
        <v>763</v>
      </c>
      <c r="C456" t="s">
        <v>55</v>
      </c>
      <c r="D456" t="s">
        <v>764</v>
      </c>
      <c r="E456">
        <v>665.40800000000002</v>
      </c>
      <c r="F456">
        <v>2</v>
      </c>
      <c r="G456">
        <v>0.2</v>
      </c>
      <c r="H456">
        <v>66.540800000000004</v>
      </c>
      <c r="U456">
        <v>66.540800000000004</v>
      </c>
    </row>
    <row r="457" spans="1:21" x14ac:dyDescent="0.35">
      <c r="A457" t="s">
        <v>49</v>
      </c>
      <c r="B457" t="s">
        <v>725</v>
      </c>
      <c r="C457" t="s">
        <v>35</v>
      </c>
      <c r="D457" t="s">
        <v>765</v>
      </c>
      <c r="E457">
        <v>63.88</v>
      </c>
      <c r="F457">
        <v>4</v>
      </c>
      <c r="G457">
        <v>0</v>
      </c>
      <c r="H457">
        <v>24.9132</v>
      </c>
      <c r="U457">
        <v>24.9132</v>
      </c>
    </row>
    <row r="458" spans="1:21" x14ac:dyDescent="0.35">
      <c r="A458" s="1">
        <v>41975</v>
      </c>
      <c r="B458" t="s">
        <v>767</v>
      </c>
      <c r="C458" t="s">
        <v>13</v>
      </c>
      <c r="D458" t="s">
        <v>768</v>
      </c>
      <c r="E458">
        <v>129.56800000000001</v>
      </c>
      <c r="F458">
        <v>2</v>
      </c>
      <c r="G458">
        <v>0.2</v>
      </c>
      <c r="H458">
        <v>-24.294</v>
      </c>
      <c r="U458">
        <v>-24.294</v>
      </c>
    </row>
    <row r="459" spans="1:21" x14ac:dyDescent="0.35">
      <c r="A459" t="s">
        <v>769</v>
      </c>
      <c r="B459" t="s">
        <v>718</v>
      </c>
      <c r="C459" t="s">
        <v>35</v>
      </c>
      <c r="D459" t="s">
        <v>770</v>
      </c>
      <c r="E459">
        <v>747.55799999999999</v>
      </c>
      <c r="F459">
        <v>3</v>
      </c>
      <c r="G459">
        <v>0.3</v>
      </c>
      <c r="H459">
        <v>-96.114599999999996</v>
      </c>
      <c r="U459">
        <v>-96.114599999999996</v>
      </c>
    </row>
    <row r="460" spans="1:21" x14ac:dyDescent="0.35">
      <c r="A460" t="s">
        <v>769</v>
      </c>
      <c r="B460" t="s">
        <v>718</v>
      </c>
      <c r="C460" t="s">
        <v>35</v>
      </c>
      <c r="D460" t="s">
        <v>314</v>
      </c>
      <c r="E460">
        <v>8.9280000000000008</v>
      </c>
      <c r="F460">
        <v>2</v>
      </c>
      <c r="G460">
        <v>0.2</v>
      </c>
      <c r="H460">
        <v>3.3479999999999999</v>
      </c>
      <c r="U460">
        <v>3.3479999999999999</v>
      </c>
    </row>
    <row r="461" spans="1:21" x14ac:dyDescent="0.35">
      <c r="A461" t="s">
        <v>342</v>
      </c>
      <c r="B461" t="s">
        <v>397</v>
      </c>
      <c r="C461" t="s">
        <v>13</v>
      </c>
      <c r="D461" t="s">
        <v>772</v>
      </c>
      <c r="E461">
        <v>103.92</v>
      </c>
      <c r="F461">
        <v>4</v>
      </c>
      <c r="G461">
        <v>0</v>
      </c>
      <c r="H461">
        <v>36.372</v>
      </c>
      <c r="U461">
        <v>36.372</v>
      </c>
    </row>
    <row r="462" spans="1:21" x14ac:dyDescent="0.35">
      <c r="A462" t="s">
        <v>342</v>
      </c>
      <c r="B462" t="s">
        <v>397</v>
      </c>
      <c r="C462" t="s">
        <v>13</v>
      </c>
      <c r="D462" t="s">
        <v>773</v>
      </c>
      <c r="E462">
        <v>899.91</v>
      </c>
      <c r="F462">
        <v>9</v>
      </c>
      <c r="G462">
        <v>0</v>
      </c>
      <c r="H462">
        <v>377.9622</v>
      </c>
      <c r="U462">
        <v>377.9622</v>
      </c>
    </row>
    <row r="463" spans="1:21" x14ac:dyDescent="0.35">
      <c r="A463" t="s">
        <v>342</v>
      </c>
      <c r="B463" t="s">
        <v>397</v>
      </c>
      <c r="C463" t="s">
        <v>13</v>
      </c>
      <c r="D463" t="s">
        <v>774</v>
      </c>
      <c r="E463">
        <v>51.311999999999998</v>
      </c>
      <c r="F463">
        <v>3</v>
      </c>
      <c r="G463">
        <v>0.2</v>
      </c>
      <c r="H463">
        <v>18.6006</v>
      </c>
      <c r="U463">
        <v>18.6006</v>
      </c>
    </row>
    <row r="464" spans="1:21" x14ac:dyDescent="0.35">
      <c r="A464" t="s">
        <v>775</v>
      </c>
      <c r="B464" t="s">
        <v>776</v>
      </c>
      <c r="C464" t="s">
        <v>13</v>
      </c>
      <c r="D464" t="s">
        <v>619</v>
      </c>
      <c r="E464">
        <v>23.56</v>
      </c>
      <c r="F464">
        <v>5</v>
      </c>
      <c r="G464">
        <v>0.2</v>
      </c>
      <c r="H464">
        <v>7.0679999999999996</v>
      </c>
      <c r="U464">
        <v>7.0679999999999996</v>
      </c>
    </row>
    <row r="465" spans="1:21" x14ac:dyDescent="0.35">
      <c r="A465" t="s">
        <v>775</v>
      </c>
      <c r="B465" t="s">
        <v>776</v>
      </c>
      <c r="C465" t="s">
        <v>13</v>
      </c>
      <c r="D465" t="s">
        <v>777</v>
      </c>
      <c r="E465">
        <v>1272.6300000000001</v>
      </c>
      <c r="F465">
        <v>6</v>
      </c>
      <c r="G465">
        <v>0.5</v>
      </c>
      <c r="H465">
        <v>-814.48320000000001</v>
      </c>
      <c r="U465">
        <v>-814.48320000000001</v>
      </c>
    </row>
    <row r="466" spans="1:21" x14ac:dyDescent="0.35">
      <c r="A466" t="s">
        <v>775</v>
      </c>
      <c r="B466" t="s">
        <v>776</v>
      </c>
      <c r="C466" t="s">
        <v>13</v>
      </c>
      <c r="D466" t="s">
        <v>778</v>
      </c>
      <c r="E466">
        <v>28.484999999999999</v>
      </c>
      <c r="F466">
        <v>5</v>
      </c>
      <c r="G466">
        <v>0.7</v>
      </c>
      <c r="H466">
        <v>-20.888999999999999</v>
      </c>
      <c r="U466">
        <v>-20.888999999999999</v>
      </c>
    </row>
    <row r="467" spans="1:21" x14ac:dyDescent="0.35">
      <c r="A467" t="s">
        <v>775</v>
      </c>
      <c r="B467" t="s">
        <v>776</v>
      </c>
      <c r="C467" t="s">
        <v>13</v>
      </c>
      <c r="D467" t="s">
        <v>779</v>
      </c>
      <c r="E467">
        <v>185.376</v>
      </c>
      <c r="F467">
        <v>2</v>
      </c>
      <c r="G467">
        <v>0.2</v>
      </c>
      <c r="H467">
        <v>-34.758000000000003</v>
      </c>
      <c r="U467">
        <v>-34.758000000000003</v>
      </c>
    </row>
    <row r="468" spans="1:21" x14ac:dyDescent="0.35">
      <c r="A468" t="s">
        <v>775</v>
      </c>
      <c r="B468" t="s">
        <v>776</v>
      </c>
      <c r="C468" t="s">
        <v>13</v>
      </c>
      <c r="D468" t="s">
        <v>780</v>
      </c>
      <c r="E468">
        <v>78.272000000000006</v>
      </c>
      <c r="F468">
        <v>2</v>
      </c>
      <c r="G468">
        <v>0.2</v>
      </c>
      <c r="H468">
        <v>5.8704000000000001</v>
      </c>
      <c r="U468">
        <v>5.8704000000000001</v>
      </c>
    </row>
    <row r="469" spans="1:21" x14ac:dyDescent="0.35">
      <c r="A469" t="s">
        <v>781</v>
      </c>
      <c r="B469" t="s">
        <v>783</v>
      </c>
      <c r="C469" t="s">
        <v>35</v>
      </c>
      <c r="D469" t="s">
        <v>524</v>
      </c>
      <c r="E469">
        <v>254.744</v>
      </c>
      <c r="F469">
        <v>7</v>
      </c>
      <c r="G469">
        <v>0.6</v>
      </c>
      <c r="H469">
        <v>-312.06139999999999</v>
      </c>
      <c r="U469">
        <v>-312.06139999999999</v>
      </c>
    </row>
    <row r="470" spans="1:21" x14ac:dyDescent="0.35">
      <c r="A470" t="s">
        <v>784</v>
      </c>
      <c r="B470" t="s">
        <v>420</v>
      </c>
      <c r="C470" t="s">
        <v>35</v>
      </c>
      <c r="D470" t="s">
        <v>785</v>
      </c>
      <c r="E470">
        <v>205.33279999999999</v>
      </c>
      <c r="F470">
        <v>2</v>
      </c>
      <c r="G470">
        <v>0.32</v>
      </c>
      <c r="H470">
        <v>-36.235199999999999</v>
      </c>
      <c r="U470">
        <v>-36.235199999999999</v>
      </c>
    </row>
    <row r="471" spans="1:21" x14ac:dyDescent="0.35">
      <c r="A471" t="s">
        <v>786</v>
      </c>
      <c r="B471" t="s">
        <v>461</v>
      </c>
      <c r="C471" t="s">
        <v>35</v>
      </c>
      <c r="D471" t="s">
        <v>787</v>
      </c>
      <c r="E471">
        <v>4.7880000000000003</v>
      </c>
      <c r="F471">
        <v>3</v>
      </c>
      <c r="G471">
        <v>0.8</v>
      </c>
      <c r="H471">
        <v>-7.9001999999999999</v>
      </c>
      <c r="U471">
        <v>-7.9001999999999999</v>
      </c>
    </row>
    <row r="472" spans="1:21" x14ac:dyDescent="0.35">
      <c r="A472" t="s">
        <v>595</v>
      </c>
      <c r="B472" t="s">
        <v>788</v>
      </c>
      <c r="C472" t="s">
        <v>55</v>
      </c>
      <c r="D472" t="s">
        <v>789</v>
      </c>
      <c r="E472">
        <v>55.48</v>
      </c>
      <c r="F472">
        <v>1</v>
      </c>
      <c r="G472">
        <v>0</v>
      </c>
      <c r="H472">
        <v>26.630400000000002</v>
      </c>
      <c r="U472">
        <v>26.630400000000002</v>
      </c>
    </row>
    <row r="473" spans="1:21" x14ac:dyDescent="0.35">
      <c r="A473" s="1">
        <v>41893</v>
      </c>
      <c r="B473" t="s">
        <v>790</v>
      </c>
      <c r="C473" t="s">
        <v>13</v>
      </c>
      <c r="D473" t="s">
        <v>791</v>
      </c>
      <c r="E473">
        <v>340.92</v>
      </c>
      <c r="F473">
        <v>3</v>
      </c>
      <c r="G473">
        <v>0</v>
      </c>
      <c r="H473">
        <v>3.4091999999999998</v>
      </c>
      <c r="U473">
        <v>3.4091999999999998</v>
      </c>
    </row>
    <row r="474" spans="1:21" x14ac:dyDescent="0.35">
      <c r="A474" s="1">
        <v>41893</v>
      </c>
      <c r="B474" t="s">
        <v>790</v>
      </c>
      <c r="C474" t="s">
        <v>13</v>
      </c>
      <c r="D474" t="s">
        <v>792</v>
      </c>
      <c r="E474">
        <v>222.666</v>
      </c>
      <c r="F474">
        <v>2</v>
      </c>
      <c r="G474">
        <v>0.15</v>
      </c>
      <c r="H474">
        <v>10.478400000000001</v>
      </c>
      <c r="U474">
        <v>10.478400000000001</v>
      </c>
    </row>
    <row r="475" spans="1:21" x14ac:dyDescent="0.35">
      <c r="A475" s="1">
        <v>41893</v>
      </c>
      <c r="B475" t="s">
        <v>790</v>
      </c>
      <c r="C475" t="s">
        <v>13</v>
      </c>
      <c r="D475" t="s">
        <v>793</v>
      </c>
      <c r="E475">
        <v>703.96799999999996</v>
      </c>
      <c r="F475">
        <v>4</v>
      </c>
      <c r="G475">
        <v>0.2</v>
      </c>
      <c r="H475">
        <v>87.995999999999995</v>
      </c>
      <c r="U475">
        <v>87.995999999999995</v>
      </c>
    </row>
    <row r="476" spans="1:21" x14ac:dyDescent="0.35">
      <c r="A476" s="1">
        <v>41893</v>
      </c>
      <c r="B476" t="s">
        <v>790</v>
      </c>
      <c r="C476" t="s">
        <v>13</v>
      </c>
      <c r="D476" t="s">
        <v>794</v>
      </c>
      <c r="E476">
        <v>92.52</v>
      </c>
      <c r="F476">
        <v>6</v>
      </c>
      <c r="G476">
        <v>0</v>
      </c>
      <c r="H476">
        <v>24.980399999999999</v>
      </c>
      <c r="U476">
        <v>24.980399999999999</v>
      </c>
    </row>
    <row r="477" spans="1:21" x14ac:dyDescent="0.35">
      <c r="A477" s="1">
        <v>41893</v>
      </c>
      <c r="B477" t="s">
        <v>790</v>
      </c>
      <c r="C477" t="s">
        <v>13</v>
      </c>
      <c r="D477" t="s">
        <v>795</v>
      </c>
      <c r="E477">
        <v>62.65</v>
      </c>
      <c r="F477">
        <v>7</v>
      </c>
      <c r="G477">
        <v>0</v>
      </c>
      <c r="H477">
        <v>28.818999999999999</v>
      </c>
      <c r="U477">
        <v>28.818999999999999</v>
      </c>
    </row>
    <row r="478" spans="1:21" x14ac:dyDescent="0.35">
      <c r="A478" s="1">
        <v>41893</v>
      </c>
      <c r="B478" t="s">
        <v>790</v>
      </c>
      <c r="C478" t="s">
        <v>13</v>
      </c>
      <c r="D478" t="s">
        <v>796</v>
      </c>
      <c r="E478">
        <v>94.85</v>
      </c>
      <c r="F478">
        <v>5</v>
      </c>
      <c r="G478">
        <v>0</v>
      </c>
      <c r="H478">
        <v>45.527999999999999</v>
      </c>
      <c r="U478">
        <v>45.527999999999999</v>
      </c>
    </row>
    <row r="479" spans="1:21" x14ac:dyDescent="0.35">
      <c r="A479" s="1">
        <v>42711</v>
      </c>
      <c r="B479" t="s">
        <v>486</v>
      </c>
      <c r="C479" t="s">
        <v>13</v>
      </c>
      <c r="D479" t="s">
        <v>798</v>
      </c>
      <c r="E479">
        <v>95.76</v>
      </c>
      <c r="F479">
        <v>6</v>
      </c>
      <c r="G479">
        <v>0.2</v>
      </c>
      <c r="H479">
        <v>7.1820000000000004</v>
      </c>
      <c r="U479">
        <v>7.1820000000000004</v>
      </c>
    </row>
    <row r="480" spans="1:21" x14ac:dyDescent="0.35">
      <c r="A480" t="s">
        <v>799</v>
      </c>
      <c r="B480" t="s">
        <v>800</v>
      </c>
      <c r="C480" t="s">
        <v>55</v>
      </c>
      <c r="D480" t="s">
        <v>535</v>
      </c>
      <c r="E480">
        <v>40.200000000000003</v>
      </c>
      <c r="F480">
        <v>3</v>
      </c>
      <c r="G480">
        <v>0</v>
      </c>
      <c r="H480">
        <v>19.295999999999999</v>
      </c>
      <c r="U480">
        <v>19.295999999999999</v>
      </c>
    </row>
    <row r="481" spans="1:21" x14ac:dyDescent="0.35">
      <c r="A481" t="s">
        <v>801</v>
      </c>
      <c r="B481" t="s">
        <v>802</v>
      </c>
      <c r="C481" t="s">
        <v>55</v>
      </c>
      <c r="D481" t="s">
        <v>803</v>
      </c>
      <c r="E481">
        <v>14.7</v>
      </c>
      <c r="F481">
        <v>5</v>
      </c>
      <c r="G481">
        <v>0</v>
      </c>
      <c r="H481">
        <v>6.6150000000000002</v>
      </c>
      <c r="U481">
        <v>6.6150000000000002</v>
      </c>
    </row>
    <row r="482" spans="1:21" x14ac:dyDescent="0.35">
      <c r="A482" t="s">
        <v>801</v>
      </c>
      <c r="B482" t="s">
        <v>802</v>
      </c>
      <c r="C482" t="s">
        <v>55</v>
      </c>
      <c r="D482" t="s">
        <v>804</v>
      </c>
      <c r="E482">
        <v>704.25</v>
      </c>
      <c r="F482">
        <v>5</v>
      </c>
      <c r="G482">
        <v>0</v>
      </c>
      <c r="H482">
        <v>84.51</v>
      </c>
      <c r="U482">
        <v>84.51</v>
      </c>
    </row>
    <row r="483" spans="1:21" x14ac:dyDescent="0.35">
      <c r="A483" s="1">
        <v>41800</v>
      </c>
      <c r="B483" t="s">
        <v>805</v>
      </c>
      <c r="C483" t="s">
        <v>13</v>
      </c>
      <c r="D483" t="s">
        <v>806</v>
      </c>
      <c r="E483">
        <v>9.09</v>
      </c>
      <c r="F483">
        <v>3</v>
      </c>
      <c r="G483">
        <v>0</v>
      </c>
      <c r="H483">
        <v>1.9089</v>
      </c>
      <c r="U483">
        <v>1.9089</v>
      </c>
    </row>
    <row r="484" spans="1:21" x14ac:dyDescent="0.35">
      <c r="A484" t="s">
        <v>807</v>
      </c>
      <c r="B484" t="s">
        <v>808</v>
      </c>
      <c r="C484" t="s">
        <v>55</v>
      </c>
      <c r="D484" t="s">
        <v>166</v>
      </c>
      <c r="E484">
        <v>5.96</v>
      </c>
      <c r="F484">
        <v>2</v>
      </c>
      <c r="G484">
        <v>0</v>
      </c>
      <c r="H484">
        <v>1.6688000000000001</v>
      </c>
      <c r="U484">
        <v>1.6688000000000001</v>
      </c>
    </row>
    <row r="485" spans="1:21" x14ac:dyDescent="0.35">
      <c r="A485" t="s">
        <v>807</v>
      </c>
      <c r="B485" t="s">
        <v>808</v>
      </c>
      <c r="C485" t="s">
        <v>55</v>
      </c>
      <c r="D485" t="s">
        <v>809</v>
      </c>
      <c r="E485">
        <v>159.97999999999999</v>
      </c>
      <c r="F485">
        <v>2</v>
      </c>
      <c r="G485">
        <v>0</v>
      </c>
      <c r="H485">
        <v>57.592799999999997</v>
      </c>
      <c r="U485">
        <v>57.592799999999997</v>
      </c>
    </row>
    <row r="486" spans="1:21" x14ac:dyDescent="0.35">
      <c r="A486" s="1">
        <v>43014</v>
      </c>
      <c r="B486" t="s">
        <v>811</v>
      </c>
      <c r="C486" t="s">
        <v>13</v>
      </c>
      <c r="D486" t="s">
        <v>812</v>
      </c>
      <c r="E486">
        <v>29.6</v>
      </c>
      <c r="F486">
        <v>2</v>
      </c>
      <c r="G486">
        <v>0</v>
      </c>
      <c r="H486">
        <v>14.8</v>
      </c>
      <c r="U486">
        <v>14.8</v>
      </c>
    </row>
    <row r="487" spans="1:21" x14ac:dyDescent="0.35">
      <c r="A487" s="1">
        <v>43014</v>
      </c>
      <c r="B487" t="s">
        <v>811</v>
      </c>
      <c r="C487" t="s">
        <v>13</v>
      </c>
      <c r="D487" t="s">
        <v>813</v>
      </c>
      <c r="E487">
        <v>514.16499999999996</v>
      </c>
      <c r="F487">
        <v>5</v>
      </c>
      <c r="G487">
        <v>0.15</v>
      </c>
      <c r="H487">
        <v>-30.245000000000001</v>
      </c>
      <c r="U487">
        <v>-30.245000000000001</v>
      </c>
    </row>
    <row r="488" spans="1:21" x14ac:dyDescent="0.35">
      <c r="A488" s="1">
        <v>43014</v>
      </c>
      <c r="B488" t="s">
        <v>811</v>
      </c>
      <c r="C488" t="s">
        <v>13</v>
      </c>
      <c r="D488" t="s">
        <v>814</v>
      </c>
      <c r="E488">
        <v>279.95999999999998</v>
      </c>
      <c r="F488">
        <v>5</v>
      </c>
      <c r="G488">
        <v>0.2</v>
      </c>
      <c r="H488">
        <v>17.497499999999999</v>
      </c>
      <c r="U488">
        <v>17.497499999999999</v>
      </c>
    </row>
    <row r="489" spans="1:21" x14ac:dyDescent="0.35">
      <c r="A489" t="s">
        <v>815</v>
      </c>
      <c r="B489" t="s">
        <v>817</v>
      </c>
      <c r="C489" t="s">
        <v>35</v>
      </c>
      <c r="D489" t="s">
        <v>818</v>
      </c>
      <c r="E489">
        <v>2735.9520000000002</v>
      </c>
      <c r="F489">
        <v>6</v>
      </c>
      <c r="G489">
        <v>0.2</v>
      </c>
      <c r="H489">
        <v>341.99400000000003</v>
      </c>
      <c r="U489">
        <v>341.99400000000003</v>
      </c>
    </row>
    <row r="490" spans="1:21" x14ac:dyDescent="0.35">
      <c r="A490" s="1">
        <v>41888</v>
      </c>
      <c r="B490" t="s">
        <v>819</v>
      </c>
      <c r="C490" t="s">
        <v>35</v>
      </c>
      <c r="D490" t="s">
        <v>820</v>
      </c>
      <c r="E490">
        <v>7.992</v>
      </c>
      <c r="F490">
        <v>1</v>
      </c>
      <c r="G490">
        <v>0.2</v>
      </c>
      <c r="H490">
        <v>0.59940000000000004</v>
      </c>
      <c r="U490">
        <v>0.59940000000000004</v>
      </c>
    </row>
    <row r="491" spans="1:21" x14ac:dyDescent="0.35">
      <c r="A491" s="1">
        <v>41888</v>
      </c>
      <c r="B491" t="s">
        <v>819</v>
      </c>
      <c r="C491" t="s">
        <v>35</v>
      </c>
      <c r="D491" t="s">
        <v>821</v>
      </c>
      <c r="E491">
        <v>63.984000000000002</v>
      </c>
      <c r="F491">
        <v>2</v>
      </c>
      <c r="G491">
        <v>0.2</v>
      </c>
      <c r="H491">
        <v>10.397399999999999</v>
      </c>
      <c r="U491">
        <v>10.397399999999999</v>
      </c>
    </row>
    <row r="492" spans="1:21" x14ac:dyDescent="0.35">
      <c r="A492" s="1">
        <v>41888</v>
      </c>
      <c r="B492" t="s">
        <v>819</v>
      </c>
      <c r="C492" t="s">
        <v>35</v>
      </c>
      <c r="D492" t="s">
        <v>757</v>
      </c>
      <c r="E492">
        <v>70.367999999999995</v>
      </c>
      <c r="F492">
        <v>2</v>
      </c>
      <c r="G492">
        <v>0.2</v>
      </c>
      <c r="H492">
        <v>6.1571999999999996</v>
      </c>
      <c r="U492">
        <v>6.1571999999999996</v>
      </c>
    </row>
    <row r="493" spans="1:21" x14ac:dyDescent="0.35">
      <c r="A493" t="s">
        <v>329</v>
      </c>
      <c r="B493" t="s">
        <v>822</v>
      </c>
      <c r="C493" t="s">
        <v>55</v>
      </c>
      <c r="D493" t="s">
        <v>823</v>
      </c>
      <c r="E493">
        <v>449.15</v>
      </c>
      <c r="F493">
        <v>5</v>
      </c>
      <c r="G493">
        <v>0</v>
      </c>
      <c r="H493">
        <v>8.9830000000000005</v>
      </c>
      <c r="U493">
        <v>8.9830000000000005</v>
      </c>
    </row>
    <row r="494" spans="1:21" x14ac:dyDescent="0.35">
      <c r="A494" t="s">
        <v>329</v>
      </c>
      <c r="B494" t="s">
        <v>822</v>
      </c>
      <c r="C494" t="s">
        <v>55</v>
      </c>
      <c r="D494" t="s">
        <v>824</v>
      </c>
      <c r="E494">
        <v>11.07</v>
      </c>
      <c r="F494">
        <v>3</v>
      </c>
      <c r="G494">
        <v>0</v>
      </c>
      <c r="H494">
        <v>5.0922000000000001</v>
      </c>
      <c r="U494">
        <v>5.0922000000000001</v>
      </c>
    </row>
    <row r="495" spans="1:21" x14ac:dyDescent="0.35">
      <c r="A495" s="1">
        <v>42618</v>
      </c>
      <c r="B495" t="s">
        <v>826</v>
      </c>
      <c r="C495" t="s">
        <v>13</v>
      </c>
      <c r="D495" t="s">
        <v>827</v>
      </c>
      <c r="E495">
        <v>93.98</v>
      </c>
      <c r="F495">
        <v>2</v>
      </c>
      <c r="G495">
        <v>0</v>
      </c>
      <c r="H495">
        <v>13.1572</v>
      </c>
      <c r="U495">
        <v>13.1572</v>
      </c>
    </row>
    <row r="496" spans="1:21" x14ac:dyDescent="0.35">
      <c r="A496" t="s">
        <v>828</v>
      </c>
      <c r="B496" t="s">
        <v>829</v>
      </c>
      <c r="C496" t="s">
        <v>8</v>
      </c>
      <c r="D496" t="s">
        <v>830</v>
      </c>
      <c r="E496">
        <v>189.88200000000001</v>
      </c>
      <c r="F496">
        <v>3</v>
      </c>
      <c r="G496">
        <v>0.4</v>
      </c>
      <c r="H496">
        <v>-94.941000000000003</v>
      </c>
      <c r="U496">
        <v>-94.941000000000003</v>
      </c>
    </row>
    <row r="497" spans="1:21" x14ac:dyDescent="0.35">
      <c r="A497" t="s">
        <v>79</v>
      </c>
      <c r="B497" t="s">
        <v>831</v>
      </c>
      <c r="C497" t="s">
        <v>8</v>
      </c>
      <c r="D497" t="s">
        <v>832</v>
      </c>
      <c r="E497">
        <v>105.42</v>
      </c>
      <c r="F497">
        <v>2</v>
      </c>
      <c r="G497">
        <v>0</v>
      </c>
      <c r="H497">
        <v>51.655799999999999</v>
      </c>
      <c r="U497">
        <v>51.655799999999999</v>
      </c>
    </row>
    <row r="498" spans="1:21" x14ac:dyDescent="0.35">
      <c r="A498" t="s">
        <v>833</v>
      </c>
      <c r="B498" t="s">
        <v>767</v>
      </c>
      <c r="C498" t="s">
        <v>13</v>
      </c>
      <c r="D498" t="s">
        <v>835</v>
      </c>
      <c r="E498">
        <v>119.616</v>
      </c>
      <c r="F498">
        <v>8</v>
      </c>
      <c r="G498">
        <v>0.2</v>
      </c>
      <c r="H498">
        <v>40.370399999999997</v>
      </c>
      <c r="U498">
        <v>40.370399999999997</v>
      </c>
    </row>
    <row r="499" spans="1:21" x14ac:dyDescent="0.35">
      <c r="A499" t="s">
        <v>833</v>
      </c>
      <c r="B499" t="s">
        <v>767</v>
      </c>
      <c r="C499" t="s">
        <v>13</v>
      </c>
      <c r="D499" t="s">
        <v>836</v>
      </c>
      <c r="E499">
        <v>255.76</v>
      </c>
      <c r="F499">
        <v>4</v>
      </c>
      <c r="G499">
        <v>0</v>
      </c>
      <c r="H499">
        <v>81.843199999999996</v>
      </c>
      <c r="U499">
        <v>81.843199999999996</v>
      </c>
    </row>
    <row r="500" spans="1:21" x14ac:dyDescent="0.35">
      <c r="A500" t="s">
        <v>833</v>
      </c>
      <c r="B500" t="s">
        <v>767</v>
      </c>
      <c r="C500" t="s">
        <v>13</v>
      </c>
      <c r="D500" t="s">
        <v>559</v>
      </c>
      <c r="E500">
        <v>241.56800000000001</v>
      </c>
      <c r="F500">
        <v>2</v>
      </c>
      <c r="G500">
        <v>0.2</v>
      </c>
      <c r="H500">
        <v>18.117599999999999</v>
      </c>
      <c r="U500">
        <v>18.117599999999999</v>
      </c>
    </row>
    <row r="501" spans="1:21" x14ac:dyDescent="0.35">
      <c r="U501">
        <v>22.869</v>
      </c>
    </row>
    <row r="502" spans="1:21" x14ac:dyDescent="0.35">
      <c r="U502">
        <v>-15.08</v>
      </c>
    </row>
    <row r="503" spans="1:21" x14ac:dyDescent="0.35">
      <c r="U503">
        <v>-11.961600000000001</v>
      </c>
    </row>
    <row r="504" spans="1:21" x14ac:dyDescent="0.35">
      <c r="U504">
        <v>50.097999999999999</v>
      </c>
    </row>
    <row r="505" spans="1:21" x14ac:dyDescent="0.35">
      <c r="U505">
        <v>-1.9008</v>
      </c>
    </row>
    <row r="506" spans="1:21" x14ac:dyDescent="0.35">
      <c r="U506">
        <v>11.8871</v>
      </c>
    </row>
    <row r="507" spans="1:21" x14ac:dyDescent="0.35">
      <c r="A507" s="1"/>
      <c r="U507">
        <v>5.3730000000000002</v>
      </c>
    </row>
    <row r="508" spans="1:21" x14ac:dyDescent="0.35">
      <c r="U508">
        <v>0.73980000000000001</v>
      </c>
    </row>
    <row r="509" spans="1:21" x14ac:dyDescent="0.35">
      <c r="U509">
        <v>2.1684000000000001</v>
      </c>
    </row>
    <row r="510" spans="1:21" x14ac:dyDescent="0.35">
      <c r="U510">
        <v>11.685</v>
      </c>
    </row>
    <row r="511" spans="1:21" x14ac:dyDescent="0.35">
      <c r="U511">
        <v>3177.4749999999999</v>
      </c>
    </row>
    <row r="512" spans="1:21" x14ac:dyDescent="0.35">
      <c r="U512">
        <v>40.415999999999997</v>
      </c>
    </row>
    <row r="513" spans="21:21" x14ac:dyDescent="0.35">
      <c r="U513">
        <v>12.172800000000001</v>
      </c>
    </row>
    <row r="514" spans="21:21" x14ac:dyDescent="0.35">
      <c r="U514">
        <v>0.71519999999999995</v>
      </c>
    </row>
    <row r="515" spans="21:21" x14ac:dyDescent="0.35">
      <c r="U515">
        <v>1.7901</v>
      </c>
    </row>
    <row r="516" spans="21:21" x14ac:dyDescent="0.35">
      <c r="U516">
        <v>1.7052</v>
      </c>
    </row>
    <row r="517" spans="21:21" x14ac:dyDescent="0.35">
      <c r="U517">
        <v>1379.9770000000001</v>
      </c>
    </row>
    <row r="518" spans="21:21" x14ac:dyDescent="0.35">
      <c r="U518">
        <v>13.891500000000001</v>
      </c>
    </row>
    <row r="519" spans="21:21" x14ac:dyDescent="0.35">
      <c r="U519">
        <v>5.3819999999999997</v>
      </c>
    </row>
    <row r="520" spans="21:21" x14ac:dyDescent="0.35">
      <c r="U520">
        <v>56.301000000000002</v>
      </c>
    </row>
    <row r="521" spans="21:21" x14ac:dyDescent="0.35">
      <c r="U521">
        <v>5.2877000000000001</v>
      </c>
    </row>
    <row r="522" spans="21:21" x14ac:dyDescent="0.35">
      <c r="U522">
        <v>-25.913599999999999</v>
      </c>
    </row>
    <row r="523" spans="21:21" x14ac:dyDescent="0.35">
      <c r="U523">
        <v>-21.167999999999999</v>
      </c>
    </row>
    <row r="524" spans="21:21" x14ac:dyDescent="0.35">
      <c r="U524">
        <v>21.097999999999999</v>
      </c>
    </row>
    <row r="525" spans="21:21" x14ac:dyDescent="0.35">
      <c r="U525">
        <v>-12.4146</v>
      </c>
    </row>
    <row r="526" spans="21:21" x14ac:dyDescent="0.35">
      <c r="U526">
        <v>27.166599999999999</v>
      </c>
    </row>
    <row r="527" spans="21:21" x14ac:dyDescent="0.35">
      <c r="U527">
        <v>10.433999999999999</v>
      </c>
    </row>
    <row r="528" spans="21:21" x14ac:dyDescent="0.35">
      <c r="U528">
        <v>42.747</v>
      </c>
    </row>
    <row r="529" spans="1:21" x14ac:dyDescent="0.35">
      <c r="U529">
        <v>5.1407999999999996</v>
      </c>
    </row>
    <row r="530" spans="1:21" x14ac:dyDescent="0.35">
      <c r="A530" s="1"/>
      <c r="U530">
        <v>-7.2671999999999999</v>
      </c>
    </row>
    <row r="531" spans="1:21" x14ac:dyDescent="0.35">
      <c r="A531" s="1"/>
      <c r="U531">
        <v>-149.9058</v>
      </c>
    </row>
    <row r="532" spans="1:21" x14ac:dyDescent="0.35">
      <c r="A532" s="1"/>
      <c r="U532">
        <v>19.692</v>
      </c>
    </row>
    <row r="533" spans="1:21" x14ac:dyDescent="0.35">
      <c r="A533" s="1"/>
      <c r="U533">
        <v>11.92</v>
      </c>
    </row>
    <row r="534" spans="1:21" x14ac:dyDescent="0.35">
      <c r="A534" s="1"/>
      <c r="U534">
        <v>2.3969999999999998</v>
      </c>
    </row>
    <row r="535" spans="1:21" x14ac:dyDescent="0.35">
      <c r="U535">
        <v>274.38600000000002</v>
      </c>
    </row>
    <row r="536" spans="1:21" x14ac:dyDescent="0.35">
      <c r="U536">
        <v>11.375</v>
      </c>
    </row>
    <row r="537" spans="1:21" x14ac:dyDescent="0.35">
      <c r="A537" s="1"/>
      <c r="U537">
        <v>1.4672000000000001</v>
      </c>
    </row>
    <row r="538" spans="1:21" x14ac:dyDescent="0.35">
      <c r="A538" s="1"/>
      <c r="U538">
        <v>-68.185599999999994</v>
      </c>
    </row>
    <row r="539" spans="1:21" x14ac:dyDescent="0.35">
      <c r="A539" s="1"/>
      <c r="U539">
        <v>3.36</v>
      </c>
    </row>
    <row r="540" spans="1:21" x14ac:dyDescent="0.35">
      <c r="A540" s="1"/>
      <c r="U540">
        <v>41.293799999999997</v>
      </c>
    </row>
    <row r="541" spans="1:21" x14ac:dyDescent="0.35">
      <c r="A541" s="1"/>
      <c r="U541">
        <v>70.98</v>
      </c>
    </row>
    <row r="542" spans="1:21" x14ac:dyDescent="0.35">
      <c r="A542" s="1"/>
      <c r="U542">
        <v>206.316</v>
      </c>
    </row>
    <row r="543" spans="1:21" x14ac:dyDescent="0.35">
      <c r="U543">
        <v>38.086399999999998</v>
      </c>
    </row>
    <row r="544" spans="1:21" x14ac:dyDescent="0.35">
      <c r="U544">
        <v>-145.52459999999999</v>
      </c>
    </row>
    <row r="545" spans="1:21" x14ac:dyDescent="0.35">
      <c r="A545" s="1"/>
      <c r="U545">
        <v>7.2640000000000002</v>
      </c>
    </row>
    <row r="546" spans="1:21" x14ac:dyDescent="0.35">
      <c r="A546" s="1"/>
      <c r="U546">
        <v>6.2995000000000001</v>
      </c>
    </row>
    <row r="547" spans="1:21" x14ac:dyDescent="0.35">
      <c r="A547" s="1"/>
      <c r="U547">
        <v>-84.2928</v>
      </c>
    </row>
    <row r="548" spans="1:21" x14ac:dyDescent="0.35">
      <c r="U548">
        <v>13.932</v>
      </c>
    </row>
    <row r="549" spans="1:21" x14ac:dyDescent="0.35">
      <c r="U549">
        <v>6.4127999999999998</v>
      </c>
    </row>
    <row r="550" spans="1:21" x14ac:dyDescent="0.35">
      <c r="U550">
        <v>15.641999999999999</v>
      </c>
    </row>
    <row r="551" spans="1:21" x14ac:dyDescent="0.35">
      <c r="U551">
        <v>-17.045999999999999</v>
      </c>
    </row>
    <row r="552" spans="1:21" x14ac:dyDescent="0.35">
      <c r="U552">
        <v>-1.744</v>
      </c>
    </row>
    <row r="553" spans="1:21" x14ac:dyDescent="0.35">
      <c r="U553">
        <v>0</v>
      </c>
    </row>
    <row r="554" spans="1:21" x14ac:dyDescent="0.35">
      <c r="A554" s="1"/>
      <c r="U554">
        <v>6.0381999999999998</v>
      </c>
    </row>
    <row r="555" spans="1:21" x14ac:dyDescent="0.35">
      <c r="U555">
        <v>2.5707</v>
      </c>
    </row>
    <row r="556" spans="1:21" x14ac:dyDescent="0.35">
      <c r="U556">
        <v>310.98719999999997</v>
      </c>
    </row>
    <row r="557" spans="1:21" x14ac:dyDescent="0.35">
      <c r="A557" s="1"/>
      <c r="U557">
        <v>3.4047999999999998</v>
      </c>
    </row>
    <row r="558" spans="1:21" x14ac:dyDescent="0.35">
      <c r="A558" s="1"/>
      <c r="U558">
        <v>9.9359999999999999</v>
      </c>
    </row>
    <row r="559" spans="1:21" x14ac:dyDescent="0.35">
      <c r="A559" s="1"/>
      <c r="U559">
        <v>-217.048</v>
      </c>
    </row>
    <row r="560" spans="1:21" x14ac:dyDescent="0.35">
      <c r="A560" s="1"/>
      <c r="U560">
        <v>15.552</v>
      </c>
    </row>
    <row r="561" spans="1:21" x14ac:dyDescent="0.35">
      <c r="U561">
        <v>16.614000000000001</v>
      </c>
    </row>
    <row r="562" spans="1:21" x14ac:dyDescent="0.35">
      <c r="U562">
        <v>27.318200000000001</v>
      </c>
    </row>
    <row r="563" spans="1:21" x14ac:dyDescent="0.35">
      <c r="U563">
        <v>1.3</v>
      </c>
    </row>
    <row r="564" spans="1:21" x14ac:dyDescent="0.35">
      <c r="U564">
        <v>3.7743000000000002</v>
      </c>
    </row>
    <row r="565" spans="1:21" x14ac:dyDescent="0.35">
      <c r="A565" s="1"/>
      <c r="U565">
        <v>0</v>
      </c>
    </row>
    <row r="566" spans="1:21" x14ac:dyDescent="0.35">
      <c r="A566" s="1"/>
      <c r="U566">
        <v>1.2005999999999999</v>
      </c>
    </row>
    <row r="567" spans="1:21" x14ac:dyDescent="0.35">
      <c r="A567" s="1"/>
      <c r="U567">
        <v>46.796999999999997</v>
      </c>
    </row>
    <row r="568" spans="1:21" x14ac:dyDescent="0.35">
      <c r="A568" s="1"/>
      <c r="U568">
        <v>45.001600000000003</v>
      </c>
    </row>
    <row r="569" spans="1:21" x14ac:dyDescent="0.35">
      <c r="A569" s="1"/>
      <c r="U569">
        <v>27.3672</v>
      </c>
    </row>
    <row r="570" spans="1:21" x14ac:dyDescent="0.35">
      <c r="A570" s="1"/>
      <c r="U570">
        <v>9.3312000000000008</v>
      </c>
    </row>
    <row r="571" spans="1:21" x14ac:dyDescent="0.35">
      <c r="A571" s="1"/>
      <c r="U571">
        <v>0</v>
      </c>
    </row>
    <row r="572" spans="1:21" x14ac:dyDescent="0.35">
      <c r="U572">
        <v>34.776000000000003</v>
      </c>
    </row>
    <row r="573" spans="1:21" x14ac:dyDescent="0.35">
      <c r="U573">
        <v>6.4215999999999998</v>
      </c>
    </row>
    <row r="574" spans="1:21" x14ac:dyDescent="0.35">
      <c r="U574">
        <v>11.226599999999999</v>
      </c>
    </row>
    <row r="575" spans="1:21" x14ac:dyDescent="0.35">
      <c r="U575">
        <v>4.0095000000000001</v>
      </c>
    </row>
    <row r="576" spans="1:21" x14ac:dyDescent="0.35">
      <c r="A576" s="1"/>
      <c r="U576">
        <v>2.3814000000000002</v>
      </c>
    </row>
    <row r="577" spans="1:21" x14ac:dyDescent="0.35">
      <c r="U577">
        <v>78.752799999999993</v>
      </c>
    </row>
    <row r="578" spans="1:21" x14ac:dyDescent="0.35">
      <c r="U578">
        <v>9.7607999999999997</v>
      </c>
    </row>
    <row r="579" spans="1:21" x14ac:dyDescent="0.35">
      <c r="U579">
        <v>2.19</v>
      </c>
    </row>
    <row r="580" spans="1:21" x14ac:dyDescent="0.35">
      <c r="U580">
        <v>8.7140000000000004</v>
      </c>
    </row>
    <row r="581" spans="1:21" x14ac:dyDescent="0.35">
      <c r="U581">
        <v>-5.7148000000000003</v>
      </c>
    </row>
    <row r="582" spans="1:21" x14ac:dyDescent="0.35">
      <c r="A582" s="1"/>
      <c r="U582">
        <v>1.5456000000000001</v>
      </c>
    </row>
    <row r="583" spans="1:21" x14ac:dyDescent="0.35">
      <c r="A583" s="1"/>
      <c r="U583">
        <v>52.917299999999997</v>
      </c>
    </row>
    <row r="584" spans="1:21" x14ac:dyDescent="0.35">
      <c r="A584" s="1"/>
      <c r="U584">
        <v>9.2385999999999999</v>
      </c>
    </row>
    <row r="585" spans="1:21" x14ac:dyDescent="0.35">
      <c r="A585" s="1"/>
      <c r="U585">
        <v>3.5045999999999999</v>
      </c>
    </row>
    <row r="586" spans="1:21" x14ac:dyDescent="0.35">
      <c r="A586" s="1"/>
      <c r="U586">
        <v>-4.7481</v>
      </c>
    </row>
    <row r="587" spans="1:21" x14ac:dyDescent="0.35">
      <c r="A587" s="1"/>
      <c r="U587">
        <v>30.477599999999999</v>
      </c>
    </row>
    <row r="588" spans="1:21" x14ac:dyDescent="0.35">
      <c r="A588" s="1"/>
      <c r="U588">
        <v>4.9686000000000003</v>
      </c>
    </row>
    <row r="589" spans="1:21" x14ac:dyDescent="0.35">
      <c r="A589" s="1"/>
      <c r="U589">
        <v>144.51570000000001</v>
      </c>
    </row>
    <row r="590" spans="1:21" x14ac:dyDescent="0.35">
      <c r="U590">
        <v>-20.136199999999999</v>
      </c>
    </row>
    <row r="591" spans="1:21" x14ac:dyDescent="0.35">
      <c r="U591">
        <v>7.2576000000000001</v>
      </c>
    </row>
    <row r="592" spans="1:21" x14ac:dyDescent="0.35">
      <c r="U592">
        <v>-12.896100000000001</v>
      </c>
    </row>
    <row r="593" spans="1:21" x14ac:dyDescent="0.35">
      <c r="U593">
        <v>3.6288</v>
      </c>
    </row>
    <row r="594" spans="1:21" x14ac:dyDescent="0.35">
      <c r="A594" s="1"/>
      <c r="U594">
        <v>1.1679999999999999</v>
      </c>
    </row>
    <row r="595" spans="1:21" x14ac:dyDescent="0.35">
      <c r="A595" s="1"/>
      <c r="U595">
        <v>9.75</v>
      </c>
    </row>
    <row r="596" spans="1:21" x14ac:dyDescent="0.35">
      <c r="A596" s="1"/>
      <c r="U596">
        <v>22.0748</v>
      </c>
    </row>
    <row r="597" spans="1:21" x14ac:dyDescent="0.35">
      <c r="A597" s="1"/>
      <c r="U597">
        <v>434.99130000000002</v>
      </c>
    </row>
    <row r="598" spans="1:21" x14ac:dyDescent="0.35">
      <c r="A598" s="1"/>
      <c r="U598">
        <v>55.744999999999997</v>
      </c>
    </row>
    <row r="599" spans="1:21" x14ac:dyDescent="0.35">
      <c r="A599" s="1"/>
      <c r="U599">
        <v>91.772800000000004</v>
      </c>
    </row>
    <row r="600" spans="1:21" x14ac:dyDescent="0.35">
      <c r="U600">
        <v>1.0178</v>
      </c>
    </row>
    <row r="601" spans="1:21" x14ac:dyDescent="0.35">
      <c r="U601">
        <v>-28.796399999999998</v>
      </c>
    </row>
    <row r="602" spans="1:21" x14ac:dyDescent="0.35">
      <c r="U602">
        <v>-115.3544</v>
      </c>
    </row>
    <row r="603" spans="1:21" x14ac:dyDescent="0.35">
      <c r="U603">
        <v>0.73</v>
      </c>
    </row>
    <row r="604" spans="1:21" x14ac:dyDescent="0.35">
      <c r="U604">
        <v>17.847000000000001</v>
      </c>
    </row>
    <row r="605" spans="1:21" x14ac:dyDescent="0.35">
      <c r="U605">
        <v>5.1407999999999996</v>
      </c>
    </row>
    <row r="606" spans="1:21" x14ac:dyDescent="0.35">
      <c r="U606">
        <v>-5.5338000000000003</v>
      </c>
    </row>
    <row r="607" spans="1:21" x14ac:dyDescent="0.35">
      <c r="U607">
        <v>-31.671199999999999</v>
      </c>
    </row>
    <row r="608" spans="1:21" x14ac:dyDescent="0.35">
      <c r="U608">
        <v>47.815199999999997</v>
      </c>
    </row>
    <row r="609" spans="1:21" x14ac:dyDescent="0.35">
      <c r="U609">
        <v>-2.6255999999999999</v>
      </c>
    </row>
    <row r="610" spans="1:21" x14ac:dyDescent="0.35">
      <c r="U610">
        <v>2.3814000000000002</v>
      </c>
    </row>
    <row r="611" spans="1:21" x14ac:dyDescent="0.35">
      <c r="U611">
        <v>-10.117800000000001</v>
      </c>
    </row>
    <row r="612" spans="1:21" x14ac:dyDescent="0.35">
      <c r="U612">
        <v>41.577300000000001</v>
      </c>
    </row>
    <row r="613" spans="1:21" x14ac:dyDescent="0.35">
      <c r="U613">
        <v>5.6955999999999998</v>
      </c>
    </row>
    <row r="614" spans="1:21" x14ac:dyDescent="0.35">
      <c r="A614" s="1"/>
      <c r="U614">
        <v>2.64</v>
      </c>
    </row>
    <row r="615" spans="1:21" x14ac:dyDescent="0.35">
      <c r="A615" s="1"/>
      <c r="U615">
        <v>-157.9383</v>
      </c>
    </row>
    <row r="616" spans="1:21" x14ac:dyDescent="0.35">
      <c r="U616">
        <v>15.992000000000001</v>
      </c>
    </row>
    <row r="617" spans="1:21" x14ac:dyDescent="0.35">
      <c r="U617">
        <v>-2.7968000000000002</v>
      </c>
    </row>
    <row r="618" spans="1:21" x14ac:dyDescent="0.35">
      <c r="U618">
        <v>15.7872</v>
      </c>
    </row>
    <row r="619" spans="1:21" x14ac:dyDescent="0.35">
      <c r="U619">
        <v>3.0813999999999999</v>
      </c>
    </row>
    <row r="620" spans="1:21" x14ac:dyDescent="0.35">
      <c r="U620">
        <v>33.57</v>
      </c>
    </row>
    <row r="621" spans="1:21" x14ac:dyDescent="0.35">
      <c r="U621">
        <v>10.9939</v>
      </c>
    </row>
    <row r="622" spans="1:21" x14ac:dyDescent="0.35">
      <c r="U622">
        <v>27.286200000000001</v>
      </c>
    </row>
    <row r="623" spans="1:21" x14ac:dyDescent="0.35">
      <c r="U623">
        <v>-14.773</v>
      </c>
    </row>
    <row r="624" spans="1:21" x14ac:dyDescent="0.35">
      <c r="U624">
        <v>87.568399999999997</v>
      </c>
    </row>
    <row r="625" spans="1:21" x14ac:dyDescent="0.35">
      <c r="U625">
        <v>178.90100000000001</v>
      </c>
    </row>
    <row r="626" spans="1:21" x14ac:dyDescent="0.35">
      <c r="U626">
        <v>130.87</v>
      </c>
    </row>
    <row r="627" spans="1:21" x14ac:dyDescent="0.35">
      <c r="U627">
        <v>46.927799999999998</v>
      </c>
    </row>
    <row r="628" spans="1:21" x14ac:dyDescent="0.35">
      <c r="U628">
        <v>12.090400000000001</v>
      </c>
    </row>
    <row r="629" spans="1:21" x14ac:dyDescent="0.35">
      <c r="U629">
        <v>28.176400000000001</v>
      </c>
    </row>
    <row r="630" spans="1:21" x14ac:dyDescent="0.35">
      <c r="U630">
        <v>5.1435000000000004</v>
      </c>
    </row>
    <row r="631" spans="1:21" x14ac:dyDescent="0.35">
      <c r="U631">
        <v>6.0857999999999999</v>
      </c>
    </row>
    <row r="632" spans="1:21" x14ac:dyDescent="0.35">
      <c r="A632" s="1"/>
      <c r="U632">
        <v>-51.719099999999997</v>
      </c>
    </row>
    <row r="633" spans="1:21" x14ac:dyDescent="0.35">
      <c r="A633" s="1"/>
      <c r="U633">
        <v>29.95</v>
      </c>
    </row>
    <row r="634" spans="1:21" x14ac:dyDescent="0.35">
      <c r="A634" s="1"/>
      <c r="U634">
        <v>30.076799999999999</v>
      </c>
    </row>
    <row r="635" spans="1:21" x14ac:dyDescent="0.35">
      <c r="U635">
        <v>2.4584999999999999</v>
      </c>
    </row>
    <row r="636" spans="1:21" x14ac:dyDescent="0.35">
      <c r="U636">
        <v>85.529700000000005</v>
      </c>
    </row>
    <row r="637" spans="1:21" x14ac:dyDescent="0.35">
      <c r="A637" s="1"/>
      <c r="U637">
        <v>43.223399999999998</v>
      </c>
    </row>
    <row r="638" spans="1:21" x14ac:dyDescent="0.35">
      <c r="U638">
        <v>-13.8468</v>
      </c>
    </row>
    <row r="639" spans="1:21" x14ac:dyDescent="0.35">
      <c r="U639">
        <v>12.232799999999999</v>
      </c>
    </row>
    <row r="640" spans="1:21" x14ac:dyDescent="0.35">
      <c r="U640">
        <v>272.79199999999997</v>
      </c>
    </row>
    <row r="641" spans="1:21" x14ac:dyDescent="0.35">
      <c r="U641">
        <v>5.0128000000000004</v>
      </c>
    </row>
    <row r="642" spans="1:21" x14ac:dyDescent="0.35">
      <c r="U642">
        <v>6.0288000000000004</v>
      </c>
    </row>
    <row r="643" spans="1:21" x14ac:dyDescent="0.35">
      <c r="U643">
        <v>85.903999999999996</v>
      </c>
    </row>
    <row r="644" spans="1:21" x14ac:dyDescent="0.35">
      <c r="U644">
        <v>12.6</v>
      </c>
    </row>
    <row r="645" spans="1:21" x14ac:dyDescent="0.35">
      <c r="A645" s="1"/>
      <c r="U645">
        <v>54.333199999999998</v>
      </c>
    </row>
    <row r="646" spans="1:21" x14ac:dyDescent="0.35">
      <c r="U646">
        <v>3.1751999999999998</v>
      </c>
    </row>
    <row r="647" spans="1:21" x14ac:dyDescent="0.35">
      <c r="U647">
        <v>56.511000000000003</v>
      </c>
    </row>
    <row r="648" spans="1:21" x14ac:dyDescent="0.35">
      <c r="A648" s="1"/>
      <c r="U648">
        <v>9.8625000000000007</v>
      </c>
    </row>
    <row r="649" spans="1:21" x14ac:dyDescent="0.35">
      <c r="A649" s="1"/>
      <c r="U649">
        <v>3.0144000000000002</v>
      </c>
    </row>
    <row r="650" spans="1:21" x14ac:dyDescent="0.35">
      <c r="A650" s="1"/>
      <c r="U650">
        <v>6.0679999999999996</v>
      </c>
    </row>
    <row r="651" spans="1:21" x14ac:dyDescent="0.35">
      <c r="A651" s="1"/>
      <c r="U651">
        <v>22.6782</v>
      </c>
    </row>
    <row r="652" spans="1:21" x14ac:dyDescent="0.35">
      <c r="A652" s="1"/>
      <c r="U652">
        <v>31.6</v>
      </c>
    </row>
    <row r="653" spans="1:21" x14ac:dyDescent="0.35">
      <c r="U653">
        <v>178.31800000000001</v>
      </c>
    </row>
    <row r="654" spans="1:21" x14ac:dyDescent="0.35">
      <c r="U654">
        <v>45.9754</v>
      </c>
    </row>
    <row r="655" spans="1:21" x14ac:dyDescent="0.35">
      <c r="U655">
        <v>10.311999999999999</v>
      </c>
    </row>
    <row r="656" spans="1:21" x14ac:dyDescent="0.35">
      <c r="U656">
        <v>8.5164000000000009</v>
      </c>
    </row>
    <row r="657" spans="1:21" x14ac:dyDescent="0.35">
      <c r="U657">
        <v>-2.6543999999999999</v>
      </c>
    </row>
    <row r="658" spans="1:21" x14ac:dyDescent="0.35">
      <c r="U658">
        <v>45.322200000000002</v>
      </c>
    </row>
    <row r="659" spans="1:21" x14ac:dyDescent="0.35">
      <c r="U659">
        <v>-50.097999999999999</v>
      </c>
    </row>
    <row r="660" spans="1:21" x14ac:dyDescent="0.35">
      <c r="U660">
        <v>-3.4620000000000002</v>
      </c>
    </row>
    <row r="661" spans="1:21" x14ac:dyDescent="0.35">
      <c r="U661">
        <v>124.929</v>
      </c>
    </row>
    <row r="662" spans="1:21" x14ac:dyDescent="0.35">
      <c r="U662">
        <v>-135.76499999999999</v>
      </c>
    </row>
    <row r="663" spans="1:21" x14ac:dyDescent="0.35">
      <c r="U663">
        <v>-118.12949999999999</v>
      </c>
    </row>
    <row r="664" spans="1:21" x14ac:dyDescent="0.35">
      <c r="U664">
        <v>-4.2222</v>
      </c>
    </row>
    <row r="665" spans="1:21" x14ac:dyDescent="0.35">
      <c r="U665">
        <v>18.398</v>
      </c>
    </row>
    <row r="666" spans="1:21" x14ac:dyDescent="0.35">
      <c r="A666" s="1"/>
      <c r="U666">
        <v>5.2625999999999999</v>
      </c>
    </row>
    <row r="667" spans="1:21" x14ac:dyDescent="0.35">
      <c r="A667" s="1"/>
      <c r="U667">
        <v>2.0790000000000002</v>
      </c>
    </row>
    <row r="668" spans="1:21" x14ac:dyDescent="0.35">
      <c r="A668" s="1"/>
      <c r="U668">
        <v>28.706399999999999</v>
      </c>
    </row>
    <row r="669" spans="1:21" x14ac:dyDescent="0.35">
      <c r="A669" s="1"/>
      <c r="U669">
        <v>28.618200000000002</v>
      </c>
    </row>
    <row r="670" spans="1:21" x14ac:dyDescent="0.35">
      <c r="U670">
        <v>8.7285000000000004</v>
      </c>
    </row>
    <row r="671" spans="1:21" x14ac:dyDescent="0.35">
      <c r="A671" s="1"/>
      <c r="U671">
        <v>-14.3856</v>
      </c>
    </row>
    <row r="672" spans="1:21" x14ac:dyDescent="0.35">
      <c r="A672" s="1"/>
      <c r="U672">
        <v>-71.890500000000003</v>
      </c>
    </row>
    <row r="673" spans="1:21" x14ac:dyDescent="0.35">
      <c r="A673" s="1"/>
      <c r="U673">
        <v>11.36</v>
      </c>
    </row>
    <row r="674" spans="1:21" x14ac:dyDescent="0.35">
      <c r="U674">
        <v>1.7115</v>
      </c>
    </row>
    <row r="675" spans="1:21" x14ac:dyDescent="0.35">
      <c r="A675" s="1"/>
      <c r="U675">
        <v>16.588799999999999</v>
      </c>
    </row>
    <row r="676" spans="1:21" x14ac:dyDescent="0.35">
      <c r="A676" s="1"/>
      <c r="U676">
        <v>17.504999999999999</v>
      </c>
    </row>
    <row r="677" spans="1:21" x14ac:dyDescent="0.35">
      <c r="A677" s="1"/>
      <c r="U677">
        <v>40.749899999999997</v>
      </c>
    </row>
    <row r="678" spans="1:21" x14ac:dyDescent="0.35">
      <c r="U678">
        <v>-7.3920000000000003</v>
      </c>
    </row>
    <row r="679" spans="1:21" x14ac:dyDescent="0.35">
      <c r="U679">
        <v>4.5201000000000002</v>
      </c>
    </row>
    <row r="680" spans="1:21" x14ac:dyDescent="0.35">
      <c r="U680">
        <v>-41.262</v>
      </c>
    </row>
    <row r="681" spans="1:21" x14ac:dyDescent="0.35">
      <c r="U681">
        <v>-320.23950000000002</v>
      </c>
    </row>
    <row r="682" spans="1:21" x14ac:dyDescent="0.35">
      <c r="U682">
        <v>4.6643999999999997</v>
      </c>
    </row>
    <row r="683" spans="1:21" x14ac:dyDescent="0.35">
      <c r="U683">
        <v>2.5983999999999998</v>
      </c>
    </row>
    <row r="684" spans="1:21" x14ac:dyDescent="0.35">
      <c r="U684">
        <v>18.521999999999998</v>
      </c>
    </row>
    <row r="685" spans="1:21" x14ac:dyDescent="0.35">
      <c r="A685" s="1"/>
      <c r="U685">
        <v>-3839.9904000000001</v>
      </c>
    </row>
    <row r="686" spans="1:21" x14ac:dyDescent="0.35">
      <c r="A686" s="1"/>
      <c r="U686">
        <v>14.651</v>
      </c>
    </row>
    <row r="687" spans="1:21" x14ac:dyDescent="0.35">
      <c r="A687" s="1"/>
      <c r="U687">
        <v>163.18979999999999</v>
      </c>
    </row>
    <row r="688" spans="1:21" x14ac:dyDescent="0.35">
      <c r="A688" s="1"/>
      <c r="U688">
        <v>6.8714000000000004</v>
      </c>
    </row>
    <row r="689" spans="1:21" x14ac:dyDescent="0.35">
      <c r="A689" s="1"/>
      <c r="U689">
        <v>9.3312000000000008</v>
      </c>
    </row>
    <row r="690" spans="1:21" x14ac:dyDescent="0.35">
      <c r="U690">
        <v>4.7995999999999999</v>
      </c>
    </row>
    <row r="691" spans="1:21" x14ac:dyDescent="0.35">
      <c r="U691">
        <v>14.561400000000001</v>
      </c>
    </row>
    <row r="692" spans="1:21" x14ac:dyDescent="0.35">
      <c r="U692">
        <v>74.053200000000004</v>
      </c>
    </row>
    <row r="693" spans="1:21" x14ac:dyDescent="0.35">
      <c r="U693">
        <v>10.315200000000001</v>
      </c>
    </row>
    <row r="694" spans="1:21" x14ac:dyDescent="0.35">
      <c r="U694">
        <v>24.936</v>
      </c>
    </row>
    <row r="695" spans="1:21" x14ac:dyDescent="0.35">
      <c r="U695">
        <v>16.032</v>
      </c>
    </row>
    <row r="696" spans="1:21" x14ac:dyDescent="0.35">
      <c r="U696">
        <v>17.348800000000001</v>
      </c>
    </row>
    <row r="697" spans="1:21" x14ac:dyDescent="0.35">
      <c r="U697">
        <v>17.760000000000002</v>
      </c>
    </row>
    <row r="698" spans="1:21" x14ac:dyDescent="0.35">
      <c r="U698">
        <v>62.807499999999997</v>
      </c>
    </row>
    <row r="699" spans="1:21" x14ac:dyDescent="0.35">
      <c r="U699">
        <v>31.751200000000001</v>
      </c>
    </row>
    <row r="700" spans="1:21" x14ac:dyDescent="0.35">
      <c r="U700">
        <v>0.80879999999999996</v>
      </c>
    </row>
    <row r="701" spans="1:21" x14ac:dyDescent="0.35">
      <c r="U701">
        <v>-13.6312</v>
      </c>
    </row>
    <row r="702" spans="1:21" x14ac:dyDescent="0.35">
      <c r="U702">
        <v>-3.4272</v>
      </c>
    </row>
    <row r="703" spans="1:21" x14ac:dyDescent="0.35">
      <c r="A703" s="1"/>
      <c r="U703">
        <v>4.1448</v>
      </c>
    </row>
    <row r="704" spans="1:21" x14ac:dyDescent="0.35">
      <c r="A704" s="1"/>
      <c r="U704">
        <v>35.679600000000001</v>
      </c>
    </row>
    <row r="705" spans="1:21" x14ac:dyDescent="0.35">
      <c r="A705" s="1"/>
      <c r="U705">
        <v>-13.871700000000001</v>
      </c>
    </row>
    <row r="706" spans="1:21" x14ac:dyDescent="0.35">
      <c r="A706" s="1"/>
      <c r="U706">
        <v>3.6288</v>
      </c>
    </row>
    <row r="707" spans="1:21" x14ac:dyDescent="0.35">
      <c r="A707" s="1"/>
      <c r="U707">
        <v>18.769500000000001</v>
      </c>
    </row>
    <row r="708" spans="1:21" x14ac:dyDescent="0.35">
      <c r="A708" s="1"/>
      <c r="U708">
        <v>2.2824</v>
      </c>
    </row>
    <row r="709" spans="1:21" x14ac:dyDescent="0.35">
      <c r="A709" s="1"/>
      <c r="U709">
        <v>52.782400000000003</v>
      </c>
    </row>
    <row r="710" spans="1:21" x14ac:dyDescent="0.35">
      <c r="A710" s="1"/>
      <c r="U710">
        <v>-110.49</v>
      </c>
    </row>
    <row r="711" spans="1:21" x14ac:dyDescent="0.35">
      <c r="A711" s="1"/>
      <c r="U711">
        <v>15.768000000000001</v>
      </c>
    </row>
    <row r="712" spans="1:21" x14ac:dyDescent="0.35">
      <c r="A712" s="1"/>
      <c r="U712">
        <v>26.630400000000002</v>
      </c>
    </row>
    <row r="713" spans="1:21" x14ac:dyDescent="0.35">
      <c r="A713" s="1"/>
      <c r="U713">
        <v>8.8623999999999992</v>
      </c>
    </row>
    <row r="714" spans="1:21" x14ac:dyDescent="0.35">
      <c r="U714">
        <v>109.7226</v>
      </c>
    </row>
    <row r="715" spans="1:21" x14ac:dyDescent="0.35">
      <c r="U715">
        <v>89.3142</v>
      </c>
    </row>
    <row r="716" spans="1:21" x14ac:dyDescent="0.35">
      <c r="U716">
        <v>113.98860000000001</v>
      </c>
    </row>
    <row r="717" spans="1:21" x14ac:dyDescent="0.35">
      <c r="A717" s="1"/>
      <c r="U717">
        <v>6.9720000000000004</v>
      </c>
    </row>
    <row r="718" spans="1:21" x14ac:dyDescent="0.35">
      <c r="A718" s="1"/>
      <c r="U718">
        <v>3.0813999999999999</v>
      </c>
    </row>
    <row r="719" spans="1:21" x14ac:dyDescent="0.35">
      <c r="U719">
        <v>24.4758</v>
      </c>
    </row>
    <row r="720" spans="1:21" x14ac:dyDescent="0.35">
      <c r="A720" s="1"/>
      <c r="U720">
        <v>19.4376</v>
      </c>
    </row>
    <row r="721" spans="1:21" x14ac:dyDescent="0.35">
      <c r="A721" s="1"/>
      <c r="U721">
        <v>21.995999999999999</v>
      </c>
    </row>
    <row r="722" spans="1:21" x14ac:dyDescent="0.35">
      <c r="U722">
        <v>73.41</v>
      </c>
    </row>
    <row r="723" spans="1:21" x14ac:dyDescent="0.35">
      <c r="U723">
        <v>231.41159999999999</v>
      </c>
    </row>
    <row r="724" spans="1:21" x14ac:dyDescent="0.35">
      <c r="U724">
        <v>80.019900000000007</v>
      </c>
    </row>
    <row r="725" spans="1:21" x14ac:dyDescent="0.35">
      <c r="A725" s="1"/>
      <c r="U725">
        <v>21.111999999999998</v>
      </c>
    </row>
    <row r="726" spans="1:21" x14ac:dyDescent="0.35">
      <c r="A726" s="1"/>
      <c r="U726">
        <v>5.1281999999999996</v>
      </c>
    </row>
    <row r="727" spans="1:21" x14ac:dyDescent="0.35">
      <c r="U727">
        <v>6.3684000000000003</v>
      </c>
    </row>
    <row r="728" spans="1:21" x14ac:dyDescent="0.35">
      <c r="U728">
        <v>5.5991999999999997</v>
      </c>
    </row>
    <row r="729" spans="1:21" x14ac:dyDescent="0.35">
      <c r="A729" s="1"/>
      <c r="U729">
        <v>84.051199999999994</v>
      </c>
    </row>
    <row r="730" spans="1:21" x14ac:dyDescent="0.35">
      <c r="A730" s="1"/>
      <c r="U730">
        <v>-153.34559999999999</v>
      </c>
    </row>
    <row r="731" spans="1:21" x14ac:dyDescent="0.35">
      <c r="A731" s="1"/>
      <c r="U731">
        <v>10.089</v>
      </c>
    </row>
    <row r="732" spans="1:21" x14ac:dyDescent="0.35">
      <c r="A732" s="1"/>
      <c r="U732">
        <v>102.49979999999999</v>
      </c>
    </row>
    <row r="733" spans="1:21" x14ac:dyDescent="0.35">
      <c r="A733" s="1"/>
      <c r="U733">
        <v>3.024</v>
      </c>
    </row>
    <row r="734" spans="1:21" x14ac:dyDescent="0.35">
      <c r="U734">
        <v>9.7175999999999991</v>
      </c>
    </row>
    <row r="735" spans="1:21" x14ac:dyDescent="0.35">
      <c r="U735">
        <v>86.385599999999997</v>
      </c>
    </row>
    <row r="736" spans="1:21" x14ac:dyDescent="0.35">
      <c r="U736">
        <v>33.647399999999998</v>
      </c>
    </row>
    <row r="737" spans="1:21" x14ac:dyDescent="0.35">
      <c r="U737">
        <v>9.4283999999999999</v>
      </c>
    </row>
    <row r="738" spans="1:21" x14ac:dyDescent="0.35">
      <c r="U738">
        <v>18.695599999999999</v>
      </c>
    </row>
    <row r="739" spans="1:21" x14ac:dyDescent="0.35">
      <c r="U739">
        <v>6.5519999999999996</v>
      </c>
    </row>
    <row r="740" spans="1:21" x14ac:dyDescent="0.35">
      <c r="A740" s="1"/>
      <c r="U740">
        <v>8.4966000000000008</v>
      </c>
    </row>
    <row r="741" spans="1:21" x14ac:dyDescent="0.35">
      <c r="A741" s="1"/>
      <c r="U741">
        <v>4.2717000000000001</v>
      </c>
    </row>
    <row r="742" spans="1:21" x14ac:dyDescent="0.35">
      <c r="A742" s="1"/>
      <c r="U742">
        <v>-64.774799999999999</v>
      </c>
    </row>
    <row r="743" spans="1:21" x14ac:dyDescent="0.35">
      <c r="A743" s="1"/>
      <c r="U743">
        <v>-5.4870000000000001</v>
      </c>
    </row>
    <row r="744" spans="1:21" x14ac:dyDescent="0.35">
      <c r="U744">
        <v>-10.948</v>
      </c>
    </row>
    <row r="745" spans="1:21" x14ac:dyDescent="0.35">
      <c r="U745">
        <v>1.1466000000000001</v>
      </c>
    </row>
    <row r="746" spans="1:21" x14ac:dyDescent="0.35">
      <c r="U746">
        <v>1.6761999999999999</v>
      </c>
    </row>
    <row r="747" spans="1:21" x14ac:dyDescent="0.35">
      <c r="U747">
        <v>6.2064000000000004</v>
      </c>
    </row>
    <row r="748" spans="1:21" x14ac:dyDescent="0.35">
      <c r="U748">
        <v>-28.356000000000002</v>
      </c>
    </row>
    <row r="749" spans="1:21" x14ac:dyDescent="0.35">
      <c r="U749">
        <v>7.1863999999999999</v>
      </c>
    </row>
    <row r="750" spans="1:21" x14ac:dyDescent="0.35">
      <c r="U750">
        <v>0.89939999999999998</v>
      </c>
    </row>
    <row r="751" spans="1:21" x14ac:dyDescent="0.35">
      <c r="A751" s="1"/>
      <c r="U751">
        <v>26.702999999999999</v>
      </c>
    </row>
    <row r="752" spans="1:21" x14ac:dyDescent="0.35">
      <c r="A752" s="1"/>
      <c r="U752">
        <v>56.7864</v>
      </c>
    </row>
    <row r="753" spans="1:21" x14ac:dyDescent="0.35">
      <c r="A753" s="1"/>
      <c r="U753">
        <v>22.792000000000002</v>
      </c>
    </row>
    <row r="754" spans="1:21" x14ac:dyDescent="0.35">
      <c r="A754" s="1"/>
      <c r="U754">
        <v>1.4112</v>
      </c>
    </row>
    <row r="755" spans="1:21" x14ac:dyDescent="0.35">
      <c r="A755" s="1"/>
      <c r="U755">
        <v>374.99250000000001</v>
      </c>
    </row>
    <row r="756" spans="1:21" x14ac:dyDescent="0.35">
      <c r="A756" s="1"/>
      <c r="U756">
        <v>28.7712</v>
      </c>
    </row>
    <row r="757" spans="1:21" x14ac:dyDescent="0.35">
      <c r="U757">
        <v>-167.3184</v>
      </c>
    </row>
    <row r="758" spans="1:21" x14ac:dyDescent="0.35">
      <c r="U758">
        <v>6.8768000000000002</v>
      </c>
    </row>
    <row r="759" spans="1:21" x14ac:dyDescent="0.35">
      <c r="U759">
        <v>47.92</v>
      </c>
    </row>
    <row r="760" spans="1:21" x14ac:dyDescent="0.35">
      <c r="U760">
        <v>4.2666000000000004</v>
      </c>
    </row>
    <row r="761" spans="1:21" x14ac:dyDescent="0.35">
      <c r="U761">
        <v>10.224</v>
      </c>
    </row>
    <row r="762" spans="1:21" x14ac:dyDescent="0.35">
      <c r="U762">
        <v>27.993600000000001</v>
      </c>
    </row>
    <row r="763" spans="1:21" x14ac:dyDescent="0.35">
      <c r="A763" s="1"/>
      <c r="U763">
        <v>5.6993999999999998</v>
      </c>
    </row>
    <row r="764" spans="1:21" x14ac:dyDescent="0.35">
      <c r="A764" s="1"/>
      <c r="U764">
        <v>-26.9955</v>
      </c>
    </row>
    <row r="765" spans="1:21" x14ac:dyDescent="0.35">
      <c r="U765">
        <v>5.3391999999999999</v>
      </c>
    </row>
    <row r="766" spans="1:21" x14ac:dyDescent="0.35">
      <c r="U766">
        <v>25.47</v>
      </c>
    </row>
    <row r="767" spans="1:21" x14ac:dyDescent="0.35">
      <c r="U767">
        <v>258.69600000000003</v>
      </c>
    </row>
    <row r="768" spans="1:21" x14ac:dyDescent="0.35">
      <c r="U768">
        <v>2.7071999999999998</v>
      </c>
    </row>
    <row r="769" spans="1:21" x14ac:dyDescent="0.35">
      <c r="U769">
        <v>34.354799999999997</v>
      </c>
    </row>
    <row r="770" spans="1:21" x14ac:dyDescent="0.35">
      <c r="U770">
        <v>23.315999999999999</v>
      </c>
    </row>
    <row r="771" spans="1:21" x14ac:dyDescent="0.35">
      <c r="U771">
        <v>179.74879999999999</v>
      </c>
    </row>
    <row r="772" spans="1:21" x14ac:dyDescent="0.35">
      <c r="U772">
        <v>9.14</v>
      </c>
    </row>
    <row r="773" spans="1:21" x14ac:dyDescent="0.35">
      <c r="U773">
        <v>51.75</v>
      </c>
    </row>
    <row r="774" spans="1:21" x14ac:dyDescent="0.35">
      <c r="U774">
        <v>16.175000000000001</v>
      </c>
    </row>
    <row r="775" spans="1:21" x14ac:dyDescent="0.35">
      <c r="U775">
        <v>3.4695</v>
      </c>
    </row>
    <row r="776" spans="1:21" x14ac:dyDescent="0.35">
      <c r="U776">
        <v>10.881</v>
      </c>
    </row>
    <row r="777" spans="1:21" x14ac:dyDescent="0.35">
      <c r="U777">
        <v>14.5236</v>
      </c>
    </row>
    <row r="778" spans="1:21" x14ac:dyDescent="0.35">
      <c r="U778">
        <v>3.6855000000000002</v>
      </c>
    </row>
    <row r="779" spans="1:21" x14ac:dyDescent="0.35">
      <c r="U779">
        <v>40.800600000000003</v>
      </c>
    </row>
    <row r="780" spans="1:21" x14ac:dyDescent="0.35">
      <c r="U780">
        <v>28.171800000000001</v>
      </c>
    </row>
    <row r="781" spans="1:21" x14ac:dyDescent="0.35">
      <c r="U781">
        <v>11.720800000000001</v>
      </c>
    </row>
    <row r="782" spans="1:21" x14ac:dyDescent="0.35">
      <c r="U782">
        <v>1.9259999999999999</v>
      </c>
    </row>
    <row r="783" spans="1:21" x14ac:dyDescent="0.35">
      <c r="A783" s="1"/>
      <c r="U783">
        <v>-22.449000000000002</v>
      </c>
    </row>
    <row r="784" spans="1:21" x14ac:dyDescent="0.35">
      <c r="A784" s="1"/>
      <c r="U784">
        <v>-2.7</v>
      </c>
    </row>
    <row r="785" spans="1:21" x14ac:dyDescent="0.35">
      <c r="A785" s="1"/>
      <c r="U785">
        <v>-15.615600000000001</v>
      </c>
    </row>
    <row r="786" spans="1:21" x14ac:dyDescent="0.35">
      <c r="A786" s="1"/>
      <c r="U786">
        <v>0.5998</v>
      </c>
    </row>
    <row r="787" spans="1:21" x14ac:dyDescent="0.35">
      <c r="U787">
        <v>87.744299999999996</v>
      </c>
    </row>
    <row r="788" spans="1:21" x14ac:dyDescent="0.35">
      <c r="U788">
        <v>5.8914</v>
      </c>
    </row>
    <row r="789" spans="1:21" x14ac:dyDescent="0.35">
      <c r="A789" s="1"/>
      <c r="U789">
        <v>34.892800000000001</v>
      </c>
    </row>
    <row r="790" spans="1:21" x14ac:dyDescent="0.35">
      <c r="U790">
        <v>69.100800000000007</v>
      </c>
    </row>
    <row r="791" spans="1:21" x14ac:dyDescent="0.35">
      <c r="U791">
        <v>4.1634000000000002</v>
      </c>
    </row>
    <row r="792" spans="1:21" x14ac:dyDescent="0.35">
      <c r="U792">
        <v>21.089600000000001</v>
      </c>
    </row>
    <row r="793" spans="1:21" x14ac:dyDescent="0.35">
      <c r="U793">
        <v>79.905600000000007</v>
      </c>
    </row>
    <row r="794" spans="1:21" x14ac:dyDescent="0.35">
      <c r="U794">
        <v>85.247500000000002</v>
      </c>
    </row>
    <row r="795" spans="1:21" x14ac:dyDescent="0.35">
      <c r="U795">
        <v>4.5815999999999999</v>
      </c>
    </row>
    <row r="796" spans="1:21" x14ac:dyDescent="0.35">
      <c r="U796">
        <v>10.642799999999999</v>
      </c>
    </row>
    <row r="797" spans="1:21" x14ac:dyDescent="0.35">
      <c r="U797">
        <v>9.8783999999999992</v>
      </c>
    </row>
    <row r="798" spans="1:21" x14ac:dyDescent="0.35">
      <c r="U798">
        <v>63.739199999999997</v>
      </c>
    </row>
    <row r="799" spans="1:21" x14ac:dyDescent="0.35">
      <c r="U799">
        <v>6.2207999999999997</v>
      </c>
    </row>
    <row r="800" spans="1:21" x14ac:dyDescent="0.35">
      <c r="U800">
        <v>10.348800000000001</v>
      </c>
    </row>
    <row r="801" spans="1:21" x14ac:dyDescent="0.35">
      <c r="U801">
        <v>17.745000000000001</v>
      </c>
    </row>
    <row r="802" spans="1:21" x14ac:dyDescent="0.35">
      <c r="U802">
        <v>7.3358999999999996</v>
      </c>
    </row>
    <row r="803" spans="1:21" x14ac:dyDescent="0.35">
      <c r="U803">
        <v>18.897200000000002</v>
      </c>
    </row>
    <row r="804" spans="1:21" x14ac:dyDescent="0.35">
      <c r="U804">
        <v>99.489599999999996</v>
      </c>
    </row>
    <row r="805" spans="1:21" x14ac:dyDescent="0.35">
      <c r="A805" s="1"/>
      <c r="U805">
        <v>6.2207999999999997</v>
      </c>
    </row>
    <row r="806" spans="1:21" x14ac:dyDescent="0.35">
      <c r="U806">
        <v>6.2152000000000003</v>
      </c>
    </row>
    <row r="807" spans="1:21" x14ac:dyDescent="0.35">
      <c r="A807" s="1"/>
      <c r="U807">
        <v>4.3175999999999997</v>
      </c>
    </row>
    <row r="808" spans="1:21" x14ac:dyDescent="0.35">
      <c r="A808" s="1"/>
      <c r="U808">
        <v>247.99600000000001</v>
      </c>
    </row>
    <row r="809" spans="1:21" x14ac:dyDescent="0.35">
      <c r="A809" s="1"/>
      <c r="U809">
        <v>11.076000000000001</v>
      </c>
    </row>
    <row r="810" spans="1:21" x14ac:dyDescent="0.35">
      <c r="A810" s="1"/>
      <c r="U810">
        <v>50.989800000000002</v>
      </c>
    </row>
    <row r="811" spans="1:21" x14ac:dyDescent="0.35">
      <c r="U811">
        <v>3.2256</v>
      </c>
    </row>
    <row r="812" spans="1:21" x14ac:dyDescent="0.35">
      <c r="U812">
        <v>311.65199999999999</v>
      </c>
    </row>
    <row r="813" spans="1:21" x14ac:dyDescent="0.35">
      <c r="U813">
        <v>62.036799999999999</v>
      </c>
    </row>
    <row r="814" spans="1:21" x14ac:dyDescent="0.35">
      <c r="U814">
        <v>2.5779999999999998</v>
      </c>
    </row>
    <row r="815" spans="1:21" x14ac:dyDescent="0.35">
      <c r="U815">
        <v>6.2152000000000003</v>
      </c>
    </row>
    <row r="816" spans="1:21" x14ac:dyDescent="0.35">
      <c r="U816">
        <v>601.96990000000005</v>
      </c>
    </row>
    <row r="817" spans="1:21" x14ac:dyDescent="0.35">
      <c r="U817">
        <v>24.883199999999999</v>
      </c>
    </row>
    <row r="818" spans="1:21" x14ac:dyDescent="0.35">
      <c r="U818">
        <v>1.8704000000000001</v>
      </c>
    </row>
    <row r="819" spans="1:21" x14ac:dyDescent="0.35">
      <c r="U819">
        <v>14.5152</v>
      </c>
    </row>
    <row r="820" spans="1:21" x14ac:dyDescent="0.35">
      <c r="U820">
        <v>-2.4287999999999998</v>
      </c>
    </row>
    <row r="821" spans="1:21" x14ac:dyDescent="0.35">
      <c r="U821">
        <v>0</v>
      </c>
    </row>
    <row r="822" spans="1:21" x14ac:dyDescent="0.35">
      <c r="U822">
        <v>-22.796399999999998</v>
      </c>
    </row>
    <row r="823" spans="1:21" x14ac:dyDescent="0.35">
      <c r="U823">
        <v>117.432</v>
      </c>
    </row>
    <row r="824" spans="1:21" x14ac:dyDescent="0.35">
      <c r="U824">
        <v>71.991</v>
      </c>
    </row>
    <row r="825" spans="1:21" x14ac:dyDescent="0.35">
      <c r="U825">
        <v>4.8117999999999999</v>
      </c>
    </row>
    <row r="826" spans="1:21" x14ac:dyDescent="0.35">
      <c r="A826" s="1"/>
      <c r="U826">
        <v>4.0679999999999996</v>
      </c>
    </row>
    <row r="827" spans="1:21" x14ac:dyDescent="0.35">
      <c r="A827" s="1"/>
      <c r="U827">
        <v>40.312800000000003</v>
      </c>
    </row>
    <row r="828" spans="1:21" x14ac:dyDescent="0.35">
      <c r="U828">
        <v>16.8</v>
      </c>
    </row>
    <row r="829" spans="1:21" x14ac:dyDescent="0.35">
      <c r="U829">
        <v>10.7996</v>
      </c>
    </row>
    <row r="830" spans="1:21" x14ac:dyDescent="0.35">
      <c r="U830">
        <v>7.4871999999999996</v>
      </c>
    </row>
    <row r="831" spans="1:21" x14ac:dyDescent="0.35">
      <c r="U831">
        <v>90.587999999999994</v>
      </c>
    </row>
    <row r="832" spans="1:21" x14ac:dyDescent="0.35">
      <c r="U832">
        <v>50.584800000000001</v>
      </c>
    </row>
    <row r="833" spans="1:21" x14ac:dyDescent="0.35">
      <c r="U833">
        <v>51.834600000000002</v>
      </c>
    </row>
    <row r="834" spans="1:21" x14ac:dyDescent="0.35">
      <c r="U834">
        <v>17.157399999999999</v>
      </c>
    </row>
    <row r="835" spans="1:21" x14ac:dyDescent="0.35">
      <c r="U835">
        <v>2.6412</v>
      </c>
    </row>
    <row r="836" spans="1:21" x14ac:dyDescent="0.35">
      <c r="U836">
        <v>6.5164</v>
      </c>
    </row>
    <row r="837" spans="1:21" x14ac:dyDescent="0.35">
      <c r="U837">
        <v>-111.4995</v>
      </c>
    </row>
    <row r="838" spans="1:21" x14ac:dyDescent="0.35">
      <c r="A838" s="1"/>
      <c r="U838">
        <v>-79.3352</v>
      </c>
    </row>
    <row r="839" spans="1:21" x14ac:dyDescent="0.35">
      <c r="A839" s="1"/>
      <c r="U839">
        <v>3.2616000000000001</v>
      </c>
    </row>
    <row r="840" spans="1:21" x14ac:dyDescent="0.35">
      <c r="A840" s="1"/>
      <c r="U840">
        <v>1.5804</v>
      </c>
    </row>
    <row r="841" spans="1:21" x14ac:dyDescent="0.35">
      <c r="U841">
        <v>16.3215</v>
      </c>
    </row>
    <row r="842" spans="1:21" x14ac:dyDescent="0.35">
      <c r="U842">
        <v>3.3408000000000002</v>
      </c>
    </row>
    <row r="843" spans="1:21" x14ac:dyDescent="0.35">
      <c r="U843">
        <v>9.3024000000000004</v>
      </c>
    </row>
    <row r="844" spans="1:21" x14ac:dyDescent="0.35">
      <c r="A844" s="1"/>
      <c r="U844">
        <v>11.7</v>
      </c>
    </row>
    <row r="845" spans="1:21" x14ac:dyDescent="0.35">
      <c r="A845" s="1"/>
      <c r="U845">
        <v>8.7672000000000008</v>
      </c>
    </row>
    <row r="846" spans="1:21" x14ac:dyDescent="0.35">
      <c r="A846" s="1"/>
      <c r="U846">
        <v>3.2944</v>
      </c>
    </row>
    <row r="847" spans="1:21" x14ac:dyDescent="0.35">
      <c r="A847" s="1"/>
      <c r="U847">
        <v>6.8714000000000004</v>
      </c>
    </row>
    <row r="848" spans="1:21" x14ac:dyDescent="0.35">
      <c r="U848">
        <v>23.441600000000001</v>
      </c>
    </row>
    <row r="849" spans="1:21" x14ac:dyDescent="0.35">
      <c r="U849">
        <v>77.743799999999993</v>
      </c>
    </row>
    <row r="850" spans="1:21" x14ac:dyDescent="0.35">
      <c r="A850" s="1"/>
      <c r="U850">
        <v>8.5568000000000008</v>
      </c>
    </row>
    <row r="851" spans="1:21" x14ac:dyDescent="0.35">
      <c r="A851" s="1"/>
      <c r="U851">
        <v>49.604799999999997</v>
      </c>
    </row>
    <row r="852" spans="1:21" x14ac:dyDescent="0.35">
      <c r="U852">
        <v>1.3415999999999999</v>
      </c>
    </row>
    <row r="853" spans="1:21" x14ac:dyDescent="0.35">
      <c r="U853">
        <v>18.662400000000002</v>
      </c>
    </row>
    <row r="854" spans="1:21" x14ac:dyDescent="0.35">
      <c r="U854">
        <v>50.187600000000003</v>
      </c>
    </row>
    <row r="855" spans="1:21" x14ac:dyDescent="0.35">
      <c r="U855">
        <v>14.671799999999999</v>
      </c>
    </row>
    <row r="856" spans="1:21" x14ac:dyDescent="0.35">
      <c r="U856">
        <v>9.7175999999999991</v>
      </c>
    </row>
    <row r="857" spans="1:21" x14ac:dyDescent="0.35">
      <c r="A857" s="1"/>
      <c r="U857">
        <v>18.781199999999998</v>
      </c>
    </row>
    <row r="858" spans="1:21" x14ac:dyDescent="0.35">
      <c r="A858" s="1"/>
      <c r="U858">
        <v>26.597999999999999</v>
      </c>
    </row>
    <row r="859" spans="1:21" x14ac:dyDescent="0.35">
      <c r="A859" s="1"/>
      <c r="U859">
        <v>5.7671999999999999</v>
      </c>
    </row>
    <row r="860" spans="1:21" x14ac:dyDescent="0.35">
      <c r="A860" s="1"/>
      <c r="U860">
        <v>3.5767000000000002</v>
      </c>
    </row>
    <row r="861" spans="1:21" x14ac:dyDescent="0.35">
      <c r="A861" s="1"/>
      <c r="U861">
        <v>3.58</v>
      </c>
    </row>
    <row r="862" spans="1:21" x14ac:dyDescent="0.35">
      <c r="A862" s="1"/>
      <c r="U862">
        <v>0.1472</v>
      </c>
    </row>
    <row r="863" spans="1:21" x14ac:dyDescent="0.35">
      <c r="A863" s="1"/>
      <c r="U863">
        <v>10.625999999999999</v>
      </c>
    </row>
    <row r="864" spans="1:21" x14ac:dyDescent="0.35">
      <c r="A864" s="1"/>
      <c r="U864">
        <v>40.687800000000003</v>
      </c>
    </row>
    <row r="865" spans="1:21" x14ac:dyDescent="0.35">
      <c r="A865" s="1"/>
      <c r="U865">
        <v>0.59040000000000004</v>
      </c>
    </row>
    <row r="866" spans="1:21" x14ac:dyDescent="0.35">
      <c r="A866" s="1"/>
      <c r="U866">
        <v>5.1786000000000003</v>
      </c>
    </row>
    <row r="867" spans="1:21" x14ac:dyDescent="0.35">
      <c r="A867" s="1"/>
      <c r="U867">
        <v>1.3583000000000001</v>
      </c>
    </row>
    <row r="868" spans="1:21" x14ac:dyDescent="0.35">
      <c r="A868" s="1"/>
      <c r="U868">
        <v>21.295400000000001</v>
      </c>
    </row>
    <row r="869" spans="1:21" x14ac:dyDescent="0.35">
      <c r="U869">
        <v>5.1791999999999998</v>
      </c>
    </row>
    <row r="870" spans="1:21" x14ac:dyDescent="0.35">
      <c r="A870" s="1"/>
      <c r="U870">
        <v>-35.927999999999997</v>
      </c>
    </row>
    <row r="871" spans="1:21" x14ac:dyDescent="0.35">
      <c r="A871" s="1"/>
      <c r="U871">
        <v>-760.98</v>
      </c>
    </row>
    <row r="872" spans="1:21" x14ac:dyDescent="0.35">
      <c r="A872" s="1"/>
      <c r="U872">
        <v>-46.796999999999997</v>
      </c>
    </row>
    <row r="873" spans="1:21" x14ac:dyDescent="0.35">
      <c r="U873">
        <v>17.22</v>
      </c>
    </row>
    <row r="874" spans="1:21" x14ac:dyDescent="0.35">
      <c r="A874" s="1"/>
      <c r="U874">
        <v>5.2256</v>
      </c>
    </row>
    <row r="875" spans="1:21" x14ac:dyDescent="0.35">
      <c r="A875" s="1"/>
      <c r="U875">
        <v>37.220399999999998</v>
      </c>
    </row>
    <row r="876" spans="1:21" x14ac:dyDescent="0.35">
      <c r="U876">
        <v>67.256</v>
      </c>
    </row>
    <row r="877" spans="1:21" x14ac:dyDescent="0.35">
      <c r="U877">
        <v>64.518000000000001</v>
      </c>
    </row>
    <row r="878" spans="1:21" x14ac:dyDescent="0.35">
      <c r="U878">
        <v>13.195600000000001</v>
      </c>
    </row>
    <row r="879" spans="1:21" x14ac:dyDescent="0.35">
      <c r="U879">
        <v>66.954599999999999</v>
      </c>
    </row>
    <row r="880" spans="1:21" x14ac:dyDescent="0.35">
      <c r="U880">
        <v>-4.1243999999999996</v>
      </c>
    </row>
    <row r="881" spans="1:21" x14ac:dyDescent="0.35">
      <c r="U881">
        <v>23.109300000000001</v>
      </c>
    </row>
    <row r="882" spans="1:21" x14ac:dyDescent="0.35">
      <c r="U882">
        <v>262.39</v>
      </c>
    </row>
    <row r="883" spans="1:21" x14ac:dyDescent="0.35">
      <c r="A883" s="1"/>
      <c r="U883">
        <v>8.3268000000000004</v>
      </c>
    </row>
    <row r="884" spans="1:21" x14ac:dyDescent="0.35">
      <c r="U884">
        <v>5.9311999999999996</v>
      </c>
    </row>
    <row r="885" spans="1:21" x14ac:dyDescent="0.35">
      <c r="U885">
        <v>10.048</v>
      </c>
    </row>
    <row r="886" spans="1:21" x14ac:dyDescent="0.35">
      <c r="U886">
        <v>5.9363999999999999</v>
      </c>
    </row>
    <row r="887" spans="1:21" x14ac:dyDescent="0.35">
      <c r="U887">
        <v>4.5317999999999996</v>
      </c>
    </row>
    <row r="888" spans="1:21" x14ac:dyDescent="0.35">
      <c r="U888">
        <v>1.6752</v>
      </c>
    </row>
    <row r="889" spans="1:21" x14ac:dyDescent="0.35">
      <c r="U889">
        <v>18.453399999999998</v>
      </c>
    </row>
    <row r="890" spans="1:21" x14ac:dyDescent="0.35">
      <c r="A890" s="1"/>
      <c r="U890">
        <v>16.993200000000002</v>
      </c>
    </row>
    <row r="891" spans="1:21" x14ac:dyDescent="0.35">
      <c r="U891">
        <v>14.994999999999999</v>
      </c>
    </row>
    <row r="892" spans="1:21" x14ac:dyDescent="0.35">
      <c r="U892">
        <v>18.6006</v>
      </c>
    </row>
    <row r="893" spans="1:21" x14ac:dyDescent="0.35">
      <c r="U893">
        <v>2.0430000000000001</v>
      </c>
    </row>
    <row r="894" spans="1:21" x14ac:dyDescent="0.35">
      <c r="U894">
        <v>5.4127999999999998</v>
      </c>
    </row>
    <row r="895" spans="1:21" x14ac:dyDescent="0.35">
      <c r="U895">
        <v>135.97999999999999</v>
      </c>
    </row>
    <row r="896" spans="1:21" x14ac:dyDescent="0.35">
      <c r="A896" s="1"/>
      <c r="U896">
        <v>42.071399999999997</v>
      </c>
    </row>
    <row r="897" spans="1:21" x14ac:dyDescent="0.35">
      <c r="A897" s="1"/>
      <c r="U897">
        <v>24.502800000000001</v>
      </c>
    </row>
    <row r="898" spans="1:21" x14ac:dyDescent="0.35">
      <c r="A898" s="1"/>
      <c r="U898">
        <v>5.0856000000000003</v>
      </c>
    </row>
    <row r="899" spans="1:21" x14ac:dyDescent="0.35">
      <c r="A899" s="1"/>
      <c r="U899">
        <v>51.8</v>
      </c>
    </row>
    <row r="900" spans="1:21" x14ac:dyDescent="0.35">
      <c r="U900">
        <v>22.540800000000001</v>
      </c>
    </row>
    <row r="901" spans="1:21" x14ac:dyDescent="0.35">
      <c r="A901" s="1"/>
      <c r="U901">
        <v>-6.5296000000000003</v>
      </c>
    </row>
    <row r="902" spans="1:21" x14ac:dyDescent="0.35">
      <c r="A902" s="1"/>
      <c r="U902">
        <v>3.3929999999999998</v>
      </c>
    </row>
    <row r="903" spans="1:21" x14ac:dyDescent="0.35">
      <c r="A903" s="1"/>
      <c r="U903">
        <v>-32.088000000000001</v>
      </c>
    </row>
    <row r="904" spans="1:21" x14ac:dyDescent="0.35">
      <c r="U904">
        <v>20.2485</v>
      </c>
    </row>
    <row r="905" spans="1:21" x14ac:dyDescent="0.35">
      <c r="A905" s="1"/>
      <c r="U905">
        <v>9.6191999999999993</v>
      </c>
    </row>
    <row r="906" spans="1:21" x14ac:dyDescent="0.35">
      <c r="A906" s="1"/>
      <c r="U906">
        <v>2.5983999999999998</v>
      </c>
    </row>
    <row r="907" spans="1:21" x14ac:dyDescent="0.35">
      <c r="A907" s="1"/>
      <c r="U907">
        <v>6.2207999999999997</v>
      </c>
    </row>
    <row r="908" spans="1:21" x14ac:dyDescent="0.35">
      <c r="U908">
        <v>12.117599999999999</v>
      </c>
    </row>
    <row r="909" spans="1:21" x14ac:dyDescent="0.35">
      <c r="U909">
        <v>2.7279</v>
      </c>
    </row>
    <row r="910" spans="1:21" x14ac:dyDescent="0.35">
      <c r="U910">
        <v>19.791</v>
      </c>
    </row>
    <row r="911" spans="1:21" x14ac:dyDescent="0.35">
      <c r="A911" s="1"/>
      <c r="U911">
        <v>323.94600000000003</v>
      </c>
    </row>
    <row r="912" spans="1:21" x14ac:dyDescent="0.35">
      <c r="A912" s="1"/>
      <c r="U912">
        <v>829.37540000000001</v>
      </c>
    </row>
    <row r="913" spans="1:21" x14ac:dyDescent="0.35">
      <c r="A913" s="1"/>
      <c r="U913">
        <v>81.047399999999996</v>
      </c>
    </row>
    <row r="914" spans="1:21" x14ac:dyDescent="0.35">
      <c r="U914">
        <v>9.1020000000000003</v>
      </c>
    </row>
    <row r="915" spans="1:21" x14ac:dyDescent="0.35">
      <c r="U915">
        <v>19.2454</v>
      </c>
    </row>
    <row r="916" spans="1:21" x14ac:dyDescent="0.35">
      <c r="U916">
        <v>56.054699999999997</v>
      </c>
    </row>
    <row r="917" spans="1:21" x14ac:dyDescent="0.35">
      <c r="U917">
        <v>-18.5562</v>
      </c>
    </row>
    <row r="918" spans="1:21" x14ac:dyDescent="0.35">
      <c r="U918">
        <v>-56.996000000000002</v>
      </c>
    </row>
    <row r="919" spans="1:21" x14ac:dyDescent="0.35">
      <c r="U919">
        <v>-14.5656</v>
      </c>
    </row>
    <row r="920" spans="1:21" x14ac:dyDescent="0.35">
      <c r="A920" s="1"/>
      <c r="U920">
        <v>50.406300000000002</v>
      </c>
    </row>
    <row r="921" spans="1:21" x14ac:dyDescent="0.35">
      <c r="A921" s="1"/>
      <c r="U921">
        <v>-0.81200000000000006</v>
      </c>
    </row>
    <row r="922" spans="1:21" x14ac:dyDescent="0.35">
      <c r="A922" s="1"/>
      <c r="U922">
        <v>6.8768000000000002</v>
      </c>
    </row>
    <row r="923" spans="1:21" x14ac:dyDescent="0.35">
      <c r="A923" s="1"/>
      <c r="U923">
        <v>34.907400000000003</v>
      </c>
    </row>
    <row r="924" spans="1:21" x14ac:dyDescent="0.35">
      <c r="A924" s="1"/>
      <c r="U924">
        <v>10.555199999999999</v>
      </c>
    </row>
    <row r="925" spans="1:21" x14ac:dyDescent="0.35">
      <c r="A925" s="1"/>
      <c r="U925">
        <v>113.848</v>
      </c>
    </row>
    <row r="926" spans="1:21" x14ac:dyDescent="0.35">
      <c r="U926">
        <v>294.54880000000003</v>
      </c>
    </row>
    <row r="927" spans="1:21" x14ac:dyDescent="0.35">
      <c r="U927">
        <v>5.4432</v>
      </c>
    </row>
    <row r="928" spans="1:21" x14ac:dyDescent="0.35">
      <c r="U928">
        <v>53.55</v>
      </c>
    </row>
    <row r="929" spans="1:21" x14ac:dyDescent="0.35">
      <c r="A929" s="1"/>
      <c r="U929">
        <v>12.936</v>
      </c>
    </row>
    <row r="930" spans="1:21" x14ac:dyDescent="0.35">
      <c r="A930" s="1"/>
      <c r="U930">
        <v>9.5172000000000008</v>
      </c>
    </row>
    <row r="931" spans="1:21" x14ac:dyDescent="0.35">
      <c r="U931">
        <v>2.5535999999999999</v>
      </c>
    </row>
    <row r="932" spans="1:21" x14ac:dyDescent="0.35">
      <c r="U932">
        <v>21.340800000000002</v>
      </c>
    </row>
    <row r="933" spans="1:21" x14ac:dyDescent="0.35">
      <c r="U933">
        <v>5.0286</v>
      </c>
    </row>
    <row r="934" spans="1:21" x14ac:dyDescent="0.35">
      <c r="A934" s="1"/>
      <c r="U934">
        <v>4.1147999999999998</v>
      </c>
    </row>
    <row r="935" spans="1:21" x14ac:dyDescent="0.35">
      <c r="U935">
        <v>15.2064</v>
      </c>
    </row>
    <row r="936" spans="1:21" x14ac:dyDescent="0.35">
      <c r="U936">
        <v>-21.793199999999999</v>
      </c>
    </row>
    <row r="937" spans="1:21" x14ac:dyDescent="0.35">
      <c r="U937">
        <v>5.4432</v>
      </c>
    </row>
    <row r="938" spans="1:21" x14ac:dyDescent="0.35">
      <c r="U938">
        <v>33.577199999999998</v>
      </c>
    </row>
    <row r="939" spans="1:21" x14ac:dyDescent="0.35">
      <c r="A939" s="1"/>
      <c r="U939">
        <v>54.396599999999999</v>
      </c>
    </row>
    <row r="940" spans="1:21" x14ac:dyDescent="0.35">
      <c r="U940">
        <v>6.2207999999999997</v>
      </c>
    </row>
    <row r="941" spans="1:21" x14ac:dyDescent="0.35">
      <c r="U941">
        <v>34.964799999999997</v>
      </c>
    </row>
    <row r="942" spans="1:21" x14ac:dyDescent="0.35">
      <c r="U942">
        <v>8.0464000000000002</v>
      </c>
    </row>
    <row r="943" spans="1:21" x14ac:dyDescent="0.35">
      <c r="U943">
        <v>2.2098</v>
      </c>
    </row>
    <row r="944" spans="1:21" x14ac:dyDescent="0.35">
      <c r="U944">
        <v>41.785200000000003</v>
      </c>
    </row>
    <row r="945" spans="1:21" x14ac:dyDescent="0.35">
      <c r="U945">
        <v>15.552</v>
      </c>
    </row>
    <row r="946" spans="1:21" x14ac:dyDescent="0.35">
      <c r="U946">
        <v>140.54820000000001</v>
      </c>
    </row>
    <row r="947" spans="1:21" x14ac:dyDescent="0.35">
      <c r="U947">
        <v>62.91</v>
      </c>
    </row>
    <row r="948" spans="1:21" x14ac:dyDescent="0.35">
      <c r="U948">
        <v>-204.44579999999999</v>
      </c>
    </row>
    <row r="949" spans="1:21" x14ac:dyDescent="0.35">
      <c r="U949">
        <v>-12.9122</v>
      </c>
    </row>
    <row r="950" spans="1:21" x14ac:dyDescent="0.35">
      <c r="U950">
        <v>75.542400000000001</v>
      </c>
    </row>
    <row r="951" spans="1:21" x14ac:dyDescent="0.35">
      <c r="U951">
        <v>-619.596</v>
      </c>
    </row>
    <row r="952" spans="1:21" x14ac:dyDescent="0.35">
      <c r="U952">
        <v>5.4432</v>
      </c>
    </row>
    <row r="953" spans="1:21" x14ac:dyDescent="0.35">
      <c r="U953">
        <v>7.92</v>
      </c>
    </row>
    <row r="954" spans="1:21" x14ac:dyDescent="0.35">
      <c r="A954" s="1"/>
      <c r="U954">
        <v>7.6416000000000004</v>
      </c>
    </row>
    <row r="955" spans="1:21" x14ac:dyDescent="0.35">
      <c r="U955">
        <v>2.7168000000000001</v>
      </c>
    </row>
    <row r="956" spans="1:21" x14ac:dyDescent="0.35">
      <c r="U956">
        <v>-11.596</v>
      </c>
    </row>
    <row r="957" spans="1:21" x14ac:dyDescent="0.35">
      <c r="U957">
        <v>43.45</v>
      </c>
    </row>
    <row r="958" spans="1:21" x14ac:dyDescent="0.35">
      <c r="U958">
        <v>2.5893000000000002</v>
      </c>
    </row>
    <row r="959" spans="1:21" x14ac:dyDescent="0.35">
      <c r="U959">
        <v>-3.1680000000000001</v>
      </c>
    </row>
    <row r="960" spans="1:21" x14ac:dyDescent="0.35">
      <c r="U960">
        <v>5.6375999999999999</v>
      </c>
    </row>
    <row r="961" spans="1:21" x14ac:dyDescent="0.35">
      <c r="U961">
        <v>53.195999999999998</v>
      </c>
    </row>
    <row r="962" spans="1:21" x14ac:dyDescent="0.35">
      <c r="U962">
        <v>28.1372</v>
      </c>
    </row>
    <row r="963" spans="1:21" x14ac:dyDescent="0.35">
      <c r="U963">
        <v>3.0575999999999999</v>
      </c>
    </row>
    <row r="964" spans="1:21" x14ac:dyDescent="0.35">
      <c r="A964" s="1"/>
      <c r="U964">
        <v>10.94</v>
      </c>
    </row>
    <row r="965" spans="1:21" x14ac:dyDescent="0.35">
      <c r="U965">
        <v>1.6704000000000001</v>
      </c>
    </row>
    <row r="966" spans="1:21" x14ac:dyDescent="0.35">
      <c r="A966" s="1"/>
      <c r="U966">
        <v>4.8117999999999999</v>
      </c>
    </row>
    <row r="967" spans="1:21" x14ac:dyDescent="0.35">
      <c r="A967" s="1"/>
      <c r="U967">
        <v>9.7119</v>
      </c>
    </row>
    <row r="968" spans="1:21" x14ac:dyDescent="0.35">
      <c r="A968" s="1"/>
      <c r="U968">
        <v>6.2207999999999997</v>
      </c>
    </row>
    <row r="969" spans="1:21" x14ac:dyDescent="0.35">
      <c r="A969" s="1"/>
      <c r="U969">
        <v>91.968000000000004</v>
      </c>
    </row>
    <row r="970" spans="1:21" x14ac:dyDescent="0.35">
      <c r="A970" s="1"/>
      <c r="U970">
        <v>4.2336</v>
      </c>
    </row>
    <row r="971" spans="1:21" x14ac:dyDescent="0.35">
      <c r="A971" s="1"/>
      <c r="U971">
        <v>0</v>
      </c>
    </row>
    <row r="972" spans="1:21" x14ac:dyDescent="0.35">
      <c r="U972">
        <v>28.598400000000002</v>
      </c>
    </row>
    <row r="973" spans="1:21" x14ac:dyDescent="0.35">
      <c r="U973">
        <v>-31.05</v>
      </c>
    </row>
    <row r="974" spans="1:21" x14ac:dyDescent="0.35">
      <c r="U974">
        <v>-13.6312</v>
      </c>
    </row>
    <row r="975" spans="1:21" x14ac:dyDescent="0.35">
      <c r="U975">
        <v>10.1493</v>
      </c>
    </row>
    <row r="976" spans="1:21" x14ac:dyDescent="0.35">
      <c r="A976" s="1"/>
      <c r="U976">
        <v>3.2185999999999999</v>
      </c>
    </row>
    <row r="977" spans="1:21" x14ac:dyDescent="0.35">
      <c r="A977" s="1"/>
      <c r="U977">
        <v>25.579799999999999</v>
      </c>
    </row>
    <row r="978" spans="1:21" x14ac:dyDescent="0.35">
      <c r="A978" s="1"/>
      <c r="U978">
        <v>-0.79200000000000004</v>
      </c>
    </row>
    <row r="979" spans="1:21" x14ac:dyDescent="0.35">
      <c r="A979" s="1"/>
      <c r="U979">
        <v>679.99599999999998</v>
      </c>
    </row>
    <row r="980" spans="1:21" x14ac:dyDescent="0.35">
      <c r="U980">
        <v>-2.6255999999999999</v>
      </c>
    </row>
    <row r="981" spans="1:21" x14ac:dyDescent="0.35">
      <c r="A981" s="1"/>
      <c r="U981">
        <v>16.669799999999999</v>
      </c>
    </row>
    <row r="982" spans="1:21" x14ac:dyDescent="0.35">
      <c r="A982" s="1"/>
      <c r="U982">
        <v>93.223200000000006</v>
      </c>
    </row>
    <row r="983" spans="1:21" x14ac:dyDescent="0.35">
      <c r="A983" s="1"/>
      <c r="U983">
        <v>0.80559999999999998</v>
      </c>
    </row>
    <row r="984" spans="1:21" x14ac:dyDescent="0.35">
      <c r="A984" s="1"/>
      <c r="U984">
        <v>55.998399999999997</v>
      </c>
    </row>
    <row r="985" spans="1:21" x14ac:dyDescent="0.35">
      <c r="A985" s="1"/>
      <c r="U985">
        <v>75.489999999999995</v>
      </c>
    </row>
    <row r="986" spans="1:21" x14ac:dyDescent="0.35">
      <c r="U986">
        <v>2.5895999999999999</v>
      </c>
    </row>
    <row r="987" spans="1:21" x14ac:dyDescent="0.35">
      <c r="U987">
        <v>9.4391999999999996</v>
      </c>
    </row>
    <row r="988" spans="1:21" x14ac:dyDescent="0.35">
      <c r="U988">
        <v>44.868000000000002</v>
      </c>
    </row>
    <row r="989" spans="1:21" x14ac:dyDescent="0.35">
      <c r="A989" s="1"/>
      <c r="U989">
        <v>-1.8904000000000001</v>
      </c>
    </row>
    <row r="990" spans="1:21" x14ac:dyDescent="0.35">
      <c r="U990">
        <v>72.807000000000002</v>
      </c>
    </row>
    <row r="991" spans="1:21" x14ac:dyDescent="0.35">
      <c r="U991">
        <v>5.2112999999999996</v>
      </c>
    </row>
    <row r="992" spans="1:21" x14ac:dyDescent="0.35">
      <c r="U992">
        <v>131.27850000000001</v>
      </c>
    </row>
    <row r="993" spans="1:21" x14ac:dyDescent="0.35">
      <c r="A993" s="1"/>
      <c r="U993">
        <v>5.484</v>
      </c>
    </row>
    <row r="994" spans="1:21" x14ac:dyDescent="0.35">
      <c r="U994">
        <v>4.9104000000000001</v>
      </c>
    </row>
    <row r="995" spans="1:21" x14ac:dyDescent="0.35">
      <c r="U995">
        <v>69.704999999999998</v>
      </c>
    </row>
    <row r="996" spans="1:21" x14ac:dyDescent="0.35">
      <c r="U996">
        <v>1276.4871000000001</v>
      </c>
    </row>
    <row r="997" spans="1:21" x14ac:dyDescent="0.35">
      <c r="U997">
        <v>173.0316</v>
      </c>
    </row>
    <row r="998" spans="1:21" x14ac:dyDescent="0.35">
      <c r="U998">
        <v>4.9081999999999999</v>
      </c>
    </row>
    <row r="999" spans="1:21" x14ac:dyDescent="0.35">
      <c r="U999">
        <v>9.8901000000000003</v>
      </c>
    </row>
    <row r="1000" spans="1:21" x14ac:dyDescent="0.35">
      <c r="U1000">
        <v>9.1579999999999995</v>
      </c>
    </row>
    <row r="1001" spans="1:21" x14ac:dyDescent="0.35">
      <c r="U1001">
        <v>12.9129</v>
      </c>
    </row>
    <row r="1002" spans="1:21" x14ac:dyDescent="0.35">
      <c r="U1002">
        <v>11.4452</v>
      </c>
    </row>
    <row r="1003" spans="1:21" x14ac:dyDescent="0.35">
      <c r="U1003">
        <v>762.18449999999996</v>
      </c>
    </row>
    <row r="1004" spans="1:21" x14ac:dyDescent="0.35">
      <c r="U1004">
        <v>-290.87520000000001</v>
      </c>
    </row>
    <row r="1005" spans="1:21" x14ac:dyDescent="0.35">
      <c r="U1005">
        <v>9.3312000000000008</v>
      </c>
    </row>
    <row r="1006" spans="1:21" x14ac:dyDescent="0.35">
      <c r="U1006">
        <v>92.083500000000001</v>
      </c>
    </row>
    <row r="1007" spans="1:21" x14ac:dyDescent="0.35">
      <c r="U1007">
        <v>40.3536</v>
      </c>
    </row>
    <row r="1008" spans="1:21" x14ac:dyDescent="0.35">
      <c r="A1008" s="1"/>
      <c r="U1008">
        <v>2.4780000000000002</v>
      </c>
    </row>
    <row r="1009" spans="1:21" x14ac:dyDescent="0.35">
      <c r="A1009" s="1"/>
      <c r="U1009">
        <v>-3.5207999999999999</v>
      </c>
    </row>
    <row r="1010" spans="1:21" x14ac:dyDescent="0.35">
      <c r="U1010">
        <v>20.585000000000001</v>
      </c>
    </row>
    <row r="1011" spans="1:21" x14ac:dyDescent="0.35">
      <c r="A1011" s="1"/>
      <c r="U1011">
        <v>5.9989999999999997</v>
      </c>
    </row>
    <row r="1012" spans="1:21" x14ac:dyDescent="0.35">
      <c r="U1012">
        <v>27.3096</v>
      </c>
    </row>
    <row r="1013" spans="1:21" x14ac:dyDescent="0.35">
      <c r="U1013">
        <v>46.575000000000003</v>
      </c>
    </row>
    <row r="1014" spans="1:21" x14ac:dyDescent="0.35">
      <c r="U1014">
        <v>4.0686999999999998</v>
      </c>
    </row>
    <row r="1015" spans="1:21" x14ac:dyDescent="0.35">
      <c r="U1015">
        <v>356.04140000000001</v>
      </c>
    </row>
    <row r="1016" spans="1:21" x14ac:dyDescent="0.35">
      <c r="U1016">
        <v>36.851999999999997</v>
      </c>
    </row>
    <row r="1017" spans="1:21" x14ac:dyDescent="0.35">
      <c r="U1017">
        <v>15.552</v>
      </c>
    </row>
    <row r="1018" spans="1:21" x14ac:dyDescent="0.35">
      <c r="A1018" s="1"/>
      <c r="U1018">
        <v>6.7008000000000001</v>
      </c>
    </row>
    <row r="1019" spans="1:21" x14ac:dyDescent="0.35">
      <c r="A1019" s="1"/>
      <c r="U1019">
        <v>63.886200000000002</v>
      </c>
    </row>
    <row r="1020" spans="1:21" x14ac:dyDescent="0.35">
      <c r="A1020" s="1"/>
      <c r="U1020">
        <v>2.4990000000000001</v>
      </c>
    </row>
    <row r="1021" spans="1:21" x14ac:dyDescent="0.35">
      <c r="A1021" s="1"/>
      <c r="U1021">
        <v>156.429</v>
      </c>
    </row>
    <row r="1022" spans="1:21" x14ac:dyDescent="0.35">
      <c r="U1022">
        <v>8.8686000000000007</v>
      </c>
    </row>
    <row r="1023" spans="1:21" x14ac:dyDescent="0.35">
      <c r="U1023">
        <v>316.88249999999999</v>
      </c>
    </row>
    <row r="1024" spans="1:21" x14ac:dyDescent="0.35">
      <c r="U1024">
        <v>648.56240000000003</v>
      </c>
    </row>
    <row r="1025" spans="1:21" x14ac:dyDescent="0.35">
      <c r="U1025">
        <v>2.1728000000000001</v>
      </c>
    </row>
    <row r="1026" spans="1:21" x14ac:dyDescent="0.35">
      <c r="U1026">
        <v>4.2804000000000002</v>
      </c>
    </row>
    <row r="1027" spans="1:21" x14ac:dyDescent="0.35">
      <c r="A1027" s="1"/>
      <c r="U1027">
        <v>5.4432</v>
      </c>
    </row>
    <row r="1028" spans="1:21" x14ac:dyDescent="0.35">
      <c r="A1028" s="1"/>
      <c r="U1028">
        <v>20.5764</v>
      </c>
    </row>
    <row r="1029" spans="1:21" x14ac:dyDescent="0.35">
      <c r="A1029" s="1"/>
      <c r="U1029">
        <v>-9.8724000000000007</v>
      </c>
    </row>
    <row r="1030" spans="1:21" x14ac:dyDescent="0.35">
      <c r="A1030" s="1"/>
      <c r="U1030">
        <v>83.284000000000006</v>
      </c>
    </row>
    <row r="1031" spans="1:21" x14ac:dyDescent="0.35">
      <c r="A1031" s="1"/>
      <c r="U1031">
        <v>57.411299999999997</v>
      </c>
    </row>
    <row r="1032" spans="1:21" x14ac:dyDescent="0.35">
      <c r="A1032" s="1"/>
      <c r="U1032">
        <v>213.73500000000001</v>
      </c>
    </row>
    <row r="1033" spans="1:21" x14ac:dyDescent="0.35">
      <c r="A1033" s="1"/>
      <c r="U1033">
        <v>52.126199999999997</v>
      </c>
    </row>
    <row r="1034" spans="1:21" x14ac:dyDescent="0.35">
      <c r="A1034" s="1"/>
      <c r="U1034">
        <v>7.056</v>
      </c>
    </row>
    <row r="1035" spans="1:21" x14ac:dyDescent="0.35">
      <c r="U1035">
        <v>5.1012000000000004</v>
      </c>
    </row>
    <row r="1036" spans="1:21" x14ac:dyDescent="0.35">
      <c r="U1036">
        <v>-1.9272</v>
      </c>
    </row>
    <row r="1037" spans="1:21" x14ac:dyDescent="0.35">
      <c r="U1037">
        <v>-10.579800000000001</v>
      </c>
    </row>
    <row r="1038" spans="1:21" x14ac:dyDescent="0.35">
      <c r="U1038">
        <v>8.6620000000000008</v>
      </c>
    </row>
    <row r="1039" spans="1:21" x14ac:dyDescent="0.35">
      <c r="U1039">
        <v>13.734</v>
      </c>
    </row>
    <row r="1040" spans="1:21" x14ac:dyDescent="0.35">
      <c r="U1040">
        <v>2.6964000000000001</v>
      </c>
    </row>
    <row r="1041" spans="1:21" x14ac:dyDescent="0.35">
      <c r="U1041">
        <v>1.7955000000000001</v>
      </c>
    </row>
    <row r="1042" spans="1:21" x14ac:dyDescent="0.35">
      <c r="U1042">
        <v>146.40360000000001</v>
      </c>
    </row>
    <row r="1043" spans="1:21" x14ac:dyDescent="0.35">
      <c r="A1043" s="1"/>
      <c r="U1043">
        <v>11.151</v>
      </c>
    </row>
    <row r="1044" spans="1:21" x14ac:dyDescent="0.35">
      <c r="A1044" s="1"/>
      <c r="U1044">
        <v>90.293999999999997</v>
      </c>
    </row>
    <row r="1045" spans="1:21" x14ac:dyDescent="0.35">
      <c r="A1045" s="1"/>
      <c r="U1045">
        <v>2.9834999999999998</v>
      </c>
    </row>
    <row r="1046" spans="1:21" x14ac:dyDescent="0.35">
      <c r="A1046" s="1"/>
      <c r="U1046">
        <v>-146.16</v>
      </c>
    </row>
    <row r="1047" spans="1:21" x14ac:dyDescent="0.35">
      <c r="A1047" s="1"/>
      <c r="U1047">
        <v>-18.186</v>
      </c>
    </row>
    <row r="1048" spans="1:21" x14ac:dyDescent="0.35">
      <c r="A1048" s="1"/>
      <c r="U1048">
        <v>85.247500000000002</v>
      </c>
    </row>
    <row r="1049" spans="1:21" x14ac:dyDescent="0.35">
      <c r="A1049" s="1"/>
      <c r="U1049">
        <v>-3.8384999999999998</v>
      </c>
    </row>
    <row r="1050" spans="1:21" x14ac:dyDescent="0.35">
      <c r="U1050">
        <v>125.2692</v>
      </c>
    </row>
    <row r="1051" spans="1:21" x14ac:dyDescent="0.35">
      <c r="U1051">
        <v>37.996200000000002</v>
      </c>
    </row>
    <row r="1052" spans="1:21" x14ac:dyDescent="0.35">
      <c r="A1052" s="1"/>
      <c r="U1052">
        <v>-29.481200000000001</v>
      </c>
    </row>
    <row r="1053" spans="1:21" x14ac:dyDescent="0.35">
      <c r="A1053" s="1"/>
      <c r="U1053">
        <v>2.4359999999999999</v>
      </c>
    </row>
    <row r="1054" spans="1:21" x14ac:dyDescent="0.35">
      <c r="A1054" s="1"/>
      <c r="U1054">
        <v>56.577599999999997</v>
      </c>
    </row>
    <row r="1055" spans="1:21" x14ac:dyDescent="0.35">
      <c r="A1055" s="1"/>
      <c r="U1055">
        <v>4.3524000000000003</v>
      </c>
    </row>
    <row r="1056" spans="1:21" x14ac:dyDescent="0.35">
      <c r="A1056" s="1"/>
      <c r="U1056">
        <v>22.763999999999999</v>
      </c>
    </row>
    <row r="1057" spans="1:21" x14ac:dyDescent="0.35">
      <c r="A1057" s="1"/>
      <c r="U1057">
        <v>27.7911</v>
      </c>
    </row>
    <row r="1058" spans="1:21" x14ac:dyDescent="0.35">
      <c r="A1058" s="1"/>
      <c r="U1058">
        <v>3.2944</v>
      </c>
    </row>
    <row r="1059" spans="1:21" x14ac:dyDescent="0.35">
      <c r="A1059" s="1"/>
      <c r="U1059">
        <v>7.2267999999999999</v>
      </c>
    </row>
    <row r="1060" spans="1:21" x14ac:dyDescent="0.35">
      <c r="A1060" s="1"/>
      <c r="U1060">
        <v>22.948799999999999</v>
      </c>
    </row>
    <row r="1061" spans="1:21" x14ac:dyDescent="0.35">
      <c r="U1061">
        <v>1.6008</v>
      </c>
    </row>
    <row r="1062" spans="1:21" x14ac:dyDescent="0.35">
      <c r="U1062">
        <v>-29.252400000000002</v>
      </c>
    </row>
    <row r="1063" spans="1:21" x14ac:dyDescent="0.35">
      <c r="U1063">
        <v>4.5216000000000003</v>
      </c>
    </row>
    <row r="1064" spans="1:21" x14ac:dyDescent="0.35">
      <c r="U1064">
        <v>-2.2134</v>
      </c>
    </row>
    <row r="1065" spans="1:21" x14ac:dyDescent="0.35">
      <c r="U1065">
        <v>1.2791999999999999</v>
      </c>
    </row>
    <row r="1066" spans="1:21" x14ac:dyDescent="0.35">
      <c r="U1066">
        <v>-27.715800000000002</v>
      </c>
    </row>
    <row r="1067" spans="1:21" x14ac:dyDescent="0.35">
      <c r="U1067">
        <v>0.23530000000000001</v>
      </c>
    </row>
    <row r="1068" spans="1:21" x14ac:dyDescent="0.35">
      <c r="U1068">
        <v>-46.225000000000001</v>
      </c>
    </row>
    <row r="1069" spans="1:21" x14ac:dyDescent="0.35">
      <c r="A1069" s="1"/>
      <c r="U1069">
        <v>12.178000000000001</v>
      </c>
    </row>
    <row r="1070" spans="1:21" x14ac:dyDescent="0.35">
      <c r="U1070">
        <v>-0.3488</v>
      </c>
    </row>
    <row r="1071" spans="1:21" x14ac:dyDescent="0.35">
      <c r="U1071">
        <v>-18.462399999999999</v>
      </c>
    </row>
    <row r="1072" spans="1:21" x14ac:dyDescent="0.35">
      <c r="U1072">
        <v>5.0595999999999997</v>
      </c>
    </row>
    <row r="1073" spans="1:21" x14ac:dyDescent="0.35">
      <c r="U1073">
        <v>9.9467999999999996</v>
      </c>
    </row>
    <row r="1074" spans="1:21" x14ac:dyDescent="0.35">
      <c r="U1074">
        <v>3.024</v>
      </c>
    </row>
    <row r="1075" spans="1:21" x14ac:dyDescent="0.35">
      <c r="A1075" s="1"/>
      <c r="U1075">
        <v>-4.5979999999999999</v>
      </c>
    </row>
    <row r="1076" spans="1:21" x14ac:dyDescent="0.35">
      <c r="A1076" s="1"/>
      <c r="U1076">
        <v>-3.3488000000000002</v>
      </c>
    </row>
    <row r="1077" spans="1:21" x14ac:dyDescent="0.35">
      <c r="A1077" s="1"/>
      <c r="U1077">
        <v>1.9990000000000001</v>
      </c>
    </row>
    <row r="1078" spans="1:21" x14ac:dyDescent="0.35">
      <c r="U1078">
        <v>10.6288</v>
      </c>
    </row>
    <row r="1079" spans="1:21" x14ac:dyDescent="0.35">
      <c r="U1079">
        <v>33.588799999999999</v>
      </c>
    </row>
    <row r="1080" spans="1:21" x14ac:dyDescent="0.35">
      <c r="U1080">
        <v>8.4887999999999995</v>
      </c>
    </row>
    <row r="1081" spans="1:21" x14ac:dyDescent="0.35">
      <c r="U1081">
        <v>2.3220000000000001</v>
      </c>
    </row>
    <row r="1082" spans="1:21" x14ac:dyDescent="0.35">
      <c r="U1082">
        <v>9.3623999999999992</v>
      </c>
    </row>
    <row r="1083" spans="1:21" x14ac:dyDescent="0.35">
      <c r="U1083">
        <v>121.76009999999999</v>
      </c>
    </row>
    <row r="1084" spans="1:21" x14ac:dyDescent="0.35">
      <c r="A1084" s="1"/>
      <c r="U1084">
        <v>-264.92079999999999</v>
      </c>
    </row>
    <row r="1085" spans="1:21" x14ac:dyDescent="0.35">
      <c r="A1085" s="1"/>
      <c r="U1085">
        <v>12.1348</v>
      </c>
    </row>
    <row r="1086" spans="1:21" x14ac:dyDescent="0.35">
      <c r="A1086" s="1"/>
      <c r="U1086">
        <v>105.24679999999999</v>
      </c>
    </row>
    <row r="1087" spans="1:21" x14ac:dyDescent="0.35">
      <c r="A1087" s="1"/>
      <c r="U1087">
        <v>2400.9657000000002</v>
      </c>
    </row>
    <row r="1088" spans="1:21" x14ac:dyDescent="0.35">
      <c r="A1088" s="1"/>
      <c r="U1088">
        <v>3.1103999999999998</v>
      </c>
    </row>
    <row r="1089" spans="1:21" x14ac:dyDescent="0.35">
      <c r="U1089">
        <v>7.1976000000000004</v>
      </c>
    </row>
    <row r="1090" spans="1:21" x14ac:dyDescent="0.35">
      <c r="U1090">
        <v>1.512</v>
      </c>
    </row>
    <row r="1091" spans="1:21" x14ac:dyDescent="0.35">
      <c r="A1091" s="1"/>
      <c r="U1091">
        <v>1.9990000000000001</v>
      </c>
    </row>
    <row r="1092" spans="1:21" x14ac:dyDescent="0.35">
      <c r="A1092" s="1"/>
      <c r="U1092">
        <v>25.194400000000002</v>
      </c>
    </row>
    <row r="1093" spans="1:21" x14ac:dyDescent="0.35">
      <c r="A1093" s="1"/>
      <c r="U1093">
        <v>33.642000000000003</v>
      </c>
    </row>
    <row r="1094" spans="1:21" x14ac:dyDescent="0.35">
      <c r="A1094" s="1"/>
      <c r="U1094">
        <v>19.178599999999999</v>
      </c>
    </row>
    <row r="1095" spans="1:21" x14ac:dyDescent="0.35">
      <c r="U1095">
        <v>14.161</v>
      </c>
    </row>
    <row r="1096" spans="1:21" x14ac:dyDescent="0.35">
      <c r="U1096">
        <v>103.22839999999999</v>
      </c>
    </row>
    <row r="1097" spans="1:21" x14ac:dyDescent="0.35">
      <c r="U1097">
        <v>30.4682</v>
      </c>
    </row>
    <row r="1098" spans="1:21" x14ac:dyDescent="0.35">
      <c r="U1098">
        <v>-28.627199999999998</v>
      </c>
    </row>
    <row r="1099" spans="1:21" x14ac:dyDescent="0.35">
      <c r="U1099">
        <v>11.196</v>
      </c>
    </row>
    <row r="1100" spans="1:21" x14ac:dyDescent="0.35">
      <c r="U1100">
        <v>2.0415999999999999</v>
      </c>
    </row>
    <row r="1101" spans="1:21" x14ac:dyDescent="0.35">
      <c r="U1101">
        <v>4.1031000000000004</v>
      </c>
    </row>
    <row r="1102" spans="1:21" x14ac:dyDescent="0.35">
      <c r="U1102">
        <v>9.6656999999999993</v>
      </c>
    </row>
    <row r="1103" spans="1:21" x14ac:dyDescent="0.35">
      <c r="U1103">
        <v>2.5055999999999998</v>
      </c>
    </row>
    <row r="1104" spans="1:21" x14ac:dyDescent="0.35">
      <c r="U1104">
        <v>-4.7145000000000001</v>
      </c>
    </row>
    <row r="1105" spans="1:21" x14ac:dyDescent="0.35">
      <c r="U1105">
        <v>-4.9878</v>
      </c>
    </row>
    <row r="1106" spans="1:21" x14ac:dyDescent="0.35">
      <c r="U1106">
        <v>11.2308</v>
      </c>
    </row>
    <row r="1107" spans="1:21" x14ac:dyDescent="0.35">
      <c r="U1107">
        <v>-16.3644</v>
      </c>
    </row>
    <row r="1108" spans="1:21" x14ac:dyDescent="0.35">
      <c r="U1108">
        <v>-0.75660000000000005</v>
      </c>
    </row>
    <row r="1109" spans="1:21" x14ac:dyDescent="0.35">
      <c r="U1109">
        <v>-17.248000000000001</v>
      </c>
    </row>
    <row r="1110" spans="1:21" x14ac:dyDescent="0.35">
      <c r="U1110">
        <v>21.888000000000002</v>
      </c>
    </row>
    <row r="1111" spans="1:21" x14ac:dyDescent="0.35">
      <c r="U1111">
        <v>13.826700000000001</v>
      </c>
    </row>
    <row r="1112" spans="1:21" x14ac:dyDescent="0.35">
      <c r="U1112">
        <v>25.186</v>
      </c>
    </row>
    <row r="1113" spans="1:21" x14ac:dyDescent="0.35">
      <c r="U1113">
        <v>3.6288</v>
      </c>
    </row>
    <row r="1114" spans="1:21" x14ac:dyDescent="0.35">
      <c r="U1114">
        <v>-2.0264000000000002</v>
      </c>
    </row>
    <row r="1115" spans="1:21" x14ac:dyDescent="0.35">
      <c r="U1115">
        <v>16.3352</v>
      </c>
    </row>
    <row r="1116" spans="1:21" x14ac:dyDescent="0.35">
      <c r="U1116">
        <v>-12.6882</v>
      </c>
    </row>
    <row r="1117" spans="1:21" x14ac:dyDescent="0.35">
      <c r="U1117">
        <v>57.590400000000002</v>
      </c>
    </row>
    <row r="1118" spans="1:21" x14ac:dyDescent="0.35">
      <c r="U1118">
        <v>3.024</v>
      </c>
    </row>
    <row r="1119" spans="1:21" x14ac:dyDescent="0.35">
      <c r="A1119" s="1"/>
      <c r="U1119">
        <v>137.15100000000001</v>
      </c>
    </row>
    <row r="1120" spans="1:21" x14ac:dyDescent="0.35">
      <c r="A1120" s="1"/>
      <c r="U1120">
        <v>111.59099999999999</v>
      </c>
    </row>
    <row r="1121" spans="1:21" x14ac:dyDescent="0.35">
      <c r="A1121" s="1"/>
      <c r="U1121">
        <v>2.0491999999999999</v>
      </c>
    </row>
    <row r="1122" spans="1:21" x14ac:dyDescent="0.35">
      <c r="A1122" s="1"/>
      <c r="U1122">
        <v>7.4871999999999996</v>
      </c>
    </row>
    <row r="1123" spans="1:21" x14ac:dyDescent="0.35">
      <c r="U1123">
        <v>181.98179999999999</v>
      </c>
    </row>
    <row r="1124" spans="1:21" x14ac:dyDescent="0.35">
      <c r="U1124">
        <v>6.6584000000000003</v>
      </c>
    </row>
    <row r="1125" spans="1:21" x14ac:dyDescent="0.35">
      <c r="U1125">
        <v>11.58</v>
      </c>
    </row>
    <row r="1126" spans="1:21" x14ac:dyDescent="0.35">
      <c r="U1126">
        <v>1.7901</v>
      </c>
    </row>
    <row r="1127" spans="1:21" x14ac:dyDescent="0.35">
      <c r="U1127">
        <v>10.969799999999999</v>
      </c>
    </row>
    <row r="1128" spans="1:21" x14ac:dyDescent="0.35">
      <c r="U1128">
        <v>224.26740000000001</v>
      </c>
    </row>
    <row r="1129" spans="1:21" x14ac:dyDescent="0.35">
      <c r="A1129" s="1"/>
      <c r="U1129">
        <v>2.6415999999999999</v>
      </c>
    </row>
    <row r="1130" spans="1:21" x14ac:dyDescent="0.35">
      <c r="A1130" s="1"/>
      <c r="U1130">
        <v>50.94</v>
      </c>
    </row>
    <row r="1131" spans="1:21" x14ac:dyDescent="0.35">
      <c r="A1131" s="1"/>
      <c r="U1131">
        <v>75.662400000000005</v>
      </c>
    </row>
    <row r="1132" spans="1:21" x14ac:dyDescent="0.35">
      <c r="A1132" s="1"/>
      <c r="U1132">
        <v>20.085100000000001</v>
      </c>
    </row>
    <row r="1133" spans="1:21" x14ac:dyDescent="0.35">
      <c r="A1133" s="1"/>
      <c r="U1133">
        <v>28.754999999999999</v>
      </c>
    </row>
    <row r="1134" spans="1:21" x14ac:dyDescent="0.35">
      <c r="A1134" s="1"/>
      <c r="U1134">
        <v>9.3312000000000008</v>
      </c>
    </row>
    <row r="1135" spans="1:21" x14ac:dyDescent="0.35">
      <c r="A1135" s="1"/>
      <c r="U1135">
        <v>-23.364000000000001</v>
      </c>
    </row>
    <row r="1136" spans="1:21" x14ac:dyDescent="0.35">
      <c r="A1136" s="1"/>
      <c r="U1136">
        <v>2.6459999999999999</v>
      </c>
    </row>
    <row r="1137" spans="1:21" x14ac:dyDescent="0.35">
      <c r="A1137" s="1"/>
      <c r="U1137">
        <v>7.4570999999999996</v>
      </c>
    </row>
    <row r="1138" spans="1:21" x14ac:dyDescent="0.35">
      <c r="A1138" s="1"/>
      <c r="U1138">
        <v>129.38399999999999</v>
      </c>
    </row>
    <row r="1139" spans="1:21" x14ac:dyDescent="0.35">
      <c r="A1139" s="1"/>
      <c r="U1139">
        <v>10.5504</v>
      </c>
    </row>
    <row r="1140" spans="1:21" x14ac:dyDescent="0.35">
      <c r="A1140" s="1"/>
      <c r="U1140">
        <v>8.9909999999999997</v>
      </c>
    </row>
    <row r="1141" spans="1:21" x14ac:dyDescent="0.35">
      <c r="A1141" s="1"/>
      <c r="U1141">
        <v>5.5566000000000004</v>
      </c>
    </row>
    <row r="1142" spans="1:21" x14ac:dyDescent="0.35">
      <c r="A1142" s="1"/>
      <c r="U1142">
        <v>8.69</v>
      </c>
    </row>
    <row r="1143" spans="1:21" x14ac:dyDescent="0.35">
      <c r="U1143">
        <v>53.195999999999998</v>
      </c>
    </row>
    <row r="1144" spans="1:21" x14ac:dyDescent="0.35">
      <c r="U1144">
        <v>2.8776000000000002</v>
      </c>
    </row>
    <row r="1145" spans="1:21" x14ac:dyDescent="0.35">
      <c r="U1145">
        <v>3.1103999999999998</v>
      </c>
    </row>
    <row r="1146" spans="1:21" x14ac:dyDescent="0.35">
      <c r="U1146">
        <v>223.054</v>
      </c>
    </row>
    <row r="1147" spans="1:21" x14ac:dyDescent="0.35">
      <c r="U1147">
        <v>16.788599999999999</v>
      </c>
    </row>
    <row r="1148" spans="1:21" x14ac:dyDescent="0.35">
      <c r="A1148" s="1"/>
      <c r="U1148">
        <v>107.346</v>
      </c>
    </row>
    <row r="1149" spans="1:21" x14ac:dyDescent="0.35">
      <c r="A1149" s="1"/>
      <c r="U1149">
        <v>2.6280000000000001</v>
      </c>
    </row>
    <row r="1150" spans="1:21" x14ac:dyDescent="0.35">
      <c r="A1150" s="1"/>
      <c r="U1150">
        <v>5.8696000000000002</v>
      </c>
    </row>
    <row r="1151" spans="1:21" x14ac:dyDescent="0.35">
      <c r="A1151" s="1"/>
      <c r="U1151">
        <v>0.438</v>
      </c>
    </row>
    <row r="1152" spans="1:21" x14ac:dyDescent="0.35">
      <c r="A1152" s="1"/>
      <c r="U1152">
        <v>209.99299999999999</v>
      </c>
    </row>
    <row r="1153" spans="1:21" x14ac:dyDescent="0.35">
      <c r="A1153" s="1"/>
      <c r="U1153">
        <v>1.2527999999999999</v>
      </c>
    </row>
    <row r="1154" spans="1:21" x14ac:dyDescent="0.35">
      <c r="U1154">
        <v>1.6379999999999999</v>
      </c>
    </row>
    <row r="1155" spans="1:21" x14ac:dyDescent="0.35">
      <c r="U1155">
        <v>53.921700000000001</v>
      </c>
    </row>
    <row r="1156" spans="1:21" x14ac:dyDescent="0.35">
      <c r="U1156">
        <v>0</v>
      </c>
    </row>
    <row r="1157" spans="1:21" x14ac:dyDescent="0.35">
      <c r="U1157">
        <v>493.78559999999999</v>
      </c>
    </row>
    <row r="1158" spans="1:21" x14ac:dyDescent="0.35">
      <c r="U1158">
        <v>29.285699999999999</v>
      </c>
    </row>
    <row r="1159" spans="1:21" x14ac:dyDescent="0.35">
      <c r="U1159">
        <v>100.122</v>
      </c>
    </row>
    <row r="1160" spans="1:21" x14ac:dyDescent="0.35">
      <c r="A1160" s="1"/>
      <c r="U1160">
        <v>19.5184</v>
      </c>
    </row>
    <row r="1161" spans="1:21" x14ac:dyDescent="0.35">
      <c r="U1161">
        <v>90.734999999999999</v>
      </c>
    </row>
    <row r="1162" spans="1:21" x14ac:dyDescent="0.35">
      <c r="U1162">
        <v>5.77</v>
      </c>
    </row>
    <row r="1163" spans="1:21" x14ac:dyDescent="0.35">
      <c r="A1163" s="1"/>
      <c r="U1163">
        <v>15.6426</v>
      </c>
    </row>
    <row r="1164" spans="1:21" x14ac:dyDescent="0.35">
      <c r="A1164" s="1"/>
      <c r="U1164">
        <v>4.5953999999999997</v>
      </c>
    </row>
    <row r="1165" spans="1:21" x14ac:dyDescent="0.35">
      <c r="A1165" s="1"/>
      <c r="U1165">
        <v>40.872</v>
      </c>
    </row>
    <row r="1166" spans="1:21" x14ac:dyDescent="0.35">
      <c r="A1166" s="1"/>
      <c r="U1166">
        <v>9.1784999999999997</v>
      </c>
    </row>
    <row r="1167" spans="1:21" x14ac:dyDescent="0.35">
      <c r="A1167" s="1"/>
      <c r="U1167">
        <v>21.06</v>
      </c>
    </row>
    <row r="1168" spans="1:21" x14ac:dyDescent="0.35">
      <c r="A1168" s="1"/>
      <c r="U1168">
        <v>49.272300000000001</v>
      </c>
    </row>
    <row r="1169" spans="1:21" x14ac:dyDescent="0.35">
      <c r="A1169" s="1"/>
      <c r="U1169">
        <v>33.938800000000001</v>
      </c>
    </row>
    <row r="1170" spans="1:21" x14ac:dyDescent="0.35">
      <c r="A1170" s="1"/>
      <c r="U1170">
        <v>0</v>
      </c>
    </row>
    <row r="1171" spans="1:21" x14ac:dyDescent="0.35">
      <c r="A1171" s="1"/>
      <c r="U1171">
        <v>9.3312000000000008</v>
      </c>
    </row>
    <row r="1172" spans="1:21" x14ac:dyDescent="0.35">
      <c r="A1172" s="1"/>
      <c r="U1172">
        <v>8.2992000000000008</v>
      </c>
    </row>
    <row r="1173" spans="1:21" x14ac:dyDescent="0.35">
      <c r="A1173" s="1"/>
      <c r="U1173">
        <v>10.7424</v>
      </c>
    </row>
    <row r="1174" spans="1:21" x14ac:dyDescent="0.35">
      <c r="U1174">
        <v>5.5754999999999999</v>
      </c>
    </row>
    <row r="1175" spans="1:21" x14ac:dyDescent="0.35">
      <c r="U1175">
        <v>-7.7640000000000002</v>
      </c>
    </row>
    <row r="1176" spans="1:21" x14ac:dyDescent="0.35">
      <c r="U1176">
        <v>16.2864</v>
      </c>
    </row>
    <row r="1177" spans="1:21" x14ac:dyDescent="0.35">
      <c r="U1177">
        <v>8.0997000000000003</v>
      </c>
    </row>
    <row r="1178" spans="1:21" x14ac:dyDescent="0.35">
      <c r="U1178">
        <v>5.4332000000000003</v>
      </c>
    </row>
    <row r="1179" spans="1:21" x14ac:dyDescent="0.35">
      <c r="A1179" s="1"/>
      <c r="U1179">
        <v>51.75</v>
      </c>
    </row>
    <row r="1180" spans="1:21" x14ac:dyDescent="0.35">
      <c r="A1180" s="1"/>
      <c r="U1180">
        <v>44.9925</v>
      </c>
    </row>
    <row r="1181" spans="1:21" x14ac:dyDescent="0.35">
      <c r="U1181">
        <v>64.674000000000007</v>
      </c>
    </row>
    <row r="1182" spans="1:21" x14ac:dyDescent="0.35">
      <c r="U1182">
        <v>357.19110000000001</v>
      </c>
    </row>
    <row r="1183" spans="1:21" x14ac:dyDescent="0.35">
      <c r="U1183">
        <v>1.0904</v>
      </c>
    </row>
    <row r="1184" spans="1:21" x14ac:dyDescent="0.35">
      <c r="U1184">
        <v>7.3385999999999996</v>
      </c>
    </row>
    <row r="1185" spans="1:21" x14ac:dyDescent="0.35">
      <c r="U1185">
        <v>0.69299999999999995</v>
      </c>
    </row>
    <row r="1186" spans="1:21" x14ac:dyDescent="0.35">
      <c r="U1186">
        <v>4.2336</v>
      </c>
    </row>
    <row r="1187" spans="1:21" x14ac:dyDescent="0.35">
      <c r="U1187">
        <v>9.7175999999999991</v>
      </c>
    </row>
    <row r="1188" spans="1:21" x14ac:dyDescent="0.35">
      <c r="U1188">
        <v>12.441599999999999</v>
      </c>
    </row>
    <row r="1189" spans="1:21" x14ac:dyDescent="0.35">
      <c r="U1189">
        <v>53.346600000000002</v>
      </c>
    </row>
    <row r="1190" spans="1:21" x14ac:dyDescent="0.35">
      <c r="U1190">
        <v>22.118400000000001</v>
      </c>
    </row>
    <row r="1191" spans="1:21" x14ac:dyDescent="0.35">
      <c r="U1191">
        <v>66.715199999999996</v>
      </c>
    </row>
    <row r="1192" spans="1:21" x14ac:dyDescent="0.35">
      <c r="U1192">
        <v>89.222399999999993</v>
      </c>
    </row>
    <row r="1193" spans="1:21" x14ac:dyDescent="0.35">
      <c r="U1193">
        <v>109.7208</v>
      </c>
    </row>
    <row r="1194" spans="1:21" x14ac:dyDescent="0.35">
      <c r="U1194">
        <v>11.328799999999999</v>
      </c>
    </row>
    <row r="1195" spans="1:21" x14ac:dyDescent="0.35">
      <c r="U1195">
        <v>5.4432</v>
      </c>
    </row>
    <row r="1196" spans="1:21" x14ac:dyDescent="0.35">
      <c r="U1196">
        <v>2.5531999999999999</v>
      </c>
    </row>
    <row r="1197" spans="1:21" x14ac:dyDescent="0.35">
      <c r="U1197">
        <v>2.1587999999999998</v>
      </c>
    </row>
    <row r="1198" spans="1:21" x14ac:dyDescent="0.35">
      <c r="U1198">
        <v>-2.0988000000000002</v>
      </c>
    </row>
    <row r="1199" spans="1:21" x14ac:dyDescent="0.35">
      <c r="A1199" s="1"/>
      <c r="U1199">
        <v>64.789199999999994</v>
      </c>
    </row>
    <row r="1200" spans="1:21" x14ac:dyDescent="0.35">
      <c r="A1200" s="1"/>
      <c r="U1200">
        <v>-4.1135999999999999</v>
      </c>
    </row>
    <row r="1201" spans="1:21" x14ac:dyDescent="0.35">
      <c r="A1201" s="1"/>
      <c r="U1201">
        <v>-1850.9464</v>
      </c>
    </row>
    <row r="1202" spans="1:21" x14ac:dyDescent="0.35">
      <c r="U1202">
        <v>40.800600000000003</v>
      </c>
    </row>
    <row r="1203" spans="1:21" x14ac:dyDescent="0.35">
      <c r="U1203">
        <v>-1.4352</v>
      </c>
    </row>
    <row r="1204" spans="1:21" x14ac:dyDescent="0.35">
      <c r="U1204">
        <v>10.679399999999999</v>
      </c>
    </row>
    <row r="1205" spans="1:21" x14ac:dyDescent="0.35">
      <c r="U1205">
        <v>0</v>
      </c>
    </row>
    <row r="1206" spans="1:21" x14ac:dyDescent="0.35">
      <c r="U1206">
        <v>-33.804000000000002</v>
      </c>
    </row>
    <row r="1207" spans="1:21" x14ac:dyDescent="0.35">
      <c r="A1207" s="1"/>
      <c r="U1207">
        <v>16.997499999999999</v>
      </c>
    </row>
    <row r="1208" spans="1:21" x14ac:dyDescent="0.35">
      <c r="U1208">
        <v>3.363</v>
      </c>
    </row>
    <row r="1209" spans="1:21" x14ac:dyDescent="0.35">
      <c r="U1209">
        <v>3.2004000000000001</v>
      </c>
    </row>
    <row r="1210" spans="1:21" x14ac:dyDescent="0.35">
      <c r="U1210">
        <v>6.8943000000000003</v>
      </c>
    </row>
    <row r="1211" spans="1:21" x14ac:dyDescent="0.35">
      <c r="U1211">
        <v>10.465</v>
      </c>
    </row>
    <row r="1212" spans="1:21" x14ac:dyDescent="0.35">
      <c r="U1212">
        <v>2.8835999999999999</v>
      </c>
    </row>
    <row r="1213" spans="1:21" x14ac:dyDescent="0.35">
      <c r="U1213">
        <v>21.717600000000001</v>
      </c>
    </row>
    <row r="1214" spans="1:21" x14ac:dyDescent="0.35">
      <c r="A1214" s="1"/>
      <c r="U1214">
        <v>-48.470399999999998</v>
      </c>
    </row>
    <row r="1215" spans="1:21" x14ac:dyDescent="0.35">
      <c r="A1215" s="1"/>
      <c r="U1215">
        <v>-2.3275999999999999</v>
      </c>
    </row>
    <row r="1216" spans="1:21" x14ac:dyDescent="0.35">
      <c r="A1216" s="1"/>
      <c r="U1216">
        <v>-3.6023999999999998</v>
      </c>
    </row>
    <row r="1217" spans="1:21" x14ac:dyDescent="0.35">
      <c r="A1217" s="1"/>
      <c r="U1217">
        <v>1.5768</v>
      </c>
    </row>
    <row r="1218" spans="1:21" x14ac:dyDescent="0.35">
      <c r="A1218" s="1"/>
      <c r="U1218">
        <v>28.763999999999999</v>
      </c>
    </row>
    <row r="1219" spans="1:21" x14ac:dyDescent="0.35">
      <c r="A1219" s="1"/>
      <c r="U1219">
        <v>1.7023999999999999</v>
      </c>
    </row>
    <row r="1220" spans="1:21" x14ac:dyDescent="0.35">
      <c r="A1220" s="1"/>
      <c r="U1220">
        <v>64.674000000000007</v>
      </c>
    </row>
    <row r="1221" spans="1:21" x14ac:dyDescent="0.35">
      <c r="A1221" s="1"/>
      <c r="U1221">
        <v>-386.39159999999998</v>
      </c>
    </row>
    <row r="1222" spans="1:21" x14ac:dyDescent="0.35">
      <c r="A1222" s="1"/>
      <c r="U1222">
        <v>44.954999999999998</v>
      </c>
    </row>
    <row r="1223" spans="1:21" x14ac:dyDescent="0.35">
      <c r="A1223" s="1"/>
      <c r="U1223">
        <v>28.7928</v>
      </c>
    </row>
    <row r="1224" spans="1:21" x14ac:dyDescent="0.35">
      <c r="A1224" s="1"/>
      <c r="U1224">
        <v>20.482199999999999</v>
      </c>
    </row>
    <row r="1225" spans="1:21" x14ac:dyDescent="0.35">
      <c r="A1225" s="1"/>
      <c r="U1225">
        <v>34.386000000000003</v>
      </c>
    </row>
    <row r="1226" spans="1:21" x14ac:dyDescent="0.35">
      <c r="A1226" s="1"/>
      <c r="U1226">
        <v>0.6048</v>
      </c>
    </row>
    <row r="1227" spans="1:21" x14ac:dyDescent="0.35">
      <c r="A1227" s="1"/>
      <c r="U1227">
        <v>19.874400000000001</v>
      </c>
    </row>
    <row r="1228" spans="1:21" x14ac:dyDescent="0.35">
      <c r="A1228" s="1"/>
      <c r="U1228">
        <v>3.6587999999999998</v>
      </c>
    </row>
    <row r="1229" spans="1:21" x14ac:dyDescent="0.35">
      <c r="A1229" s="1"/>
      <c r="U1229">
        <v>11.631600000000001</v>
      </c>
    </row>
    <row r="1230" spans="1:21" x14ac:dyDescent="0.35">
      <c r="A1230" s="1"/>
      <c r="U1230">
        <v>7.4871999999999996</v>
      </c>
    </row>
    <row r="1231" spans="1:21" x14ac:dyDescent="0.35">
      <c r="A1231" s="1"/>
      <c r="U1231">
        <v>2.9681999999999999</v>
      </c>
    </row>
    <row r="1232" spans="1:21" x14ac:dyDescent="0.35">
      <c r="A1232" s="1"/>
      <c r="U1232">
        <v>1.7607999999999999</v>
      </c>
    </row>
    <row r="1233" spans="1:21" x14ac:dyDescent="0.35">
      <c r="U1233">
        <v>0.7228</v>
      </c>
    </row>
    <row r="1234" spans="1:21" x14ac:dyDescent="0.35">
      <c r="U1234">
        <v>35.981999999999999</v>
      </c>
    </row>
    <row r="1235" spans="1:21" x14ac:dyDescent="0.35">
      <c r="U1235">
        <v>69.998999999999995</v>
      </c>
    </row>
    <row r="1236" spans="1:21" x14ac:dyDescent="0.35">
      <c r="U1236">
        <v>13.786199999999999</v>
      </c>
    </row>
    <row r="1237" spans="1:21" x14ac:dyDescent="0.35">
      <c r="U1237">
        <v>-29.94</v>
      </c>
    </row>
    <row r="1238" spans="1:21" x14ac:dyDescent="0.35">
      <c r="U1238">
        <v>0</v>
      </c>
    </row>
    <row r="1239" spans="1:21" x14ac:dyDescent="0.35">
      <c r="U1239">
        <v>41.262</v>
      </c>
    </row>
    <row r="1240" spans="1:21" x14ac:dyDescent="0.35">
      <c r="A1240" s="1"/>
      <c r="U1240">
        <v>5.4340000000000002</v>
      </c>
    </row>
    <row r="1241" spans="1:21" x14ac:dyDescent="0.35">
      <c r="A1241" s="1"/>
      <c r="U1241">
        <v>10.652200000000001</v>
      </c>
    </row>
    <row r="1242" spans="1:21" x14ac:dyDescent="0.35">
      <c r="A1242" s="1"/>
      <c r="U1242">
        <v>10.7912</v>
      </c>
    </row>
    <row r="1243" spans="1:21" x14ac:dyDescent="0.35">
      <c r="U1243">
        <v>5.5</v>
      </c>
    </row>
    <row r="1244" spans="1:21" x14ac:dyDescent="0.35">
      <c r="U1244">
        <v>124.485</v>
      </c>
    </row>
    <row r="1245" spans="1:21" x14ac:dyDescent="0.35">
      <c r="U1245">
        <v>3.5752000000000002</v>
      </c>
    </row>
    <row r="1246" spans="1:21" x14ac:dyDescent="0.35">
      <c r="U1246">
        <v>23.8581</v>
      </c>
    </row>
    <row r="1247" spans="1:21" x14ac:dyDescent="0.35">
      <c r="A1247" s="1"/>
      <c r="U1247">
        <v>95.585999999999999</v>
      </c>
    </row>
    <row r="1248" spans="1:21" x14ac:dyDescent="0.35">
      <c r="A1248" s="1"/>
      <c r="U1248">
        <v>135.4068</v>
      </c>
    </row>
    <row r="1249" spans="1:21" x14ac:dyDescent="0.35">
      <c r="A1249" s="1"/>
      <c r="U1249">
        <v>11.998799999999999</v>
      </c>
    </row>
    <row r="1250" spans="1:21" x14ac:dyDescent="0.35">
      <c r="U1250">
        <v>17.469000000000001</v>
      </c>
    </row>
    <row r="1251" spans="1:21" x14ac:dyDescent="0.35">
      <c r="U1251">
        <v>139.5702</v>
      </c>
    </row>
    <row r="1252" spans="1:21" x14ac:dyDescent="0.35">
      <c r="U1252">
        <v>511.36799999999999</v>
      </c>
    </row>
    <row r="1253" spans="1:21" x14ac:dyDescent="0.35">
      <c r="U1253">
        <v>1.3759999999999999</v>
      </c>
    </row>
    <row r="1254" spans="1:21" x14ac:dyDescent="0.35">
      <c r="A1254" s="1"/>
      <c r="U1254">
        <v>285.9896</v>
      </c>
    </row>
    <row r="1255" spans="1:21" x14ac:dyDescent="0.35">
      <c r="A1255" s="1"/>
      <c r="U1255">
        <v>0.59040000000000004</v>
      </c>
    </row>
    <row r="1256" spans="1:21" x14ac:dyDescent="0.35">
      <c r="A1256" s="1"/>
      <c r="U1256">
        <v>-8.3789999999999996</v>
      </c>
    </row>
    <row r="1257" spans="1:21" x14ac:dyDescent="0.35">
      <c r="A1257" s="1"/>
      <c r="U1257">
        <v>0.50219999999999998</v>
      </c>
    </row>
    <row r="1258" spans="1:21" x14ac:dyDescent="0.35">
      <c r="A1258" s="1"/>
      <c r="U1258">
        <v>11.516400000000001</v>
      </c>
    </row>
    <row r="1259" spans="1:21" x14ac:dyDescent="0.35">
      <c r="U1259">
        <v>-20.4468</v>
      </c>
    </row>
    <row r="1260" spans="1:21" x14ac:dyDescent="0.35">
      <c r="U1260">
        <v>-47.254199999999997</v>
      </c>
    </row>
    <row r="1261" spans="1:21" x14ac:dyDescent="0.35">
      <c r="U1261">
        <v>76.703999999999994</v>
      </c>
    </row>
    <row r="1262" spans="1:21" x14ac:dyDescent="0.35">
      <c r="U1262">
        <v>107.985</v>
      </c>
    </row>
    <row r="1263" spans="1:21" x14ac:dyDescent="0.35">
      <c r="U1263">
        <v>-14.0928</v>
      </c>
    </row>
    <row r="1264" spans="1:21" x14ac:dyDescent="0.35">
      <c r="A1264" s="1"/>
      <c r="U1264">
        <v>6.3335999999999997</v>
      </c>
    </row>
    <row r="1265" spans="1:21" x14ac:dyDescent="0.35">
      <c r="A1265" s="1"/>
      <c r="U1265">
        <v>18.873000000000001</v>
      </c>
    </row>
    <row r="1266" spans="1:21" x14ac:dyDescent="0.35">
      <c r="A1266" s="1"/>
      <c r="U1266">
        <v>10.881</v>
      </c>
    </row>
    <row r="1267" spans="1:21" x14ac:dyDescent="0.35">
      <c r="A1267" s="1"/>
      <c r="U1267">
        <v>1.7739</v>
      </c>
    </row>
    <row r="1268" spans="1:21" x14ac:dyDescent="0.35">
      <c r="U1268">
        <v>41.429400000000001</v>
      </c>
    </row>
    <row r="1269" spans="1:21" x14ac:dyDescent="0.35">
      <c r="U1269">
        <v>18.266999999999999</v>
      </c>
    </row>
    <row r="1270" spans="1:21" x14ac:dyDescent="0.35">
      <c r="U1270">
        <v>3.6659999999999999</v>
      </c>
    </row>
    <row r="1271" spans="1:21" x14ac:dyDescent="0.35">
      <c r="A1271" s="1"/>
      <c r="U1271">
        <v>5.6159999999999997</v>
      </c>
    </row>
    <row r="1272" spans="1:21" x14ac:dyDescent="0.35">
      <c r="U1272">
        <v>-12.792</v>
      </c>
    </row>
    <row r="1273" spans="1:21" x14ac:dyDescent="0.35">
      <c r="U1273">
        <v>-126.8592</v>
      </c>
    </row>
    <row r="1274" spans="1:21" x14ac:dyDescent="0.35">
      <c r="U1274">
        <v>-67.272000000000006</v>
      </c>
    </row>
    <row r="1275" spans="1:21" x14ac:dyDescent="0.35">
      <c r="U1275">
        <v>3.6288</v>
      </c>
    </row>
    <row r="1276" spans="1:21" x14ac:dyDescent="0.35">
      <c r="U1276">
        <v>-88.784000000000006</v>
      </c>
    </row>
    <row r="1277" spans="1:21" x14ac:dyDescent="0.35">
      <c r="U1277">
        <v>5.2026000000000003</v>
      </c>
    </row>
    <row r="1278" spans="1:21" x14ac:dyDescent="0.35">
      <c r="U1278">
        <v>-7.1990999999999996</v>
      </c>
    </row>
    <row r="1279" spans="1:21" x14ac:dyDescent="0.35">
      <c r="A1279" s="1"/>
      <c r="U1279">
        <v>5.3970000000000002</v>
      </c>
    </row>
    <row r="1280" spans="1:21" x14ac:dyDescent="0.35">
      <c r="A1280" s="1"/>
      <c r="U1280">
        <v>12.8583</v>
      </c>
    </row>
    <row r="1281" spans="1:21" x14ac:dyDescent="0.35">
      <c r="A1281" s="1"/>
      <c r="U1281">
        <v>30.1968</v>
      </c>
    </row>
    <row r="1282" spans="1:21" x14ac:dyDescent="0.35">
      <c r="A1282" s="1"/>
      <c r="U1282">
        <v>80.736000000000004</v>
      </c>
    </row>
    <row r="1283" spans="1:21" x14ac:dyDescent="0.35">
      <c r="A1283" s="1"/>
      <c r="U1283">
        <v>4.9139999999999997</v>
      </c>
    </row>
    <row r="1284" spans="1:21" x14ac:dyDescent="0.35">
      <c r="A1284" s="1"/>
      <c r="U1284">
        <v>-13.363</v>
      </c>
    </row>
    <row r="1285" spans="1:21" x14ac:dyDescent="0.35">
      <c r="A1285" s="1"/>
      <c r="U1285">
        <v>88.073999999999998</v>
      </c>
    </row>
    <row r="1286" spans="1:21" x14ac:dyDescent="0.35">
      <c r="A1286" s="1"/>
      <c r="U1286">
        <v>-4.851</v>
      </c>
    </row>
    <row r="1287" spans="1:21" x14ac:dyDescent="0.35">
      <c r="U1287">
        <v>1.0429999999999999</v>
      </c>
    </row>
    <row r="1288" spans="1:21" x14ac:dyDescent="0.35">
      <c r="A1288" s="1"/>
      <c r="U1288">
        <v>4.4892000000000003</v>
      </c>
    </row>
    <row r="1289" spans="1:21" x14ac:dyDescent="0.35">
      <c r="U1289">
        <v>11.166399999999999</v>
      </c>
    </row>
    <row r="1290" spans="1:21" x14ac:dyDescent="0.35">
      <c r="U1290">
        <v>4.1147999999999998</v>
      </c>
    </row>
    <row r="1291" spans="1:21" x14ac:dyDescent="0.35">
      <c r="U1291">
        <v>7.4951999999999996</v>
      </c>
    </row>
    <row r="1292" spans="1:21" x14ac:dyDescent="0.35">
      <c r="A1292" s="1"/>
      <c r="U1292">
        <v>4.4603999999999999</v>
      </c>
    </row>
    <row r="1293" spans="1:21" x14ac:dyDescent="0.35">
      <c r="A1293" s="1"/>
      <c r="U1293">
        <v>15.552</v>
      </c>
    </row>
    <row r="1294" spans="1:21" x14ac:dyDescent="0.35">
      <c r="U1294">
        <v>9.2232000000000003</v>
      </c>
    </row>
    <row r="1295" spans="1:21" x14ac:dyDescent="0.35">
      <c r="U1295">
        <v>52.531999999999996</v>
      </c>
    </row>
    <row r="1296" spans="1:21" x14ac:dyDescent="0.35">
      <c r="U1296">
        <v>1.4783999999999999</v>
      </c>
    </row>
    <row r="1297" spans="1:21" x14ac:dyDescent="0.35">
      <c r="U1297">
        <v>84.572800000000001</v>
      </c>
    </row>
    <row r="1298" spans="1:21" x14ac:dyDescent="0.35">
      <c r="U1298">
        <v>4.5187999999999997</v>
      </c>
    </row>
    <row r="1299" spans="1:21" x14ac:dyDescent="0.35">
      <c r="U1299">
        <v>6.4749999999999996</v>
      </c>
    </row>
    <row r="1300" spans="1:21" x14ac:dyDescent="0.35">
      <c r="A1300" s="1"/>
      <c r="U1300">
        <v>2.2989999999999999</v>
      </c>
    </row>
    <row r="1301" spans="1:21" x14ac:dyDescent="0.35">
      <c r="A1301" s="1"/>
      <c r="U1301">
        <v>7.0095999999999998</v>
      </c>
    </row>
    <row r="1302" spans="1:21" x14ac:dyDescent="0.35">
      <c r="U1302">
        <v>166.10040000000001</v>
      </c>
    </row>
    <row r="1303" spans="1:21" x14ac:dyDescent="0.35">
      <c r="U1303">
        <v>83.050200000000004</v>
      </c>
    </row>
    <row r="1304" spans="1:21" x14ac:dyDescent="0.35">
      <c r="U1304">
        <v>4.3372000000000002</v>
      </c>
    </row>
    <row r="1305" spans="1:21" x14ac:dyDescent="0.35">
      <c r="A1305" s="1"/>
      <c r="U1305">
        <v>5.5176999999999996</v>
      </c>
    </row>
    <row r="1306" spans="1:21" x14ac:dyDescent="0.35">
      <c r="A1306" s="1"/>
      <c r="U1306">
        <v>77.751900000000006</v>
      </c>
    </row>
    <row r="1307" spans="1:21" x14ac:dyDescent="0.35">
      <c r="U1307">
        <v>52.493000000000002</v>
      </c>
    </row>
    <row r="1308" spans="1:21" x14ac:dyDescent="0.35">
      <c r="U1308">
        <v>22.444800000000001</v>
      </c>
    </row>
    <row r="1309" spans="1:21" x14ac:dyDescent="0.35">
      <c r="U1309">
        <v>6.4206000000000003</v>
      </c>
    </row>
    <row r="1310" spans="1:21" x14ac:dyDescent="0.35">
      <c r="U1310">
        <v>5.6627999999999998</v>
      </c>
    </row>
    <row r="1311" spans="1:21" x14ac:dyDescent="0.35">
      <c r="U1311">
        <v>9.7164000000000001</v>
      </c>
    </row>
    <row r="1312" spans="1:21" x14ac:dyDescent="0.35">
      <c r="U1312">
        <v>-8.0784000000000002</v>
      </c>
    </row>
    <row r="1313" spans="1:21" x14ac:dyDescent="0.35">
      <c r="A1313" s="1"/>
      <c r="U1313">
        <v>1.7343</v>
      </c>
    </row>
    <row r="1314" spans="1:21" x14ac:dyDescent="0.35">
      <c r="A1314" s="1"/>
      <c r="U1314">
        <v>56.175199999999997</v>
      </c>
    </row>
    <row r="1315" spans="1:21" x14ac:dyDescent="0.35">
      <c r="U1315">
        <v>-13.317600000000001</v>
      </c>
    </row>
    <row r="1316" spans="1:21" x14ac:dyDescent="0.35">
      <c r="U1316">
        <v>18.662400000000002</v>
      </c>
    </row>
    <row r="1317" spans="1:21" x14ac:dyDescent="0.35">
      <c r="U1317">
        <v>62.505600000000001</v>
      </c>
    </row>
    <row r="1318" spans="1:21" x14ac:dyDescent="0.35">
      <c r="U1318">
        <v>28.965</v>
      </c>
    </row>
    <row r="1319" spans="1:21" x14ac:dyDescent="0.35">
      <c r="A1319" s="1"/>
      <c r="U1319">
        <v>3.3725000000000001</v>
      </c>
    </row>
    <row r="1320" spans="1:21" x14ac:dyDescent="0.35">
      <c r="A1320" s="1"/>
      <c r="U1320">
        <v>71.989999999999995</v>
      </c>
    </row>
    <row r="1321" spans="1:21" x14ac:dyDescent="0.35">
      <c r="A1321" s="1"/>
      <c r="U1321">
        <v>-3.6288</v>
      </c>
    </row>
    <row r="1322" spans="1:21" x14ac:dyDescent="0.35">
      <c r="A1322" s="1"/>
      <c r="U1322">
        <v>-4.1832000000000003</v>
      </c>
    </row>
    <row r="1323" spans="1:21" x14ac:dyDescent="0.35">
      <c r="A1323" s="1"/>
      <c r="U1323">
        <v>35.694000000000003</v>
      </c>
    </row>
    <row r="1324" spans="1:21" x14ac:dyDescent="0.35">
      <c r="A1324" s="1"/>
      <c r="U1324">
        <v>19.655999999999999</v>
      </c>
    </row>
    <row r="1325" spans="1:21" x14ac:dyDescent="0.35">
      <c r="A1325" s="1"/>
      <c r="U1325">
        <v>3.5152000000000001</v>
      </c>
    </row>
    <row r="1326" spans="1:21" x14ac:dyDescent="0.35">
      <c r="U1326">
        <v>12.4902</v>
      </c>
    </row>
    <row r="1327" spans="1:21" x14ac:dyDescent="0.35">
      <c r="U1327">
        <v>-30.555</v>
      </c>
    </row>
    <row r="1328" spans="1:21" x14ac:dyDescent="0.35">
      <c r="U1328">
        <v>5.1071999999999997</v>
      </c>
    </row>
    <row r="1329" spans="1:21" x14ac:dyDescent="0.35">
      <c r="U1329">
        <v>5.5566000000000004</v>
      </c>
    </row>
    <row r="1330" spans="1:21" x14ac:dyDescent="0.35">
      <c r="U1330">
        <v>26.376000000000001</v>
      </c>
    </row>
    <row r="1331" spans="1:21" x14ac:dyDescent="0.35">
      <c r="U1331">
        <v>16.302</v>
      </c>
    </row>
    <row r="1332" spans="1:21" x14ac:dyDescent="0.35">
      <c r="A1332" s="1"/>
      <c r="U1332">
        <v>-0.64349999999999996</v>
      </c>
    </row>
    <row r="1333" spans="1:21" x14ac:dyDescent="0.35">
      <c r="A1333" s="1"/>
      <c r="U1333">
        <v>2.4009999999999998</v>
      </c>
    </row>
    <row r="1334" spans="1:21" x14ac:dyDescent="0.35">
      <c r="U1334">
        <v>-1.728</v>
      </c>
    </row>
    <row r="1335" spans="1:21" x14ac:dyDescent="0.35">
      <c r="U1335">
        <v>-13.93</v>
      </c>
    </row>
    <row r="1336" spans="1:21" x14ac:dyDescent="0.35">
      <c r="A1336" s="1"/>
      <c r="U1336">
        <v>52.776000000000003</v>
      </c>
    </row>
    <row r="1337" spans="1:21" x14ac:dyDescent="0.35">
      <c r="U1337">
        <v>0</v>
      </c>
    </row>
    <row r="1338" spans="1:21" x14ac:dyDescent="0.35">
      <c r="A1338" s="1"/>
      <c r="U1338">
        <v>6.5286</v>
      </c>
    </row>
    <row r="1339" spans="1:21" x14ac:dyDescent="0.35">
      <c r="U1339">
        <v>8.0405999999999995</v>
      </c>
    </row>
    <row r="1340" spans="1:21" x14ac:dyDescent="0.35">
      <c r="U1340">
        <v>176.17080000000001</v>
      </c>
    </row>
    <row r="1341" spans="1:21" x14ac:dyDescent="0.35">
      <c r="U1341">
        <v>36.019199999999998</v>
      </c>
    </row>
    <row r="1342" spans="1:21" x14ac:dyDescent="0.35">
      <c r="A1342" s="1"/>
      <c r="U1342">
        <v>-27.827999999999999</v>
      </c>
    </row>
    <row r="1343" spans="1:21" x14ac:dyDescent="0.35">
      <c r="A1343" s="1"/>
      <c r="U1343">
        <v>-12.528</v>
      </c>
    </row>
    <row r="1344" spans="1:21" x14ac:dyDescent="0.35">
      <c r="A1344" s="1"/>
      <c r="U1344">
        <v>-21.159600000000001</v>
      </c>
    </row>
    <row r="1345" spans="1:21" x14ac:dyDescent="0.35">
      <c r="U1345">
        <v>14.346</v>
      </c>
    </row>
    <row r="1346" spans="1:21" x14ac:dyDescent="0.35">
      <c r="U1346">
        <v>6.0030000000000001</v>
      </c>
    </row>
    <row r="1347" spans="1:21" x14ac:dyDescent="0.35">
      <c r="U1347">
        <v>36.574199999999998</v>
      </c>
    </row>
    <row r="1348" spans="1:21" x14ac:dyDescent="0.35">
      <c r="U1348">
        <v>23.59</v>
      </c>
    </row>
    <row r="1349" spans="1:21" x14ac:dyDescent="0.35">
      <c r="U1349">
        <v>5.7072000000000003</v>
      </c>
    </row>
    <row r="1350" spans="1:21" x14ac:dyDescent="0.35">
      <c r="U1350">
        <v>25.097999999999999</v>
      </c>
    </row>
    <row r="1351" spans="1:21" x14ac:dyDescent="0.35">
      <c r="U1351">
        <v>17.2224</v>
      </c>
    </row>
    <row r="1352" spans="1:21" x14ac:dyDescent="0.35">
      <c r="A1352" s="1"/>
      <c r="U1352">
        <v>-70.104299999999995</v>
      </c>
    </row>
    <row r="1353" spans="1:21" x14ac:dyDescent="0.35">
      <c r="U1353">
        <v>7.85</v>
      </c>
    </row>
    <row r="1354" spans="1:21" x14ac:dyDescent="0.35">
      <c r="A1354" s="1"/>
      <c r="U1354">
        <v>20.695499999999999</v>
      </c>
    </row>
    <row r="1355" spans="1:21" x14ac:dyDescent="0.35">
      <c r="A1355" s="1"/>
      <c r="U1355">
        <v>8.4527999999999999</v>
      </c>
    </row>
    <row r="1356" spans="1:21" x14ac:dyDescent="0.35">
      <c r="A1356" s="1"/>
      <c r="U1356">
        <v>11.283899999999999</v>
      </c>
    </row>
    <row r="1357" spans="1:21" x14ac:dyDescent="0.35">
      <c r="A1357" s="1"/>
      <c r="U1357">
        <v>-44.155200000000001</v>
      </c>
    </row>
    <row r="1358" spans="1:21" x14ac:dyDescent="0.35">
      <c r="A1358" s="1"/>
      <c r="U1358">
        <v>-35.177999999999997</v>
      </c>
    </row>
    <row r="1359" spans="1:21" x14ac:dyDescent="0.35">
      <c r="A1359" s="1"/>
      <c r="U1359">
        <v>36.404400000000003</v>
      </c>
    </row>
    <row r="1360" spans="1:21" x14ac:dyDescent="0.35">
      <c r="U1360">
        <v>-1.4413</v>
      </c>
    </row>
    <row r="1361" spans="1:21" x14ac:dyDescent="0.35">
      <c r="U1361">
        <v>0</v>
      </c>
    </row>
    <row r="1362" spans="1:21" x14ac:dyDescent="0.35">
      <c r="U1362">
        <v>9.2441999999999993</v>
      </c>
    </row>
    <row r="1363" spans="1:21" x14ac:dyDescent="0.35">
      <c r="U1363">
        <v>7.4</v>
      </c>
    </row>
    <row r="1364" spans="1:21" x14ac:dyDescent="0.35">
      <c r="U1364">
        <v>-56.755600000000001</v>
      </c>
    </row>
    <row r="1365" spans="1:21" x14ac:dyDescent="0.35">
      <c r="A1365" s="1"/>
      <c r="U1365">
        <v>-25.591999999999999</v>
      </c>
    </row>
    <row r="1366" spans="1:21" x14ac:dyDescent="0.35">
      <c r="A1366" s="1"/>
      <c r="U1366">
        <v>-63.996000000000002</v>
      </c>
    </row>
    <row r="1367" spans="1:21" x14ac:dyDescent="0.35">
      <c r="A1367" s="1"/>
      <c r="U1367">
        <v>-35.992800000000003</v>
      </c>
    </row>
    <row r="1368" spans="1:21" x14ac:dyDescent="0.35">
      <c r="A1368" s="1"/>
      <c r="U1368">
        <v>15.1188</v>
      </c>
    </row>
    <row r="1369" spans="1:21" x14ac:dyDescent="0.35">
      <c r="A1369" s="1"/>
      <c r="U1369">
        <v>-146.1096</v>
      </c>
    </row>
    <row r="1370" spans="1:21" x14ac:dyDescent="0.35">
      <c r="A1370" s="1"/>
      <c r="U1370">
        <v>62.737000000000002</v>
      </c>
    </row>
    <row r="1371" spans="1:21" x14ac:dyDescent="0.35">
      <c r="U1371">
        <v>-786.74400000000003</v>
      </c>
    </row>
    <row r="1372" spans="1:21" x14ac:dyDescent="0.35">
      <c r="U1372">
        <v>1.5794999999999999</v>
      </c>
    </row>
    <row r="1373" spans="1:21" x14ac:dyDescent="0.35">
      <c r="A1373" s="1"/>
      <c r="U1373">
        <v>4.9080000000000004</v>
      </c>
    </row>
    <row r="1374" spans="1:21" x14ac:dyDescent="0.35">
      <c r="A1374" s="1"/>
      <c r="U1374">
        <v>14.8</v>
      </c>
    </row>
    <row r="1375" spans="1:21" x14ac:dyDescent="0.35">
      <c r="A1375" s="1"/>
      <c r="U1375">
        <v>5.5536000000000003</v>
      </c>
    </row>
    <row r="1376" spans="1:21" x14ac:dyDescent="0.35">
      <c r="U1376">
        <v>118.6575</v>
      </c>
    </row>
    <row r="1377" spans="1:21" x14ac:dyDescent="0.35">
      <c r="A1377" s="1"/>
      <c r="U1377">
        <v>305.13</v>
      </c>
    </row>
    <row r="1378" spans="1:21" x14ac:dyDescent="0.35">
      <c r="A1378" s="1"/>
      <c r="U1378">
        <v>219.44159999999999</v>
      </c>
    </row>
    <row r="1379" spans="1:21" x14ac:dyDescent="0.35">
      <c r="A1379" s="1"/>
      <c r="U1379">
        <v>4.2640000000000002</v>
      </c>
    </row>
    <row r="1380" spans="1:21" x14ac:dyDescent="0.35">
      <c r="A1380" s="1"/>
      <c r="U1380">
        <v>34.996499999999997</v>
      </c>
    </row>
    <row r="1381" spans="1:21" x14ac:dyDescent="0.35">
      <c r="A1381" s="1"/>
      <c r="U1381">
        <v>7.9450000000000003</v>
      </c>
    </row>
    <row r="1382" spans="1:21" x14ac:dyDescent="0.35">
      <c r="A1382" s="1"/>
      <c r="U1382">
        <v>4.7792000000000003</v>
      </c>
    </row>
    <row r="1383" spans="1:21" x14ac:dyDescent="0.35">
      <c r="A1383" s="1"/>
      <c r="U1383">
        <v>-90.248400000000004</v>
      </c>
    </row>
    <row r="1384" spans="1:21" x14ac:dyDescent="0.35">
      <c r="A1384" s="1"/>
      <c r="U1384">
        <v>1.6195999999999999</v>
      </c>
    </row>
    <row r="1385" spans="1:21" x14ac:dyDescent="0.35">
      <c r="A1385" s="1"/>
      <c r="U1385">
        <v>170.9316</v>
      </c>
    </row>
    <row r="1386" spans="1:21" x14ac:dyDescent="0.35">
      <c r="A1386" s="1"/>
      <c r="U1386">
        <v>0.189</v>
      </c>
    </row>
    <row r="1387" spans="1:21" x14ac:dyDescent="0.35">
      <c r="A1387" s="1"/>
      <c r="U1387">
        <v>7.1592000000000002</v>
      </c>
    </row>
    <row r="1388" spans="1:21" x14ac:dyDescent="0.35">
      <c r="A1388" s="1"/>
      <c r="U1388">
        <v>52.7956</v>
      </c>
    </row>
    <row r="1389" spans="1:21" x14ac:dyDescent="0.35">
      <c r="A1389" s="1"/>
      <c r="U1389">
        <v>78.941199999999995</v>
      </c>
    </row>
    <row r="1390" spans="1:21" x14ac:dyDescent="0.35">
      <c r="A1390" s="1"/>
      <c r="U1390">
        <v>28.3095</v>
      </c>
    </row>
    <row r="1391" spans="1:21" x14ac:dyDescent="0.35">
      <c r="A1391" s="1"/>
      <c r="U1391">
        <v>126.0558</v>
      </c>
    </row>
    <row r="1392" spans="1:21" x14ac:dyDescent="0.35">
      <c r="A1392" s="1"/>
      <c r="U1392">
        <v>60.255299999999998</v>
      </c>
    </row>
    <row r="1393" spans="1:21" x14ac:dyDescent="0.35">
      <c r="A1393" s="1"/>
      <c r="U1393">
        <v>1.5444</v>
      </c>
    </row>
    <row r="1394" spans="1:21" x14ac:dyDescent="0.35">
      <c r="A1394" s="1"/>
      <c r="U1394">
        <v>160.91390000000001</v>
      </c>
    </row>
    <row r="1395" spans="1:21" x14ac:dyDescent="0.35">
      <c r="A1395" s="1"/>
      <c r="U1395">
        <v>1.5522</v>
      </c>
    </row>
    <row r="1396" spans="1:21" x14ac:dyDescent="0.35">
      <c r="A1396" s="1"/>
      <c r="U1396">
        <v>-430.61700000000002</v>
      </c>
    </row>
    <row r="1397" spans="1:21" x14ac:dyDescent="0.35">
      <c r="A1397" s="1"/>
      <c r="U1397">
        <v>-42.652799999999999</v>
      </c>
    </row>
    <row r="1398" spans="1:21" x14ac:dyDescent="0.35">
      <c r="U1398">
        <v>6.0255999999999998</v>
      </c>
    </row>
    <row r="1399" spans="1:21" x14ac:dyDescent="0.35">
      <c r="U1399">
        <v>5.6643999999999997</v>
      </c>
    </row>
    <row r="1400" spans="1:21" x14ac:dyDescent="0.35">
      <c r="U1400">
        <v>11.492000000000001</v>
      </c>
    </row>
    <row r="1401" spans="1:21" x14ac:dyDescent="0.35">
      <c r="U1401">
        <v>3.1103999999999998</v>
      </c>
    </row>
    <row r="1402" spans="1:21" x14ac:dyDescent="0.35">
      <c r="A1402" s="1"/>
      <c r="U1402">
        <v>6.1040000000000001</v>
      </c>
    </row>
    <row r="1403" spans="1:21" x14ac:dyDescent="0.35">
      <c r="A1403" s="1"/>
      <c r="U1403">
        <v>118.3413</v>
      </c>
    </row>
    <row r="1404" spans="1:21" x14ac:dyDescent="0.35">
      <c r="U1404">
        <v>-58.133200000000002</v>
      </c>
    </row>
    <row r="1405" spans="1:21" x14ac:dyDescent="0.35">
      <c r="U1405">
        <v>146.79</v>
      </c>
    </row>
    <row r="1406" spans="1:21" x14ac:dyDescent="0.35">
      <c r="A1406" s="1"/>
      <c r="U1406">
        <v>-2.1896</v>
      </c>
    </row>
    <row r="1407" spans="1:21" x14ac:dyDescent="0.35">
      <c r="A1407" s="1"/>
      <c r="U1407">
        <v>-36.111600000000003</v>
      </c>
    </row>
    <row r="1408" spans="1:21" x14ac:dyDescent="0.35">
      <c r="A1408" s="1"/>
      <c r="U1408">
        <v>21.896999999999998</v>
      </c>
    </row>
    <row r="1409" spans="1:21" x14ac:dyDescent="0.35">
      <c r="A1409" s="1"/>
      <c r="U1409">
        <v>19.6248</v>
      </c>
    </row>
    <row r="1410" spans="1:21" x14ac:dyDescent="0.35">
      <c r="A1410" s="1"/>
      <c r="U1410">
        <v>9.9949999999999992</v>
      </c>
    </row>
    <row r="1411" spans="1:21" x14ac:dyDescent="0.35">
      <c r="U1411">
        <v>-204.44579999999999</v>
      </c>
    </row>
    <row r="1412" spans="1:21" x14ac:dyDescent="0.35">
      <c r="A1412" s="1"/>
      <c r="U1412">
        <v>8.8800000000000008</v>
      </c>
    </row>
    <row r="1413" spans="1:21" x14ac:dyDescent="0.35">
      <c r="A1413" s="1"/>
      <c r="U1413">
        <v>72.534400000000005</v>
      </c>
    </row>
    <row r="1414" spans="1:21" x14ac:dyDescent="0.35">
      <c r="A1414" s="1"/>
      <c r="U1414">
        <v>14.8752</v>
      </c>
    </row>
    <row r="1415" spans="1:21" x14ac:dyDescent="0.35">
      <c r="U1415">
        <v>108.7996</v>
      </c>
    </row>
    <row r="1416" spans="1:21" x14ac:dyDescent="0.35">
      <c r="U1416">
        <v>26.396699999999999</v>
      </c>
    </row>
    <row r="1417" spans="1:21" x14ac:dyDescent="0.35">
      <c r="U1417">
        <v>12.8316</v>
      </c>
    </row>
    <row r="1418" spans="1:21" x14ac:dyDescent="0.35">
      <c r="U1418">
        <v>118.29300000000001</v>
      </c>
    </row>
    <row r="1419" spans="1:21" x14ac:dyDescent="0.35">
      <c r="U1419">
        <v>32.130000000000003</v>
      </c>
    </row>
    <row r="1420" spans="1:21" x14ac:dyDescent="0.35">
      <c r="U1420">
        <v>-1.4783999999999999</v>
      </c>
    </row>
    <row r="1421" spans="1:21" x14ac:dyDescent="0.35">
      <c r="U1421">
        <v>31.273599999999998</v>
      </c>
    </row>
    <row r="1422" spans="1:21" x14ac:dyDescent="0.35">
      <c r="U1422">
        <v>-48.392000000000003</v>
      </c>
    </row>
    <row r="1423" spans="1:21" x14ac:dyDescent="0.35">
      <c r="U1423">
        <v>14.409599999999999</v>
      </c>
    </row>
    <row r="1424" spans="1:21" x14ac:dyDescent="0.35">
      <c r="U1424">
        <v>-59.057099999999998</v>
      </c>
    </row>
    <row r="1425" spans="21:21" x14ac:dyDescent="0.35">
      <c r="U1425">
        <v>-1.4987999999999999</v>
      </c>
    </row>
    <row r="1426" spans="21:21" x14ac:dyDescent="0.35">
      <c r="U1426">
        <v>23.096499999999999</v>
      </c>
    </row>
    <row r="1427" spans="21:21" x14ac:dyDescent="0.35">
      <c r="U1427">
        <v>-86.366399999999999</v>
      </c>
    </row>
    <row r="1428" spans="21:21" x14ac:dyDescent="0.35">
      <c r="U1428">
        <v>3.2831999999999999</v>
      </c>
    </row>
    <row r="1429" spans="21:21" x14ac:dyDescent="0.35">
      <c r="U1429">
        <v>7.08</v>
      </c>
    </row>
    <row r="1430" spans="21:21" x14ac:dyDescent="0.35">
      <c r="U1430">
        <v>9.3125</v>
      </c>
    </row>
    <row r="1431" spans="21:21" x14ac:dyDescent="0.35">
      <c r="U1431">
        <v>196.61320000000001</v>
      </c>
    </row>
    <row r="1432" spans="21:21" x14ac:dyDescent="0.35">
      <c r="U1432">
        <v>-40.471200000000003</v>
      </c>
    </row>
    <row r="1433" spans="21:21" x14ac:dyDescent="0.35">
      <c r="U1433">
        <v>74.852400000000003</v>
      </c>
    </row>
    <row r="1434" spans="21:21" x14ac:dyDescent="0.35">
      <c r="U1434">
        <v>1.9629000000000001</v>
      </c>
    </row>
    <row r="1435" spans="21:21" x14ac:dyDescent="0.35">
      <c r="U1435">
        <v>163.78739999999999</v>
      </c>
    </row>
    <row r="1436" spans="21:21" x14ac:dyDescent="0.35">
      <c r="U1436">
        <v>15.593999999999999</v>
      </c>
    </row>
    <row r="1437" spans="21:21" x14ac:dyDescent="0.35">
      <c r="U1437">
        <v>10.8864</v>
      </c>
    </row>
    <row r="1438" spans="21:21" x14ac:dyDescent="0.35">
      <c r="U1438">
        <v>0.59040000000000004</v>
      </c>
    </row>
    <row r="1439" spans="21:21" x14ac:dyDescent="0.35">
      <c r="U1439">
        <v>42.880499999999998</v>
      </c>
    </row>
    <row r="1440" spans="21:21" x14ac:dyDescent="0.35">
      <c r="U1440">
        <v>-350.49</v>
      </c>
    </row>
    <row r="1441" spans="1:21" x14ac:dyDescent="0.35">
      <c r="A1441" s="1"/>
      <c r="U1441">
        <v>13.365</v>
      </c>
    </row>
    <row r="1442" spans="1:21" x14ac:dyDescent="0.35">
      <c r="A1442" s="1"/>
      <c r="U1442">
        <v>17.981999999999999</v>
      </c>
    </row>
    <row r="1443" spans="1:21" x14ac:dyDescent="0.35">
      <c r="U1443">
        <v>11.46</v>
      </c>
    </row>
    <row r="1444" spans="1:21" x14ac:dyDescent="0.35">
      <c r="A1444" s="1"/>
      <c r="U1444">
        <v>6.3296000000000001</v>
      </c>
    </row>
    <row r="1445" spans="1:21" x14ac:dyDescent="0.35">
      <c r="A1445" s="1"/>
      <c r="U1445">
        <v>17.428000000000001</v>
      </c>
    </row>
    <row r="1446" spans="1:21" x14ac:dyDescent="0.35">
      <c r="U1446">
        <v>148.49459999999999</v>
      </c>
    </row>
    <row r="1447" spans="1:21" x14ac:dyDescent="0.35">
      <c r="U1447">
        <v>-39.1248</v>
      </c>
    </row>
    <row r="1448" spans="1:21" x14ac:dyDescent="0.35">
      <c r="U1448">
        <v>-87.341800000000006</v>
      </c>
    </row>
    <row r="1449" spans="1:21" x14ac:dyDescent="0.35">
      <c r="U1449">
        <v>5.9980000000000002</v>
      </c>
    </row>
    <row r="1450" spans="1:21" x14ac:dyDescent="0.35">
      <c r="U1450">
        <v>-1.7514000000000001</v>
      </c>
    </row>
    <row r="1451" spans="1:21" x14ac:dyDescent="0.35">
      <c r="A1451" s="1"/>
      <c r="U1451">
        <v>11.093999999999999</v>
      </c>
    </row>
    <row r="1452" spans="1:21" x14ac:dyDescent="0.35">
      <c r="U1452">
        <v>-1.35</v>
      </c>
    </row>
    <row r="1453" spans="1:21" x14ac:dyDescent="0.35">
      <c r="U1453">
        <v>34.780200000000001</v>
      </c>
    </row>
    <row r="1454" spans="1:21" x14ac:dyDescent="0.35">
      <c r="U1454">
        <v>45.84</v>
      </c>
    </row>
    <row r="1455" spans="1:21" x14ac:dyDescent="0.35">
      <c r="U1455">
        <v>16.875</v>
      </c>
    </row>
    <row r="1456" spans="1:21" x14ac:dyDescent="0.35">
      <c r="U1456">
        <v>1459.2</v>
      </c>
    </row>
    <row r="1457" spans="1:21" x14ac:dyDescent="0.35">
      <c r="A1457" s="1"/>
      <c r="U1457">
        <v>41.951999999999998</v>
      </c>
    </row>
    <row r="1458" spans="1:21" x14ac:dyDescent="0.35">
      <c r="A1458" s="1"/>
      <c r="U1458">
        <v>67.941000000000003</v>
      </c>
    </row>
    <row r="1459" spans="1:21" x14ac:dyDescent="0.35">
      <c r="U1459">
        <v>23.49</v>
      </c>
    </row>
    <row r="1460" spans="1:21" x14ac:dyDescent="0.35">
      <c r="U1460">
        <v>5.1791999999999998</v>
      </c>
    </row>
    <row r="1461" spans="1:21" x14ac:dyDescent="0.35">
      <c r="A1461" s="1"/>
      <c r="U1461">
        <v>9.8856000000000002</v>
      </c>
    </row>
    <row r="1462" spans="1:21" x14ac:dyDescent="0.35">
      <c r="A1462" s="1"/>
      <c r="U1462">
        <v>19.398399999999999</v>
      </c>
    </row>
    <row r="1463" spans="1:21" x14ac:dyDescent="0.35">
      <c r="A1463" s="1"/>
      <c r="U1463">
        <v>-31.372199999999999</v>
      </c>
    </row>
    <row r="1464" spans="1:21" x14ac:dyDescent="0.35">
      <c r="U1464">
        <v>43.995600000000003</v>
      </c>
    </row>
    <row r="1465" spans="1:21" x14ac:dyDescent="0.35">
      <c r="U1465">
        <v>-29.2776</v>
      </c>
    </row>
    <row r="1466" spans="1:21" x14ac:dyDescent="0.35">
      <c r="U1466">
        <v>1.8031999999999999</v>
      </c>
    </row>
    <row r="1467" spans="1:21" x14ac:dyDescent="0.35">
      <c r="A1467" s="1"/>
      <c r="U1467">
        <v>-3.0344000000000002</v>
      </c>
    </row>
    <row r="1468" spans="1:21" x14ac:dyDescent="0.35">
      <c r="A1468" s="1"/>
      <c r="U1468">
        <v>-10.7973</v>
      </c>
    </row>
    <row r="1469" spans="1:21" x14ac:dyDescent="0.35">
      <c r="U1469">
        <v>31.995999999999999</v>
      </c>
    </row>
    <row r="1470" spans="1:21" x14ac:dyDescent="0.35">
      <c r="A1470" s="1"/>
      <c r="U1470">
        <v>226.96440000000001</v>
      </c>
    </row>
    <row r="1471" spans="1:21" x14ac:dyDescent="0.35">
      <c r="A1471" s="1"/>
      <c r="U1471">
        <v>19.523800000000001</v>
      </c>
    </row>
    <row r="1472" spans="1:21" x14ac:dyDescent="0.35">
      <c r="A1472" s="1"/>
      <c r="U1472">
        <v>6.2207999999999997</v>
      </c>
    </row>
    <row r="1473" spans="1:21" x14ac:dyDescent="0.35">
      <c r="U1473">
        <v>0.59919999999999995</v>
      </c>
    </row>
    <row r="1474" spans="1:21" x14ac:dyDescent="0.35">
      <c r="A1474" s="1"/>
      <c r="U1474">
        <v>4.0749000000000004</v>
      </c>
    </row>
    <row r="1475" spans="1:21" x14ac:dyDescent="0.35">
      <c r="A1475" s="1"/>
      <c r="U1475">
        <v>-4.0128000000000004</v>
      </c>
    </row>
    <row r="1476" spans="1:21" x14ac:dyDescent="0.35">
      <c r="U1476">
        <v>5.0111999999999997</v>
      </c>
    </row>
    <row r="1477" spans="1:21" x14ac:dyDescent="0.35">
      <c r="U1477">
        <v>6.4206000000000003</v>
      </c>
    </row>
    <row r="1478" spans="1:21" x14ac:dyDescent="0.35">
      <c r="U1478">
        <v>13.2986</v>
      </c>
    </row>
    <row r="1479" spans="1:21" x14ac:dyDescent="0.35">
      <c r="U1479">
        <v>5.8653000000000004</v>
      </c>
    </row>
    <row r="1480" spans="1:21" x14ac:dyDescent="0.35">
      <c r="U1480">
        <v>2.3976000000000002</v>
      </c>
    </row>
    <row r="1481" spans="1:21" x14ac:dyDescent="0.35">
      <c r="A1481" s="1"/>
      <c r="U1481">
        <v>12.441599999999999</v>
      </c>
    </row>
    <row r="1482" spans="1:21" x14ac:dyDescent="0.35">
      <c r="A1482" s="1"/>
      <c r="U1482">
        <v>19.825399999999998</v>
      </c>
    </row>
    <row r="1483" spans="1:21" x14ac:dyDescent="0.35">
      <c r="A1483" s="1"/>
      <c r="U1483">
        <v>8.8062000000000005</v>
      </c>
    </row>
    <row r="1484" spans="1:21" x14ac:dyDescent="0.35">
      <c r="U1484">
        <v>1.7023999999999999</v>
      </c>
    </row>
    <row r="1485" spans="1:21" x14ac:dyDescent="0.35">
      <c r="U1485">
        <v>1.07</v>
      </c>
    </row>
    <row r="1486" spans="1:21" x14ac:dyDescent="0.35">
      <c r="U1486">
        <v>30.09</v>
      </c>
    </row>
    <row r="1487" spans="1:21" x14ac:dyDescent="0.35">
      <c r="U1487">
        <v>1.3160000000000001</v>
      </c>
    </row>
    <row r="1488" spans="1:21" x14ac:dyDescent="0.35">
      <c r="A1488" s="1"/>
      <c r="U1488">
        <v>106.1242</v>
      </c>
    </row>
    <row r="1489" spans="1:21" x14ac:dyDescent="0.35">
      <c r="A1489" s="1"/>
      <c r="U1489">
        <v>37.787399999999998</v>
      </c>
    </row>
    <row r="1490" spans="1:21" x14ac:dyDescent="0.35">
      <c r="A1490" s="1"/>
      <c r="U1490">
        <v>16.614000000000001</v>
      </c>
    </row>
    <row r="1491" spans="1:21" x14ac:dyDescent="0.35">
      <c r="U1491">
        <v>1.764</v>
      </c>
    </row>
    <row r="1492" spans="1:21" x14ac:dyDescent="0.35">
      <c r="U1492">
        <v>28.332000000000001</v>
      </c>
    </row>
    <row r="1493" spans="1:21" x14ac:dyDescent="0.35">
      <c r="U1493">
        <v>2.8812000000000002</v>
      </c>
    </row>
    <row r="1494" spans="1:21" x14ac:dyDescent="0.35">
      <c r="U1494">
        <v>173.74080000000001</v>
      </c>
    </row>
    <row r="1495" spans="1:21" x14ac:dyDescent="0.35">
      <c r="U1495">
        <v>3.6631999999999998</v>
      </c>
    </row>
    <row r="1496" spans="1:21" x14ac:dyDescent="0.35">
      <c r="U1496">
        <v>11.214</v>
      </c>
    </row>
    <row r="1497" spans="1:21" x14ac:dyDescent="0.35">
      <c r="A1497" s="1"/>
      <c r="U1497">
        <v>3.1850000000000001</v>
      </c>
    </row>
    <row r="1498" spans="1:21" x14ac:dyDescent="0.35">
      <c r="A1498" s="1"/>
      <c r="U1498">
        <v>-0.20979999999999999</v>
      </c>
    </row>
    <row r="1499" spans="1:21" x14ac:dyDescent="0.35">
      <c r="A1499" s="1"/>
      <c r="U1499">
        <v>3.7719999999999998</v>
      </c>
    </row>
    <row r="1500" spans="1:21" x14ac:dyDescent="0.35">
      <c r="U1500">
        <v>6.5830000000000002</v>
      </c>
    </row>
    <row r="1501" spans="1:21" x14ac:dyDescent="0.35">
      <c r="A1501" s="1"/>
      <c r="U1501">
        <v>5.8202999999999996</v>
      </c>
    </row>
    <row r="1502" spans="1:21" x14ac:dyDescent="0.35">
      <c r="A1502" s="1"/>
      <c r="U1502">
        <v>69.704999999999998</v>
      </c>
    </row>
    <row r="1503" spans="1:21" x14ac:dyDescent="0.35">
      <c r="A1503" s="1"/>
      <c r="U1503">
        <v>-47.254199999999997</v>
      </c>
    </row>
    <row r="1504" spans="1:21" x14ac:dyDescent="0.35">
      <c r="U1504">
        <v>3.3519999999999999</v>
      </c>
    </row>
    <row r="1505" spans="1:21" x14ac:dyDescent="0.35">
      <c r="U1505">
        <v>3.0813999999999999</v>
      </c>
    </row>
    <row r="1506" spans="1:21" x14ac:dyDescent="0.35">
      <c r="A1506" s="1"/>
      <c r="U1506">
        <v>3.36</v>
      </c>
    </row>
    <row r="1507" spans="1:21" x14ac:dyDescent="0.35">
      <c r="A1507" s="1"/>
      <c r="U1507">
        <v>-175.8708</v>
      </c>
    </row>
    <row r="1508" spans="1:21" x14ac:dyDescent="0.35">
      <c r="U1508">
        <v>5.5875000000000004</v>
      </c>
    </row>
    <row r="1509" spans="1:21" x14ac:dyDescent="0.35">
      <c r="U1509">
        <v>190.08</v>
      </c>
    </row>
    <row r="1510" spans="1:21" x14ac:dyDescent="0.35">
      <c r="A1510" s="1"/>
      <c r="U1510">
        <v>15.525</v>
      </c>
    </row>
    <row r="1511" spans="1:21" x14ac:dyDescent="0.35">
      <c r="A1511" s="1"/>
      <c r="U1511">
        <v>3.0095999999999998</v>
      </c>
    </row>
    <row r="1512" spans="1:21" x14ac:dyDescent="0.35">
      <c r="U1512">
        <v>111.824</v>
      </c>
    </row>
    <row r="1513" spans="1:21" x14ac:dyDescent="0.35">
      <c r="U1513">
        <v>11.820600000000001</v>
      </c>
    </row>
    <row r="1514" spans="1:21" x14ac:dyDescent="0.35">
      <c r="U1514">
        <v>12.504</v>
      </c>
    </row>
    <row r="1515" spans="1:21" x14ac:dyDescent="0.35">
      <c r="U1515">
        <v>-33.139000000000003</v>
      </c>
    </row>
    <row r="1516" spans="1:21" x14ac:dyDescent="0.35">
      <c r="U1516">
        <v>-11.4648</v>
      </c>
    </row>
    <row r="1517" spans="1:21" x14ac:dyDescent="0.35">
      <c r="A1517" s="1"/>
      <c r="U1517">
        <v>-9.0980000000000008</v>
      </c>
    </row>
    <row r="1518" spans="1:21" x14ac:dyDescent="0.35">
      <c r="A1518" s="1"/>
      <c r="U1518">
        <v>116.872</v>
      </c>
    </row>
    <row r="1519" spans="1:21" x14ac:dyDescent="0.35">
      <c r="A1519" s="1"/>
      <c r="U1519">
        <v>27.248000000000001</v>
      </c>
    </row>
    <row r="1520" spans="1:21" x14ac:dyDescent="0.35">
      <c r="A1520" s="1"/>
      <c r="U1520">
        <v>4.3133999999999997</v>
      </c>
    </row>
    <row r="1521" spans="1:21" x14ac:dyDescent="0.35">
      <c r="A1521" s="1"/>
      <c r="U1521">
        <v>7.7343000000000002</v>
      </c>
    </row>
    <row r="1522" spans="1:21" x14ac:dyDescent="0.35">
      <c r="U1522">
        <v>2.0649999999999999</v>
      </c>
    </row>
    <row r="1523" spans="1:21" x14ac:dyDescent="0.35">
      <c r="A1523" s="1"/>
      <c r="U1523">
        <v>48.951599999999999</v>
      </c>
    </row>
    <row r="1524" spans="1:21" x14ac:dyDescent="0.35">
      <c r="A1524" s="1"/>
      <c r="U1524">
        <v>6.7229999999999999</v>
      </c>
    </row>
    <row r="1525" spans="1:21" x14ac:dyDescent="0.35">
      <c r="A1525" s="1"/>
      <c r="U1525">
        <v>61.96</v>
      </c>
    </row>
    <row r="1526" spans="1:21" x14ac:dyDescent="0.35">
      <c r="A1526" s="1"/>
      <c r="U1526">
        <v>-58.687199999999997</v>
      </c>
    </row>
    <row r="1527" spans="1:21" x14ac:dyDescent="0.35">
      <c r="A1527" s="1"/>
      <c r="U1527">
        <v>9.7091999999999992</v>
      </c>
    </row>
    <row r="1528" spans="1:21" x14ac:dyDescent="0.35">
      <c r="U1528">
        <v>0.36399999999999999</v>
      </c>
    </row>
    <row r="1529" spans="1:21" x14ac:dyDescent="0.35">
      <c r="U1529">
        <v>3.3488000000000002</v>
      </c>
    </row>
    <row r="1530" spans="1:21" x14ac:dyDescent="0.35">
      <c r="A1530" s="1"/>
      <c r="U1530">
        <v>0.52359999999999995</v>
      </c>
    </row>
    <row r="1531" spans="1:21" x14ac:dyDescent="0.35">
      <c r="A1531" s="1"/>
      <c r="U1531">
        <v>3.431</v>
      </c>
    </row>
    <row r="1532" spans="1:21" x14ac:dyDescent="0.35">
      <c r="U1532">
        <v>23.234999999999999</v>
      </c>
    </row>
    <row r="1533" spans="1:21" x14ac:dyDescent="0.35">
      <c r="U1533">
        <v>0.80579999999999996</v>
      </c>
    </row>
    <row r="1534" spans="1:21" x14ac:dyDescent="0.35">
      <c r="U1534">
        <v>2.7222</v>
      </c>
    </row>
    <row r="1535" spans="1:21" x14ac:dyDescent="0.35">
      <c r="A1535" s="1"/>
      <c r="U1535">
        <v>0</v>
      </c>
    </row>
    <row r="1536" spans="1:21" x14ac:dyDescent="0.35">
      <c r="A1536" s="1"/>
      <c r="U1536">
        <v>16.7986</v>
      </c>
    </row>
    <row r="1537" spans="1:21" x14ac:dyDescent="0.35">
      <c r="U1537">
        <v>0.40739999999999998</v>
      </c>
    </row>
    <row r="1538" spans="1:21" x14ac:dyDescent="0.35">
      <c r="U1538">
        <v>3.0341999999999998</v>
      </c>
    </row>
    <row r="1539" spans="1:21" x14ac:dyDescent="0.35">
      <c r="U1539">
        <v>11.597099999999999</v>
      </c>
    </row>
    <row r="1540" spans="1:21" x14ac:dyDescent="0.35">
      <c r="U1540">
        <v>6.5119999999999996</v>
      </c>
    </row>
    <row r="1541" spans="1:21" x14ac:dyDescent="0.35">
      <c r="U1541">
        <v>203.56440000000001</v>
      </c>
    </row>
    <row r="1542" spans="1:21" x14ac:dyDescent="0.35">
      <c r="U1542">
        <v>116.3904</v>
      </c>
    </row>
    <row r="1543" spans="1:21" x14ac:dyDescent="0.35">
      <c r="A1543" s="1"/>
      <c r="U1543">
        <v>2.2879999999999998</v>
      </c>
    </row>
    <row r="1544" spans="1:21" x14ac:dyDescent="0.35">
      <c r="A1544" s="1"/>
      <c r="U1544">
        <v>1.7003999999999999</v>
      </c>
    </row>
    <row r="1545" spans="1:21" x14ac:dyDescent="0.35">
      <c r="A1545" s="1"/>
      <c r="U1545">
        <v>29.0136</v>
      </c>
    </row>
    <row r="1546" spans="1:21" x14ac:dyDescent="0.35">
      <c r="A1546" s="1"/>
      <c r="U1546">
        <v>16.0928</v>
      </c>
    </row>
    <row r="1547" spans="1:21" x14ac:dyDescent="0.35">
      <c r="U1547">
        <v>196.68600000000001</v>
      </c>
    </row>
    <row r="1548" spans="1:21" x14ac:dyDescent="0.35">
      <c r="U1548">
        <v>117.432</v>
      </c>
    </row>
    <row r="1549" spans="1:21" x14ac:dyDescent="0.35">
      <c r="U1549">
        <v>-40.650399999999998</v>
      </c>
    </row>
    <row r="1550" spans="1:21" x14ac:dyDescent="0.35">
      <c r="U1550">
        <v>2.3673999999999999</v>
      </c>
    </row>
    <row r="1551" spans="1:21" x14ac:dyDescent="0.35">
      <c r="A1551" s="1"/>
      <c r="U1551">
        <v>174.9975</v>
      </c>
    </row>
    <row r="1552" spans="1:21" x14ac:dyDescent="0.35">
      <c r="U1552">
        <v>-24.708600000000001</v>
      </c>
    </row>
    <row r="1553" spans="1:21" x14ac:dyDescent="0.35">
      <c r="U1553">
        <v>54.860399999999998</v>
      </c>
    </row>
    <row r="1554" spans="1:21" x14ac:dyDescent="0.35">
      <c r="A1554" s="1"/>
      <c r="U1554">
        <v>10.348800000000001</v>
      </c>
    </row>
    <row r="1555" spans="1:21" x14ac:dyDescent="0.35">
      <c r="U1555">
        <v>57.384999999999998</v>
      </c>
    </row>
    <row r="1556" spans="1:21" x14ac:dyDescent="0.35">
      <c r="A1556" s="1"/>
      <c r="U1556">
        <v>1.5311999999999999</v>
      </c>
    </row>
    <row r="1557" spans="1:21" x14ac:dyDescent="0.35">
      <c r="A1557" s="1"/>
      <c r="U1557">
        <v>39.5428</v>
      </c>
    </row>
    <row r="1558" spans="1:21" x14ac:dyDescent="0.35">
      <c r="A1558" s="1"/>
      <c r="U1558">
        <v>3.504</v>
      </c>
    </row>
    <row r="1559" spans="1:21" x14ac:dyDescent="0.35">
      <c r="A1559" s="1"/>
      <c r="U1559">
        <v>9.92</v>
      </c>
    </row>
    <row r="1560" spans="1:21" x14ac:dyDescent="0.35">
      <c r="U1560">
        <v>44.709600000000002</v>
      </c>
    </row>
    <row r="1561" spans="1:21" x14ac:dyDescent="0.35">
      <c r="A1561" s="1"/>
      <c r="U1561">
        <v>12.815099999999999</v>
      </c>
    </row>
    <row r="1562" spans="1:21" x14ac:dyDescent="0.35">
      <c r="A1562" s="1"/>
      <c r="U1562">
        <v>9.0719999999999992</v>
      </c>
    </row>
    <row r="1563" spans="1:21" x14ac:dyDescent="0.35">
      <c r="A1563" s="1"/>
      <c r="U1563">
        <v>0.7228</v>
      </c>
    </row>
    <row r="1564" spans="1:21" x14ac:dyDescent="0.35">
      <c r="U1564">
        <v>-295.9785</v>
      </c>
    </row>
    <row r="1565" spans="1:21" x14ac:dyDescent="0.35">
      <c r="A1565" s="1"/>
      <c r="U1565">
        <v>4.1151</v>
      </c>
    </row>
    <row r="1566" spans="1:21" x14ac:dyDescent="0.35">
      <c r="A1566" s="1"/>
      <c r="U1566">
        <v>17.745000000000001</v>
      </c>
    </row>
    <row r="1567" spans="1:21" x14ac:dyDescent="0.35">
      <c r="U1567">
        <v>39.687899999999999</v>
      </c>
    </row>
    <row r="1568" spans="1:21" x14ac:dyDescent="0.35">
      <c r="U1568">
        <v>-0.26850000000000002</v>
      </c>
    </row>
    <row r="1569" spans="1:21" x14ac:dyDescent="0.35">
      <c r="U1569">
        <v>-13.6152</v>
      </c>
    </row>
    <row r="1570" spans="1:21" x14ac:dyDescent="0.35">
      <c r="A1570" s="1"/>
      <c r="U1570">
        <v>60.255299999999998</v>
      </c>
    </row>
    <row r="1571" spans="1:21" x14ac:dyDescent="0.35">
      <c r="U1571">
        <v>3.7235999999999998</v>
      </c>
    </row>
    <row r="1572" spans="1:21" x14ac:dyDescent="0.35">
      <c r="U1572">
        <v>-67.941000000000003</v>
      </c>
    </row>
    <row r="1573" spans="1:21" x14ac:dyDescent="0.35">
      <c r="U1573">
        <v>10.4832</v>
      </c>
    </row>
    <row r="1574" spans="1:21" x14ac:dyDescent="0.35">
      <c r="U1574">
        <v>6.2979000000000003</v>
      </c>
    </row>
    <row r="1575" spans="1:21" x14ac:dyDescent="0.35">
      <c r="U1575">
        <v>23.84</v>
      </c>
    </row>
    <row r="1576" spans="1:21" x14ac:dyDescent="0.35">
      <c r="U1576">
        <v>-9.1530000000000005</v>
      </c>
    </row>
    <row r="1577" spans="1:21" x14ac:dyDescent="0.35">
      <c r="U1577">
        <v>-21.808</v>
      </c>
    </row>
    <row r="1578" spans="1:21" x14ac:dyDescent="0.35">
      <c r="U1578">
        <v>2.3952</v>
      </c>
    </row>
    <row r="1579" spans="1:21" x14ac:dyDescent="0.35">
      <c r="U1579">
        <v>2.4401999999999999</v>
      </c>
    </row>
    <row r="1580" spans="1:21" x14ac:dyDescent="0.35">
      <c r="U1580">
        <v>49.555199999999999</v>
      </c>
    </row>
    <row r="1581" spans="1:21" x14ac:dyDescent="0.35">
      <c r="A1581" s="1"/>
      <c r="U1581">
        <v>89.3142</v>
      </c>
    </row>
    <row r="1582" spans="1:21" x14ac:dyDescent="0.35">
      <c r="A1582" s="1"/>
      <c r="U1582">
        <v>-153.1224</v>
      </c>
    </row>
    <row r="1583" spans="1:21" x14ac:dyDescent="0.35">
      <c r="A1583" s="1"/>
      <c r="U1583">
        <v>2.9371999999999998</v>
      </c>
    </row>
    <row r="1584" spans="1:21" x14ac:dyDescent="0.35">
      <c r="A1584" s="1"/>
      <c r="U1584">
        <v>456.58800000000002</v>
      </c>
    </row>
    <row r="1585" spans="1:21" x14ac:dyDescent="0.35">
      <c r="A1585" s="1"/>
      <c r="U1585">
        <v>18.345600000000001</v>
      </c>
    </row>
    <row r="1586" spans="1:21" x14ac:dyDescent="0.35">
      <c r="A1586" s="1"/>
      <c r="U1586">
        <v>2.9567999999999999</v>
      </c>
    </row>
    <row r="1587" spans="1:21" x14ac:dyDescent="0.35">
      <c r="A1587" s="1"/>
      <c r="U1587">
        <v>274.38600000000002</v>
      </c>
    </row>
    <row r="1588" spans="1:21" x14ac:dyDescent="0.35">
      <c r="A1588" s="1"/>
      <c r="U1588">
        <v>68.975999999999999</v>
      </c>
    </row>
    <row r="1589" spans="1:21" x14ac:dyDescent="0.35">
      <c r="A1589" s="1"/>
      <c r="U1589">
        <v>5.0054999999999996</v>
      </c>
    </row>
    <row r="1590" spans="1:21" x14ac:dyDescent="0.35">
      <c r="A1590" s="1"/>
      <c r="U1590">
        <v>34.692</v>
      </c>
    </row>
    <row r="1591" spans="1:21" x14ac:dyDescent="0.35">
      <c r="A1591" s="1"/>
      <c r="U1591">
        <v>2.9592000000000001</v>
      </c>
    </row>
    <row r="1592" spans="1:21" x14ac:dyDescent="0.35">
      <c r="U1592">
        <v>5.8604000000000003</v>
      </c>
    </row>
    <row r="1593" spans="1:21" x14ac:dyDescent="0.35">
      <c r="U1593">
        <v>2.9144999999999999</v>
      </c>
    </row>
    <row r="1594" spans="1:21" x14ac:dyDescent="0.35">
      <c r="U1594">
        <v>22.676400000000001</v>
      </c>
    </row>
    <row r="1595" spans="1:21" x14ac:dyDescent="0.35">
      <c r="U1595">
        <v>6.5856000000000003</v>
      </c>
    </row>
    <row r="1596" spans="1:21" x14ac:dyDescent="0.35">
      <c r="U1596">
        <v>-35.905799999999999</v>
      </c>
    </row>
    <row r="1597" spans="1:21" x14ac:dyDescent="0.35">
      <c r="A1597" s="1"/>
      <c r="U1597">
        <v>-2.0568</v>
      </c>
    </row>
    <row r="1598" spans="1:21" x14ac:dyDescent="0.35">
      <c r="U1598">
        <v>175.136</v>
      </c>
    </row>
    <row r="1599" spans="1:21" x14ac:dyDescent="0.35">
      <c r="U1599">
        <v>5.28</v>
      </c>
    </row>
    <row r="1600" spans="1:21" x14ac:dyDescent="0.35">
      <c r="U1600">
        <v>0.50039999999999996</v>
      </c>
    </row>
    <row r="1601" spans="1:21" x14ac:dyDescent="0.35">
      <c r="U1601">
        <v>8.6744000000000003</v>
      </c>
    </row>
    <row r="1602" spans="1:21" x14ac:dyDescent="0.35">
      <c r="U1602">
        <v>-13.993</v>
      </c>
    </row>
    <row r="1603" spans="1:21" x14ac:dyDescent="0.35">
      <c r="A1603" s="1"/>
      <c r="U1603">
        <v>42.392000000000003</v>
      </c>
    </row>
    <row r="1604" spans="1:21" x14ac:dyDescent="0.35">
      <c r="A1604" s="1"/>
      <c r="U1604">
        <v>1.6679999999999999</v>
      </c>
    </row>
    <row r="1605" spans="1:21" x14ac:dyDescent="0.35">
      <c r="U1605">
        <v>45.2226</v>
      </c>
    </row>
    <row r="1606" spans="1:21" x14ac:dyDescent="0.35">
      <c r="U1606">
        <v>12.987</v>
      </c>
    </row>
    <row r="1607" spans="1:21" x14ac:dyDescent="0.35">
      <c r="U1607">
        <v>1.5287999999999999</v>
      </c>
    </row>
    <row r="1608" spans="1:21" x14ac:dyDescent="0.35">
      <c r="U1608">
        <v>21.228000000000002</v>
      </c>
    </row>
    <row r="1609" spans="1:21" x14ac:dyDescent="0.35">
      <c r="U1609">
        <v>1.9710000000000001</v>
      </c>
    </row>
    <row r="1610" spans="1:21" x14ac:dyDescent="0.35">
      <c r="U1610">
        <v>10.224</v>
      </c>
    </row>
    <row r="1611" spans="1:21" x14ac:dyDescent="0.35">
      <c r="U1611">
        <v>3.2675999999999998</v>
      </c>
    </row>
    <row r="1612" spans="1:21" x14ac:dyDescent="0.35">
      <c r="U1612">
        <v>27.3568</v>
      </c>
    </row>
    <row r="1613" spans="1:21" x14ac:dyDescent="0.35">
      <c r="U1613">
        <v>20.1584</v>
      </c>
    </row>
    <row r="1614" spans="1:21" x14ac:dyDescent="0.35">
      <c r="U1614">
        <v>31.494</v>
      </c>
    </row>
    <row r="1615" spans="1:21" x14ac:dyDescent="0.35">
      <c r="U1615">
        <v>290.00580000000002</v>
      </c>
    </row>
    <row r="1616" spans="1:21" x14ac:dyDescent="0.35">
      <c r="U1616">
        <v>-13.646100000000001</v>
      </c>
    </row>
    <row r="1617" spans="1:21" x14ac:dyDescent="0.35">
      <c r="A1617" s="1"/>
      <c r="U1617">
        <v>1.8</v>
      </c>
    </row>
    <row r="1618" spans="1:21" x14ac:dyDescent="0.35">
      <c r="A1618" s="1"/>
      <c r="U1618">
        <v>19.872</v>
      </c>
    </row>
    <row r="1619" spans="1:21" x14ac:dyDescent="0.35">
      <c r="A1619" s="1"/>
      <c r="U1619">
        <v>12.511799999999999</v>
      </c>
    </row>
    <row r="1620" spans="1:21" x14ac:dyDescent="0.35">
      <c r="A1620" s="1"/>
      <c r="U1620">
        <v>8.9220000000000006</v>
      </c>
    </row>
    <row r="1621" spans="1:21" x14ac:dyDescent="0.35">
      <c r="A1621" s="1"/>
      <c r="U1621">
        <v>3.0773999999999999</v>
      </c>
    </row>
    <row r="1622" spans="1:21" x14ac:dyDescent="0.35">
      <c r="A1622" s="1"/>
      <c r="U1622">
        <v>99.23</v>
      </c>
    </row>
    <row r="1623" spans="1:21" x14ac:dyDescent="0.35">
      <c r="A1623" s="1"/>
      <c r="U1623">
        <v>385.37520000000001</v>
      </c>
    </row>
    <row r="1624" spans="1:21" x14ac:dyDescent="0.35">
      <c r="A1624" s="1"/>
      <c r="U1624">
        <v>7.8192000000000004</v>
      </c>
    </row>
    <row r="1625" spans="1:21" x14ac:dyDescent="0.35">
      <c r="A1625" s="1"/>
      <c r="U1625">
        <v>10.5</v>
      </c>
    </row>
    <row r="1626" spans="1:21" x14ac:dyDescent="0.35">
      <c r="U1626">
        <v>84.495000000000005</v>
      </c>
    </row>
    <row r="1627" spans="1:21" x14ac:dyDescent="0.35">
      <c r="U1627">
        <v>556.97400000000005</v>
      </c>
    </row>
    <row r="1628" spans="1:21" x14ac:dyDescent="0.35">
      <c r="U1628">
        <v>141.2775</v>
      </c>
    </row>
    <row r="1629" spans="1:21" x14ac:dyDescent="0.35">
      <c r="U1629">
        <v>155.25</v>
      </c>
    </row>
    <row r="1630" spans="1:21" x14ac:dyDescent="0.35">
      <c r="U1630">
        <v>2.464</v>
      </c>
    </row>
    <row r="1631" spans="1:21" x14ac:dyDescent="0.35">
      <c r="U1631">
        <v>-34.380000000000003</v>
      </c>
    </row>
    <row r="1632" spans="1:21" x14ac:dyDescent="0.35">
      <c r="A1632" s="1"/>
      <c r="U1632">
        <v>88.029899999999998</v>
      </c>
    </row>
    <row r="1633" spans="1:21" x14ac:dyDescent="0.35">
      <c r="A1633" s="1"/>
      <c r="U1633">
        <v>3.7408000000000001</v>
      </c>
    </row>
    <row r="1634" spans="1:21" x14ac:dyDescent="0.35">
      <c r="A1634" s="1"/>
      <c r="U1634">
        <v>3.6288</v>
      </c>
    </row>
    <row r="1635" spans="1:21" x14ac:dyDescent="0.35">
      <c r="A1635" s="1"/>
      <c r="U1635">
        <v>1.57</v>
      </c>
    </row>
    <row r="1636" spans="1:21" x14ac:dyDescent="0.35">
      <c r="A1636" s="1"/>
      <c r="U1636">
        <v>7.2640000000000002</v>
      </c>
    </row>
    <row r="1637" spans="1:21" x14ac:dyDescent="0.35">
      <c r="U1637">
        <v>5.4432</v>
      </c>
    </row>
    <row r="1638" spans="1:21" x14ac:dyDescent="0.35">
      <c r="U1638">
        <v>-167.27</v>
      </c>
    </row>
    <row r="1639" spans="1:21" x14ac:dyDescent="0.35">
      <c r="U1639">
        <v>-87.667199999999994</v>
      </c>
    </row>
    <row r="1640" spans="1:21" x14ac:dyDescent="0.35">
      <c r="U1640">
        <v>9.3312000000000008</v>
      </c>
    </row>
    <row r="1641" spans="1:21" x14ac:dyDescent="0.35">
      <c r="U1641">
        <v>4.4344000000000001</v>
      </c>
    </row>
    <row r="1642" spans="1:21" x14ac:dyDescent="0.35">
      <c r="U1642">
        <v>5.8419999999999996</v>
      </c>
    </row>
    <row r="1643" spans="1:21" x14ac:dyDescent="0.35">
      <c r="U1643">
        <v>17.375399999999999</v>
      </c>
    </row>
    <row r="1644" spans="1:21" x14ac:dyDescent="0.35">
      <c r="U1644">
        <v>3.9449999999999998</v>
      </c>
    </row>
    <row r="1645" spans="1:21" x14ac:dyDescent="0.35">
      <c r="U1645">
        <v>349.33920000000001</v>
      </c>
    </row>
    <row r="1646" spans="1:21" x14ac:dyDescent="0.35">
      <c r="U1646">
        <v>1480.4671000000001</v>
      </c>
    </row>
    <row r="1647" spans="1:21" x14ac:dyDescent="0.35">
      <c r="U1647">
        <v>100.65600000000001</v>
      </c>
    </row>
    <row r="1648" spans="1:21" x14ac:dyDescent="0.35">
      <c r="A1648" s="1"/>
      <c r="U1648">
        <v>-3.0939999999999999</v>
      </c>
    </row>
    <row r="1649" spans="1:21" x14ac:dyDescent="0.35">
      <c r="A1649" s="1"/>
      <c r="U1649">
        <v>-0.71279999999999999</v>
      </c>
    </row>
    <row r="1650" spans="1:21" x14ac:dyDescent="0.35">
      <c r="U1650">
        <v>-100.92</v>
      </c>
    </row>
    <row r="1651" spans="1:21" x14ac:dyDescent="0.35">
      <c r="U1651">
        <v>-9.1788000000000007</v>
      </c>
    </row>
    <row r="1652" spans="1:21" x14ac:dyDescent="0.35">
      <c r="U1652">
        <v>53.860799999999998</v>
      </c>
    </row>
    <row r="1653" spans="1:21" x14ac:dyDescent="0.35">
      <c r="U1653">
        <v>6.4127999999999998</v>
      </c>
    </row>
    <row r="1654" spans="1:21" x14ac:dyDescent="0.35">
      <c r="U1654">
        <v>45.813600000000001</v>
      </c>
    </row>
    <row r="1655" spans="1:21" x14ac:dyDescent="0.35">
      <c r="U1655">
        <v>54.333199999999998</v>
      </c>
    </row>
    <row r="1656" spans="1:21" x14ac:dyDescent="0.35">
      <c r="U1656">
        <v>1.4208000000000001</v>
      </c>
    </row>
    <row r="1657" spans="1:21" x14ac:dyDescent="0.35">
      <c r="U1657">
        <v>2.9567999999999999</v>
      </c>
    </row>
    <row r="1658" spans="1:21" x14ac:dyDescent="0.35">
      <c r="U1658">
        <v>9.5939999999999994</v>
      </c>
    </row>
    <row r="1659" spans="1:21" x14ac:dyDescent="0.35">
      <c r="A1659" s="1"/>
      <c r="U1659">
        <v>10.7849</v>
      </c>
    </row>
    <row r="1660" spans="1:21" x14ac:dyDescent="0.35">
      <c r="U1660">
        <v>10.048500000000001</v>
      </c>
    </row>
    <row r="1661" spans="1:21" x14ac:dyDescent="0.35">
      <c r="U1661">
        <v>27.734999999999999</v>
      </c>
    </row>
    <row r="1662" spans="1:21" x14ac:dyDescent="0.35">
      <c r="U1662">
        <v>5.2140000000000004</v>
      </c>
    </row>
    <row r="1663" spans="1:21" x14ac:dyDescent="0.35">
      <c r="U1663">
        <v>-158.102</v>
      </c>
    </row>
    <row r="1664" spans="1:21" x14ac:dyDescent="0.35">
      <c r="U1664">
        <v>-9.2639999999999993</v>
      </c>
    </row>
    <row r="1665" spans="1:21" x14ac:dyDescent="0.35">
      <c r="U1665">
        <v>3.6680000000000001</v>
      </c>
    </row>
    <row r="1666" spans="1:21" x14ac:dyDescent="0.35">
      <c r="U1666">
        <v>-7.4394</v>
      </c>
    </row>
    <row r="1667" spans="1:21" x14ac:dyDescent="0.35">
      <c r="U1667">
        <v>0.86880000000000002</v>
      </c>
    </row>
    <row r="1668" spans="1:21" x14ac:dyDescent="0.35">
      <c r="U1668">
        <v>-2.3748</v>
      </c>
    </row>
    <row r="1669" spans="1:21" x14ac:dyDescent="0.35">
      <c r="U1669">
        <v>23.234999999999999</v>
      </c>
    </row>
    <row r="1670" spans="1:21" x14ac:dyDescent="0.35">
      <c r="U1670">
        <v>1.5794999999999999</v>
      </c>
    </row>
    <row r="1671" spans="1:21" x14ac:dyDescent="0.35">
      <c r="A1671" s="1"/>
      <c r="U1671">
        <v>-373.3048</v>
      </c>
    </row>
    <row r="1672" spans="1:21" x14ac:dyDescent="0.35">
      <c r="U1672">
        <v>5.2125000000000004</v>
      </c>
    </row>
    <row r="1673" spans="1:21" x14ac:dyDescent="0.35">
      <c r="U1673">
        <v>19.331399999999999</v>
      </c>
    </row>
    <row r="1674" spans="1:21" x14ac:dyDescent="0.35">
      <c r="A1674" s="1"/>
      <c r="U1674">
        <v>62.988</v>
      </c>
    </row>
    <row r="1675" spans="1:21" x14ac:dyDescent="0.35">
      <c r="A1675" s="1"/>
      <c r="U1675">
        <v>96.343800000000002</v>
      </c>
    </row>
    <row r="1676" spans="1:21" x14ac:dyDescent="0.35">
      <c r="U1676">
        <v>-10.419600000000001</v>
      </c>
    </row>
    <row r="1677" spans="1:21" x14ac:dyDescent="0.35">
      <c r="U1677">
        <v>-10.211399999999999</v>
      </c>
    </row>
    <row r="1678" spans="1:21" x14ac:dyDescent="0.35">
      <c r="U1678">
        <v>26.07</v>
      </c>
    </row>
    <row r="1679" spans="1:21" x14ac:dyDescent="0.35">
      <c r="U1679">
        <v>8.7905999999999995</v>
      </c>
    </row>
    <row r="1680" spans="1:21" x14ac:dyDescent="0.35">
      <c r="A1680" s="1"/>
      <c r="U1680">
        <v>-14.5764</v>
      </c>
    </row>
    <row r="1681" spans="1:21" x14ac:dyDescent="0.35">
      <c r="A1681" s="1"/>
      <c r="U1681">
        <v>4.3175999999999997</v>
      </c>
    </row>
    <row r="1682" spans="1:21" x14ac:dyDescent="0.35">
      <c r="A1682" s="1"/>
      <c r="U1682">
        <v>8.4735999999999994</v>
      </c>
    </row>
    <row r="1683" spans="1:21" x14ac:dyDescent="0.35">
      <c r="A1683" s="1"/>
      <c r="U1683">
        <v>-559.35599999999999</v>
      </c>
    </row>
    <row r="1684" spans="1:21" x14ac:dyDescent="0.35">
      <c r="U1684">
        <v>9.1056000000000008</v>
      </c>
    </row>
    <row r="1685" spans="1:21" x14ac:dyDescent="0.35">
      <c r="A1685" s="1"/>
      <c r="U1685">
        <v>6.2244000000000002</v>
      </c>
    </row>
    <row r="1686" spans="1:21" x14ac:dyDescent="0.35">
      <c r="U1686">
        <v>12.41</v>
      </c>
    </row>
    <row r="1687" spans="1:21" x14ac:dyDescent="0.35">
      <c r="U1687">
        <v>-0.99</v>
      </c>
    </row>
    <row r="1688" spans="1:21" x14ac:dyDescent="0.35">
      <c r="U1688">
        <v>-5.7637999999999998</v>
      </c>
    </row>
    <row r="1689" spans="1:21" x14ac:dyDescent="0.35">
      <c r="A1689" s="1"/>
      <c r="U1689">
        <v>3.6288</v>
      </c>
    </row>
    <row r="1690" spans="1:21" x14ac:dyDescent="0.35">
      <c r="A1690" s="1"/>
      <c r="U1690">
        <v>23.315999999999999</v>
      </c>
    </row>
    <row r="1691" spans="1:21" x14ac:dyDescent="0.35">
      <c r="U1691">
        <v>-227.49119999999999</v>
      </c>
    </row>
    <row r="1692" spans="1:21" x14ac:dyDescent="0.35">
      <c r="A1692" s="1"/>
      <c r="U1692">
        <v>15.387</v>
      </c>
    </row>
    <row r="1693" spans="1:21" x14ac:dyDescent="0.35">
      <c r="A1693" s="1"/>
      <c r="U1693">
        <v>5.0960000000000001</v>
      </c>
    </row>
    <row r="1694" spans="1:21" x14ac:dyDescent="0.35">
      <c r="U1694">
        <v>6.2904999999999998</v>
      </c>
    </row>
    <row r="1695" spans="1:21" x14ac:dyDescent="0.35">
      <c r="U1695">
        <v>3.5741999999999998</v>
      </c>
    </row>
    <row r="1696" spans="1:21" x14ac:dyDescent="0.35">
      <c r="U1696">
        <v>19.8276</v>
      </c>
    </row>
    <row r="1697" spans="1:21" x14ac:dyDescent="0.35">
      <c r="U1697">
        <v>7.0853999999999999</v>
      </c>
    </row>
    <row r="1698" spans="1:21" x14ac:dyDescent="0.35">
      <c r="U1698">
        <v>52.49</v>
      </c>
    </row>
    <row r="1699" spans="1:21" x14ac:dyDescent="0.35">
      <c r="U1699">
        <v>31.0184</v>
      </c>
    </row>
    <row r="1700" spans="1:21" x14ac:dyDescent="0.35">
      <c r="U1700">
        <v>10.348800000000001</v>
      </c>
    </row>
    <row r="1701" spans="1:21" x14ac:dyDescent="0.35">
      <c r="A1701" s="1"/>
      <c r="U1701">
        <v>113.4936</v>
      </c>
    </row>
    <row r="1702" spans="1:21" x14ac:dyDescent="0.35">
      <c r="U1702">
        <v>4.2804000000000002</v>
      </c>
    </row>
    <row r="1703" spans="1:21" x14ac:dyDescent="0.35">
      <c r="U1703">
        <v>321.83999999999997</v>
      </c>
    </row>
    <row r="1704" spans="1:21" x14ac:dyDescent="0.35">
      <c r="U1704">
        <v>4.6811999999999996</v>
      </c>
    </row>
    <row r="1705" spans="1:21" x14ac:dyDescent="0.35">
      <c r="A1705" s="1"/>
      <c r="U1705">
        <v>5.8045</v>
      </c>
    </row>
    <row r="1706" spans="1:21" x14ac:dyDescent="0.35">
      <c r="A1706" s="1"/>
      <c r="U1706">
        <v>-7.1147999999999998</v>
      </c>
    </row>
    <row r="1707" spans="1:21" x14ac:dyDescent="0.35">
      <c r="U1707">
        <v>-9.2880000000000003</v>
      </c>
    </row>
    <row r="1708" spans="1:21" x14ac:dyDescent="0.35">
      <c r="U1708">
        <v>20.6142</v>
      </c>
    </row>
    <row r="1709" spans="1:21" x14ac:dyDescent="0.35">
      <c r="U1709">
        <v>16.704000000000001</v>
      </c>
    </row>
    <row r="1710" spans="1:21" x14ac:dyDescent="0.35">
      <c r="U1710">
        <v>3.71</v>
      </c>
    </row>
    <row r="1711" spans="1:21" x14ac:dyDescent="0.35">
      <c r="U1711">
        <v>-0.89990000000000003</v>
      </c>
    </row>
    <row r="1712" spans="1:21" x14ac:dyDescent="0.35">
      <c r="U1712">
        <v>6.5670000000000002</v>
      </c>
    </row>
    <row r="1713" spans="1:21" x14ac:dyDescent="0.35">
      <c r="U1713">
        <v>510.63600000000002</v>
      </c>
    </row>
    <row r="1714" spans="1:21" x14ac:dyDescent="0.35">
      <c r="U1714">
        <v>5.0064000000000002</v>
      </c>
    </row>
    <row r="1715" spans="1:21" x14ac:dyDescent="0.35">
      <c r="A1715" s="1"/>
      <c r="U1715">
        <v>-566.5625</v>
      </c>
    </row>
    <row r="1716" spans="1:21" x14ac:dyDescent="0.35">
      <c r="A1716" s="1"/>
      <c r="U1716">
        <v>-14.478400000000001</v>
      </c>
    </row>
    <row r="1717" spans="1:21" x14ac:dyDescent="0.35">
      <c r="U1717">
        <v>2.7955999999999999</v>
      </c>
    </row>
    <row r="1718" spans="1:21" x14ac:dyDescent="0.35">
      <c r="U1718">
        <v>70.441000000000003</v>
      </c>
    </row>
    <row r="1719" spans="1:21" x14ac:dyDescent="0.35">
      <c r="U1719">
        <v>0</v>
      </c>
    </row>
    <row r="1720" spans="1:21" x14ac:dyDescent="0.35">
      <c r="U1720">
        <v>15.086399999999999</v>
      </c>
    </row>
    <row r="1721" spans="1:21" x14ac:dyDescent="0.35">
      <c r="U1721">
        <v>12.3256</v>
      </c>
    </row>
    <row r="1722" spans="1:21" x14ac:dyDescent="0.35">
      <c r="U1722">
        <v>14.92</v>
      </c>
    </row>
    <row r="1723" spans="1:21" x14ac:dyDescent="0.35">
      <c r="U1723">
        <v>11.998799999999999</v>
      </c>
    </row>
    <row r="1724" spans="1:21" x14ac:dyDescent="0.35">
      <c r="U1724">
        <v>51.193600000000004</v>
      </c>
    </row>
    <row r="1725" spans="1:21" x14ac:dyDescent="0.35">
      <c r="U1725">
        <v>-71.811599999999999</v>
      </c>
    </row>
    <row r="1726" spans="1:21" x14ac:dyDescent="0.35">
      <c r="U1726">
        <v>43.435200000000002</v>
      </c>
    </row>
    <row r="1727" spans="1:21" x14ac:dyDescent="0.35">
      <c r="U1727">
        <v>0.44400000000000001</v>
      </c>
    </row>
    <row r="1728" spans="1:21" x14ac:dyDescent="0.35">
      <c r="U1728">
        <v>7.7728000000000002</v>
      </c>
    </row>
    <row r="1729" spans="1:21" x14ac:dyDescent="0.35">
      <c r="U1729">
        <v>-69.89</v>
      </c>
    </row>
    <row r="1730" spans="1:21" x14ac:dyDescent="0.35">
      <c r="A1730" s="1"/>
      <c r="U1730">
        <v>21</v>
      </c>
    </row>
    <row r="1731" spans="1:21" x14ac:dyDescent="0.35">
      <c r="A1731" s="1"/>
      <c r="U1731">
        <v>3.6017999999999999</v>
      </c>
    </row>
    <row r="1732" spans="1:21" x14ac:dyDescent="0.35">
      <c r="U1732">
        <v>31.283200000000001</v>
      </c>
    </row>
    <row r="1733" spans="1:21" x14ac:dyDescent="0.35">
      <c r="U1733">
        <v>3.7408000000000001</v>
      </c>
    </row>
    <row r="1734" spans="1:21" x14ac:dyDescent="0.35">
      <c r="A1734" s="1"/>
      <c r="U1734">
        <v>-33.804000000000002</v>
      </c>
    </row>
    <row r="1735" spans="1:21" x14ac:dyDescent="0.35">
      <c r="A1735" s="1"/>
      <c r="U1735">
        <v>17.352</v>
      </c>
    </row>
    <row r="1736" spans="1:21" x14ac:dyDescent="0.35">
      <c r="U1736">
        <v>6.5339999999999998</v>
      </c>
    </row>
    <row r="1737" spans="1:21" x14ac:dyDescent="0.35">
      <c r="U1737">
        <v>1.375</v>
      </c>
    </row>
    <row r="1738" spans="1:21" x14ac:dyDescent="0.35">
      <c r="U1738">
        <v>0.38219999999999998</v>
      </c>
    </row>
    <row r="1739" spans="1:21" x14ac:dyDescent="0.35">
      <c r="A1739" s="1"/>
      <c r="U1739">
        <v>8.4887999999999995</v>
      </c>
    </row>
    <row r="1740" spans="1:21" x14ac:dyDescent="0.35">
      <c r="A1740" s="1"/>
      <c r="U1740">
        <v>3.4009999999999998</v>
      </c>
    </row>
    <row r="1741" spans="1:21" x14ac:dyDescent="0.35">
      <c r="A1741" s="1"/>
      <c r="U1741">
        <v>46.601999999999997</v>
      </c>
    </row>
    <row r="1742" spans="1:21" x14ac:dyDescent="0.35">
      <c r="A1742" s="1"/>
      <c r="U1742">
        <v>9.6047999999999991</v>
      </c>
    </row>
    <row r="1743" spans="1:21" x14ac:dyDescent="0.35">
      <c r="U1743">
        <v>7.2576000000000001</v>
      </c>
    </row>
    <row r="1744" spans="1:21" x14ac:dyDescent="0.35">
      <c r="U1744">
        <v>0.98560000000000003</v>
      </c>
    </row>
    <row r="1745" spans="1:21" x14ac:dyDescent="0.35">
      <c r="U1745">
        <v>-2.5127999999999999</v>
      </c>
    </row>
    <row r="1746" spans="1:21" x14ac:dyDescent="0.35">
      <c r="U1746">
        <v>-55.3</v>
      </c>
    </row>
    <row r="1747" spans="1:21" x14ac:dyDescent="0.35">
      <c r="A1747" s="1"/>
      <c r="U1747">
        <v>4.9432</v>
      </c>
    </row>
    <row r="1748" spans="1:21" x14ac:dyDescent="0.35">
      <c r="U1748">
        <v>-8.2368000000000006</v>
      </c>
    </row>
    <row r="1749" spans="1:21" x14ac:dyDescent="0.35">
      <c r="U1749">
        <v>3.21</v>
      </c>
    </row>
    <row r="1750" spans="1:21" x14ac:dyDescent="0.35">
      <c r="U1750">
        <v>3.6288</v>
      </c>
    </row>
    <row r="1751" spans="1:21" x14ac:dyDescent="0.35">
      <c r="U1751">
        <v>0.54600000000000004</v>
      </c>
    </row>
    <row r="1752" spans="1:21" x14ac:dyDescent="0.35">
      <c r="U1752">
        <v>-32.522599999999997</v>
      </c>
    </row>
    <row r="1753" spans="1:21" x14ac:dyDescent="0.35">
      <c r="U1753">
        <v>3.6894</v>
      </c>
    </row>
    <row r="1754" spans="1:21" x14ac:dyDescent="0.35">
      <c r="A1754" s="1"/>
      <c r="U1754">
        <v>151.09739999999999</v>
      </c>
    </row>
    <row r="1755" spans="1:21" x14ac:dyDescent="0.35">
      <c r="A1755" s="1"/>
      <c r="U1755">
        <v>53.860799999999998</v>
      </c>
    </row>
    <row r="1756" spans="1:21" x14ac:dyDescent="0.35">
      <c r="A1756" s="1"/>
      <c r="U1756">
        <v>3.8519999999999999</v>
      </c>
    </row>
    <row r="1757" spans="1:21" x14ac:dyDescent="0.35">
      <c r="A1757" s="1"/>
      <c r="U1757">
        <v>130.75810000000001</v>
      </c>
    </row>
    <row r="1758" spans="1:21" x14ac:dyDescent="0.35">
      <c r="A1758" s="1"/>
      <c r="U1758">
        <v>150.36000000000001</v>
      </c>
    </row>
    <row r="1759" spans="1:21" x14ac:dyDescent="0.35">
      <c r="U1759">
        <v>-66.508799999999994</v>
      </c>
    </row>
    <row r="1760" spans="1:21" x14ac:dyDescent="0.35">
      <c r="A1760" s="1"/>
      <c r="U1760">
        <v>7.6154000000000002</v>
      </c>
    </row>
    <row r="1761" spans="1:21" x14ac:dyDescent="0.35">
      <c r="A1761" s="1"/>
      <c r="U1761">
        <v>4.8840000000000003</v>
      </c>
    </row>
    <row r="1762" spans="1:21" x14ac:dyDescent="0.35">
      <c r="A1762" s="1"/>
      <c r="U1762">
        <v>-4.8391999999999999</v>
      </c>
    </row>
    <row r="1763" spans="1:21" x14ac:dyDescent="0.35">
      <c r="A1763" s="1"/>
      <c r="U1763">
        <v>9.7037999999999993</v>
      </c>
    </row>
    <row r="1764" spans="1:21" x14ac:dyDescent="0.35">
      <c r="A1764" s="1"/>
      <c r="U1764">
        <v>-20.696400000000001</v>
      </c>
    </row>
    <row r="1765" spans="1:21" x14ac:dyDescent="0.35">
      <c r="A1765" s="1"/>
      <c r="U1765">
        <v>10.518000000000001</v>
      </c>
    </row>
    <row r="1766" spans="1:21" x14ac:dyDescent="0.35">
      <c r="A1766" s="1"/>
      <c r="U1766">
        <v>1.8997999999999999</v>
      </c>
    </row>
    <row r="1767" spans="1:21" x14ac:dyDescent="0.35">
      <c r="A1767" s="1"/>
      <c r="U1767">
        <v>46.116</v>
      </c>
    </row>
    <row r="1768" spans="1:21" x14ac:dyDescent="0.35">
      <c r="A1768" s="1"/>
      <c r="U1768">
        <v>4.8117999999999999</v>
      </c>
    </row>
    <row r="1769" spans="1:21" x14ac:dyDescent="0.35">
      <c r="U1769">
        <v>-5.8604000000000003</v>
      </c>
    </row>
    <row r="1770" spans="1:21" x14ac:dyDescent="0.35">
      <c r="U1770">
        <v>-39.456499999999998</v>
      </c>
    </row>
    <row r="1771" spans="1:21" x14ac:dyDescent="0.35">
      <c r="A1771" s="1"/>
      <c r="U1771">
        <v>-1.3952</v>
      </c>
    </row>
    <row r="1772" spans="1:21" x14ac:dyDescent="0.35">
      <c r="A1772" s="1"/>
      <c r="U1772">
        <v>-20.1663</v>
      </c>
    </row>
    <row r="1773" spans="1:21" x14ac:dyDescent="0.35">
      <c r="U1773">
        <v>-24.495999999999999</v>
      </c>
    </row>
    <row r="1774" spans="1:21" x14ac:dyDescent="0.35">
      <c r="U1774">
        <v>19.5</v>
      </c>
    </row>
    <row r="1775" spans="1:21" x14ac:dyDescent="0.35">
      <c r="U1775">
        <v>9.3870000000000005</v>
      </c>
    </row>
    <row r="1776" spans="1:21" x14ac:dyDescent="0.35">
      <c r="U1776">
        <v>129.37860000000001</v>
      </c>
    </row>
    <row r="1777" spans="1:21" x14ac:dyDescent="0.35">
      <c r="U1777">
        <v>1.4952000000000001</v>
      </c>
    </row>
    <row r="1778" spans="1:21" x14ac:dyDescent="0.35">
      <c r="U1778">
        <v>1.512</v>
      </c>
    </row>
    <row r="1779" spans="1:21" x14ac:dyDescent="0.35">
      <c r="U1779">
        <v>180.76589999999999</v>
      </c>
    </row>
    <row r="1780" spans="1:21" x14ac:dyDescent="0.35">
      <c r="U1780">
        <v>6.6150000000000002</v>
      </c>
    </row>
    <row r="1781" spans="1:21" x14ac:dyDescent="0.35">
      <c r="A1781" s="1"/>
      <c r="U1781">
        <v>14.9925</v>
      </c>
    </row>
    <row r="1782" spans="1:21" x14ac:dyDescent="0.35">
      <c r="A1782" s="1"/>
      <c r="U1782">
        <v>20.84</v>
      </c>
    </row>
    <row r="1783" spans="1:21" x14ac:dyDescent="0.35">
      <c r="A1783" s="1"/>
      <c r="U1783">
        <v>3.0268000000000002</v>
      </c>
    </row>
    <row r="1784" spans="1:21" x14ac:dyDescent="0.35">
      <c r="A1784" s="1"/>
      <c r="U1784">
        <v>59.011200000000002</v>
      </c>
    </row>
    <row r="1785" spans="1:21" x14ac:dyDescent="0.35">
      <c r="U1785">
        <v>107.7216</v>
      </c>
    </row>
    <row r="1786" spans="1:21" x14ac:dyDescent="0.35">
      <c r="U1786">
        <v>9.8160000000000007</v>
      </c>
    </row>
    <row r="1787" spans="1:21" x14ac:dyDescent="0.35">
      <c r="U1787">
        <v>15.5288</v>
      </c>
    </row>
    <row r="1788" spans="1:21" x14ac:dyDescent="0.35">
      <c r="U1788">
        <v>25.221299999999999</v>
      </c>
    </row>
    <row r="1789" spans="1:21" x14ac:dyDescent="0.35">
      <c r="U1789">
        <v>64.785600000000002</v>
      </c>
    </row>
    <row r="1790" spans="1:21" x14ac:dyDescent="0.35">
      <c r="U1790">
        <v>195.99440000000001</v>
      </c>
    </row>
    <row r="1791" spans="1:21" x14ac:dyDescent="0.35">
      <c r="U1791">
        <v>26.590499999999999</v>
      </c>
    </row>
    <row r="1792" spans="1:21" x14ac:dyDescent="0.35">
      <c r="U1792">
        <v>24.47</v>
      </c>
    </row>
    <row r="1793" spans="1:21" x14ac:dyDescent="0.35">
      <c r="A1793" s="1"/>
      <c r="U1793">
        <v>673.88160000000005</v>
      </c>
    </row>
    <row r="1794" spans="1:21" x14ac:dyDescent="0.35">
      <c r="A1794" s="1"/>
      <c r="U1794">
        <v>12.5928</v>
      </c>
    </row>
    <row r="1795" spans="1:21" x14ac:dyDescent="0.35">
      <c r="A1795" s="1"/>
      <c r="U1795">
        <v>6.0415999999999999</v>
      </c>
    </row>
    <row r="1796" spans="1:21" x14ac:dyDescent="0.35">
      <c r="A1796" s="1"/>
      <c r="U1796">
        <v>26.984999999999999</v>
      </c>
    </row>
    <row r="1797" spans="1:21" x14ac:dyDescent="0.35">
      <c r="U1797">
        <v>16.598400000000002</v>
      </c>
    </row>
    <row r="1798" spans="1:21" x14ac:dyDescent="0.35">
      <c r="U1798">
        <v>100.9113</v>
      </c>
    </row>
    <row r="1799" spans="1:21" x14ac:dyDescent="0.35">
      <c r="U1799">
        <v>11.565</v>
      </c>
    </row>
    <row r="1800" spans="1:21" x14ac:dyDescent="0.35">
      <c r="A1800" s="1"/>
      <c r="U1800">
        <v>73.320999999999998</v>
      </c>
    </row>
    <row r="1801" spans="1:21" x14ac:dyDescent="0.35">
      <c r="A1801" s="1"/>
      <c r="U1801">
        <v>3.6295999999999999</v>
      </c>
    </row>
    <row r="1802" spans="1:21" x14ac:dyDescent="0.35">
      <c r="A1802" s="1"/>
      <c r="U1802">
        <v>17.534400000000002</v>
      </c>
    </row>
    <row r="1803" spans="1:21" x14ac:dyDescent="0.35">
      <c r="U1803">
        <v>1.5047999999999999</v>
      </c>
    </row>
    <row r="1804" spans="1:21" x14ac:dyDescent="0.35">
      <c r="U1804">
        <v>-4.2987000000000002</v>
      </c>
    </row>
    <row r="1805" spans="1:21" x14ac:dyDescent="0.35">
      <c r="U1805">
        <v>-1049.3406</v>
      </c>
    </row>
    <row r="1806" spans="1:21" x14ac:dyDescent="0.35">
      <c r="U1806">
        <v>22.9954</v>
      </c>
    </row>
    <row r="1807" spans="1:21" x14ac:dyDescent="0.35">
      <c r="U1807">
        <v>257.59440000000001</v>
      </c>
    </row>
    <row r="1808" spans="1:21" x14ac:dyDescent="0.35">
      <c r="U1808">
        <v>21.7728</v>
      </c>
    </row>
    <row r="1809" spans="1:21" x14ac:dyDescent="0.35">
      <c r="U1809">
        <v>76.272000000000006</v>
      </c>
    </row>
    <row r="1810" spans="1:21" x14ac:dyDescent="0.35">
      <c r="A1810" s="1"/>
      <c r="U1810">
        <v>0.69930000000000003</v>
      </c>
    </row>
    <row r="1811" spans="1:21" x14ac:dyDescent="0.35">
      <c r="U1811">
        <v>-12.117000000000001</v>
      </c>
    </row>
    <row r="1812" spans="1:21" x14ac:dyDescent="0.35">
      <c r="U1812">
        <v>17.815200000000001</v>
      </c>
    </row>
    <row r="1813" spans="1:21" x14ac:dyDescent="0.35">
      <c r="A1813" s="1"/>
      <c r="U1813">
        <v>245.02099999999999</v>
      </c>
    </row>
    <row r="1814" spans="1:21" x14ac:dyDescent="0.35">
      <c r="U1814">
        <v>28.13</v>
      </c>
    </row>
    <row r="1815" spans="1:21" x14ac:dyDescent="0.35">
      <c r="U1815">
        <v>1.5713999999999999</v>
      </c>
    </row>
    <row r="1816" spans="1:21" x14ac:dyDescent="0.35">
      <c r="U1816">
        <v>-8.5068000000000001</v>
      </c>
    </row>
    <row r="1817" spans="1:21" x14ac:dyDescent="0.35">
      <c r="A1817" s="1"/>
      <c r="U1817">
        <v>3.4685999999999999</v>
      </c>
    </row>
    <row r="1818" spans="1:21" x14ac:dyDescent="0.35">
      <c r="A1818" s="1"/>
      <c r="U1818">
        <v>3.0558000000000001</v>
      </c>
    </row>
    <row r="1819" spans="1:21" x14ac:dyDescent="0.35">
      <c r="U1819">
        <v>4.5815999999999999</v>
      </c>
    </row>
    <row r="1820" spans="1:21" x14ac:dyDescent="0.35">
      <c r="U1820">
        <v>-166.32</v>
      </c>
    </row>
    <row r="1821" spans="1:21" x14ac:dyDescent="0.35">
      <c r="U1821">
        <v>-24.189</v>
      </c>
    </row>
    <row r="1822" spans="1:21" x14ac:dyDescent="0.35">
      <c r="U1822">
        <v>-225.55680000000001</v>
      </c>
    </row>
    <row r="1823" spans="1:21" x14ac:dyDescent="0.35">
      <c r="U1823">
        <v>1.8311999999999999</v>
      </c>
    </row>
    <row r="1824" spans="1:21" x14ac:dyDescent="0.35">
      <c r="U1824">
        <v>-2.6981999999999999</v>
      </c>
    </row>
    <row r="1825" spans="1:21" x14ac:dyDescent="0.35">
      <c r="U1825">
        <v>1.8144</v>
      </c>
    </row>
    <row r="1826" spans="1:21" x14ac:dyDescent="0.35">
      <c r="U1826">
        <v>-25.056000000000001</v>
      </c>
    </row>
    <row r="1827" spans="1:21" x14ac:dyDescent="0.35">
      <c r="U1827">
        <v>3.1080000000000001</v>
      </c>
    </row>
    <row r="1828" spans="1:21" x14ac:dyDescent="0.35">
      <c r="U1828">
        <v>4.8415999999999997</v>
      </c>
    </row>
    <row r="1829" spans="1:21" x14ac:dyDescent="0.35">
      <c r="A1829" s="1"/>
      <c r="U1829">
        <v>126.8973</v>
      </c>
    </row>
    <row r="1830" spans="1:21" x14ac:dyDescent="0.35">
      <c r="U1830">
        <v>18.662400000000002</v>
      </c>
    </row>
    <row r="1831" spans="1:21" x14ac:dyDescent="0.35">
      <c r="U1831">
        <v>-168.95580000000001</v>
      </c>
    </row>
    <row r="1832" spans="1:21" x14ac:dyDescent="0.35">
      <c r="U1832">
        <v>374.37920000000003</v>
      </c>
    </row>
    <row r="1833" spans="1:21" x14ac:dyDescent="0.35">
      <c r="U1833">
        <v>62.906399999999998</v>
      </c>
    </row>
    <row r="1834" spans="1:21" x14ac:dyDescent="0.35">
      <c r="A1834" s="1"/>
      <c r="U1834">
        <v>25.875</v>
      </c>
    </row>
    <row r="1835" spans="1:21" x14ac:dyDescent="0.35">
      <c r="A1835" s="1"/>
      <c r="U1835">
        <v>-263.99669999999998</v>
      </c>
    </row>
    <row r="1836" spans="1:21" x14ac:dyDescent="0.35">
      <c r="A1836" s="1"/>
      <c r="U1836">
        <v>12.700799999999999</v>
      </c>
    </row>
    <row r="1837" spans="1:21" x14ac:dyDescent="0.35">
      <c r="U1837">
        <v>6.2060000000000004</v>
      </c>
    </row>
    <row r="1838" spans="1:21" x14ac:dyDescent="0.35">
      <c r="U1838">
        <v>361.29939999999999</v>
      </c>
    </row>
    <row r="1839" spans="1:21" x14ac:dyDescent="0.35">
      <c r="A1839" s="1"/>
      <c r="U1839">
        <v>5.9211</v>
      </c>
    </row>
    <row r="1840" spans="1:21" x14ac:dyDescent="0.35">
      <c r="A1840" s="1"/>
      <c r="U1840">
        <v>12.135199999999999</v>
      </c>
    </row>
    <row r="1841" spans="1:21" x14ac:dyDescent="0.35">
      <c r="A1841" s="1"/>
      <c r="U1841">
        <v>10.224500000000001</v>
      </c>
    </row>
    <row r="1842" spans="1:21" x14ac:dyDescent="0.35">
      <c r="A1842" s="1"/>
      <c r="U1842">
        <v>29.364000000000001</v>
      </c>
    </row>
    <row r="1843" spans="1:21" x14ac:dyDescent="0.35">
      <c r="U1843">
        <v>39.4268</v>
      </c>
    </row>
    <row r="1844" spans="1:21" x14ac:dyDescent="0.35">
      <c r="A1844" s="1"/>
      <c r="U1844">
        <v>13.532400000000001</v>
      </c>
    </row>
    <row r="1845" spans="1:21" x14ac:dyDescent="0.35">
      <c r="A1845" s="1"/>
      <c r="U1845">
        <v>-30.588000000000001</v>
      </c>
    </row>
    <row r="1846" spans="1:21" x14ac:dyDescent="0.35">
      <c r="U1846">
        <v>11.774100000000001</v>
      </c>
    </row>
    <row r="1847" spans="1:21" x14ac:dyDescent="0.35">
      <c r="A1847" s="1"/>
      <c r="U1847">
        <v>19.238399999999999</v>
      </c>
    </row>
    <row r="1848" spans="1:21" x14ac:dyDescent="0.35">
      <c r="A1848" s="1"/>
      <c r="U1848">
        <v>15.8256</v>
      </c>
    </row>
    <row r="1849" spans="1:21" x14ac:dyDescent="0.35">
      <c r="A1849" s="1"/>
      <c r="U1849">
        <v>27.176400000000001</v>
      </c>
    </row>
    <row r="1850" spans="1:21" x14ac:dyDescent="0.35">
      <c r="A1850" s="1"/>
      <c r="U1850">
        <v>2.2450000000000001</v>
      </c>
    </row>
    <row r="1851" spans="1:21" x14ac:dyDescent="0.35">
      <c r="U1851">
        <v>9.7327999999999992</v>
      </c>
    </row>
    <row r="1852" spans="1:21" x14ac:dyDescent="0.35">
      <c r="U1852">
        <v>124.68</v>
      </c>
    </row>
    <row r="1853" spans="1:21" x14ac:dyDescent="0.35">
      <c r="U1853">
        <v>11.88</v>
      </c>
    </row>
    <row r="1854" spans="1:21" x14ac:dyDescent="0.35">
      <c r="U1854">
        <v>49.104999999999997</v>
      </c>
    </row>
    <row r="1855" spans="1:21" x14ac:dyDescent="0.35">
      <c r="U1855">
        <v>45.9754</v>
      </c>
    </row>
    <row r="1856" spans="1:21" x14ac:dyDescent="0.35">
      <c r="U1856">
        <v>38.177999999999997</v>
      </c>
    </row>
    <row r="1857" spans="1:21" x14ac:dyDescent="0.35">
      <c r="U1857">
        <v>4.7915999999999999</v>
      </c>
    </row>
    <row r="1858" spans="1:21" x14ac:dyDescent="0.35">
      <c r="A1858" s="1"/>
      <c r="U1858">
        <v>-15.99</v>
      </c>
    </row>
    <row r="1859" spans="1:21" x14ac:dyDescent="0.35">
      <c r="A1859" s="1"/>
      <c r="U1859">
        <v>-53.072000000000003</v>
      </c>
    </row>
    <row r="1860" spans="1:21" x14ac:dyDescent="0.35">
      <c r="A1860" s="1"/>
      <c r="U1860">
        <v>60.552799999999998</v>
      </c>
    </row>
    <row r="1861" spans="1:21" x14ac:dyDescent="0.35">
      <c r="A1861" s="1"/>
      <c r="U1861">
        <v>25.122499999999999</v>
      </c>
    </row>
    <row r="1862" spans="1:21" x14ac:dyDescent="0.35">
      <c r="U1862">
        <v>-28.976400000000002</v>
      </c>
    </row>
    <row r="1863" spans="1:21" x14ac:dyDescent="0.35">
      <c r="U1863">
        <v>33.588799999999999</v>
      </c>
    </row>
    <row r="1864" spans="1:21" x14ac:dyDescent="0.35">
      <c r="A1864" s="1"/>
      <c r="U1864">
        <v>4.9631999999999996</v>
      </c>
    </row>
    <row r="1865" spans="1:21" x14ac:dyDescent="0.35">
      <c r="U1865">
        <v>-465.56799999999998</v>
      </c>
    </row>
    <row r="1866" spans="1:21" x14ac:dyDescent="0.35">
      <c r="U1866">
        <v>4.3680000000000003</v>
      </c>
    </row>
    <row r="1867" spans="1:21" x14ac:dyDescent="0.35">
      <c r="A1867" s="1"/>
      <c r="U1867">
        <v>-92.695499999999996</v>
      </c>
    </row>
    <row r="1868" spans="1:21" x14ac:dyDescent="0.35">
      <c r="U1868">
        <v>70.721999999999994</v>
      </c>
    </row>
    <row r="1869" spans="1:21" x14ac:dyDescent="0.35">
      <c r="U1869">
        <v>10.8864</v>
      </c>
    </row>
    <row r="1870" spans="1:21" x14ac:dyDescent="0.35">
      <c r="U1870">
        <v>-17.607600000000001</v>
      </c>
    </row>
    <row r="1871" spans="1:21" x14ac:dyDescent="0.35">
      <c r="U1871">
        <v>3.1103999999999998</v>
      </c>
    </row>
    <row r="1872" spans="1:21" x14ac:dyDescent="0.35">
      <c r="U1872">
        <v>25.792000000000002</v>
      </c>
    </row>
    <row r="1873" spans="1:21" x14ac:dyDescent="0.35">
      <c r="U1873">
        <v>50.097999999999999</v>
      </c>
    </row>
    <row r="1874" spans="1:21" x14ac:dyDescent="0.35">
      <c r="U1874">
        <v>27.284800000000001</v>
      </c>
    </row>
    <row r="1875" spans="1:21" x14ac:dyDescent="0.35">
      <c r="U1875">
        <v>20.584199999999999</v>
      </c>
    </row>
    <row r="1876" spans="1:21" x14ac:dyDescent="0.35">
      <c r="A1876" s="1"/>
      <c r="U1876">
        <v>5.8811999999999998</v>
      </c>
    </row>
    <row r="1877" spans="1:21" x14ac:dyDescent="0.35">
      <c r="A1877" s="1"/>
      <c r="U1877">
        <v>-22.097999999999999</v>
      </c>
    </row>
    <row r="1878" spans="1:21" x14ac:dyDescent="0.35">
      <c r="U1878">
        <v>47.037599999999998</v>
      </c>
    </row>
    <row r="1879" spans="1:21" x14ac:dyDescent="0.35">
      <c r="U1879">
        <v>-44.276400000000002</v>
      </c>
    </row>
    <row r="1880" spans="1:21" x14ac:dyDescent="0.35">
      <c r="U1880">
        <v>22.6782</v>
      </c>
    </row>
    <row r="1881" spans="1:21" x14ac:dyDescent="0.35">
      <c r="U1881">
        <v>-48.119399999999999</v>
      </c>
    </row>
    <row r="1882" spans="1:21" x14ac:dyDescent="0.35">
      <c r="A1882" s="1"/>
      <c r="U1882">
        <v>14.67</v>
      </c>
    </row>
    <row r="1883" spans="1:21" x14ac:dyDescent="0.35">
      <c r="A1883" s="1"/>
      <c r="U1883">
        <v>63.9345</v>
      </c>
    </row>
    <row r="1884" spans="1:21" x14ac:dyDescent="0.35">
      <c r="A1884" s="1"/>
      <c r="U1884">
        <v>67.608000000000004</v>
      </c>
    </row>
    <row r="1885" spans="1:21" x14ac:dyDescent="0.35">
      <c r="U1885">
        <v>78.6828</v>
      </c>
    </row>
    <row r="1886" spans="1:21" x14ac:dyDescent="0.35">
      <c r="U1886">
        <v>2.1</v>
      </c>
    </row>
    <row r="1887" spans="1:21" x14ac:dyDescent="0.35">
      <c r="U1887">
        <v>10.4148</v>
      </c>
    </row>
    <row r="1888" spans="1:21" x14ac:dyDescent="0.35">
      <c r="U1888">
        <v>2.3976000000000002</v>
      </c>
    </row>
    <row r="1889" spans="1:21" x14ac:dyDescent="0.35">
      <c r="U1889">
        <v>-331.96</v>
      </c>
    </row>
    <row r="1890" spans="1:21" x14ac:dyDescent="0.35">
      <c r="U1890">
        <v>13.701599999999999</v>
      </c>
    </row>
    <row r="1891" spans="1:21" x14ac:dyDescent="0.35">
      <c r="U1891">
        <v>-122.877</v>
      </c>
    </row>
    <row r="1892" spans="1:21" x14ac:dyDescent="0.35">
      <c r="U1892">
        <v>4.7519999999999998</v>
      </c>
    </row>
    <row r="1893" spans="1:21" x14ac:dyDescent="0.35">
      <c r="U1893">
        <v>1.2505999999999999</v>
      </c>
    </row>
    <row r="1894" spans="1:21" x14ac:dyDescent="0.35">
      <c r="U1894">
        <v>2.9340000000000002</v>
      </c>
    </row>
    <row r="1895" spans="1:21" x14ac:dyDescent="0.35">
      <c r="U1895">
        <v>7.7450000000000001</v>
      </c>
    </row>
    <row r="1896" spans="1:21" x14ac:dyDescent="0.35">
      <c r="A1896" s="1"/>
      <c r="U1896">
        <v>10.395</v>
      </c>
    </row>
    <row r="1897" spans="1:21" x14ac:dyDescent="0.35">
      <c r="U1897">
        <v>152.495</v>
      </c>
    </row>
    <row r="1898" spans="1:21" x14ac:dyDescent="0.35">
      <c r="A1898" s="1"/>
      <c r="U1898">
        <v>843.17060000000004</v>
      </c>
    </row>
    <row r="1899" spans="1:21" x14ac:dyDescent="0.35">
      <c r="U1899">
        <v>10.805400000000001</v>
      </c>
    </row>
    <row r="1900" spans="1:21" x14ac:dyDescent="0.35">
      <c r="U1900">
        <v>-336.78399999999999</v>
      </c>
    </row>
    <row r="1901" spans="1:21" x14ac:dyDescent="0.35">
      <c r="U1901">
        <v>-110.7645</v>
      </c>
    </row>
    <row r="1902" spans="1:21" x14ac:dyDescent="0.35">
      <c r="U1902">
        <v>19.187999999999999</v>
      </c>
    </row>
    <row r="1903" spans="1:21" x14ac:dyDescent="0.35">
      <c r="U1903">
        <v>3.9906000000000001</v>
      </c>
    </row>
    <row r="1904" spans="1:21" x14ac:dyDescent="0.35">
      <c r="U1904">
        <v>1.8144</v>
      </c>
    </row>
    <row r="1905" spans="1:21" x14ac:dyDescent="0.35">
      <c r="U1905">
        <v>47.847999999999999</v>
      </c>
    </row>
    <row r="1906" spans="1:21" x14ac:dyDescent="0.35">
      <c r="U1906">
        <v>6.7450000000000001</v>
      </c>
    </row>
    <row r="1907" spans="1:21" x14ac:dyDescent="0.35">
      <c r="U1907">
        <v>9.0912000000000006</v>
      </c>
    </row>
    <row r="1908" spans="1:21" x14ac:dyDescent="0.35">
      <c r="U1908">
        <v>-2.1648000000000001</v>
      </c>
    </row>
    <row r="1909" spans="1:21" x14ac:dyDescent="0.35">
      <c r="U1909">
        <v>-21.6144</v>
      </c>
    </row>
    <row r="1910" spans="1:21" x14ac:dyDescent="0.35">
      <c r="A1910" s="1"/>
      <c r="U1910">
        <v>41.076000000000001</v>
      </c>
    </row>
    <row r="1911" spans="1:21" x14ac:dyDescent="0.35">
      <c r="U1911">
        <v>8.532</v>
      </c>
    </row>
    <row r="1912" spans="1:21" x14ac:dyDescent="0.35">
      <c r="U1912">
        <v>40.749899999999997</v>
      </c>
    </row>
    <row r="1913" spans="1:21" x14ac:dyDescent="0.35">
      <c r="A1913" s="1"/>
      <c r="U1913">
        <v>92.439899999999994</v>
      </c>
    </row>
    <row r="1914" spans="1:21" x14ac:dyDescent="0.35">
      <c r="A1914" s="1"/>
      <c r="U1914">
        <v>49.761000000000003</v>
      </c>
    </row>
    <row r="1915" spans="1:21" x14ac:dyDescent="0.35">
      <c r="U1915">
        <v>65.977999999999994</v>
      </c>
    </row>
    <row r="1916" spans="1:21" x14ac:dyDescent="0.35">
      <c r="U1916">
        <v>1.6704000000000001</v>
      </c>
    </row>
    <row r="1917" spans="1:21" x14ac:dyDescent="0.35">
      <c r="U1917">
        <v>4.8525</v>
      </c>
    </row>
    <row r="1918" spans="1:21" x14ac:dyDescent="0.35">
      <c r="U1918">
        <v>3.8843999999999999</v>
      </c>
    </row>
    <row r="1919" spans="1:21" x14ac:dyDescent="0.35">
      <c r="A1919" s="1"/>
      <c r="U1919">
        <v>3.3784999999999998</v>
      </c>
    </row>
    <row r="1920" spans="1:21" x14ac:dyDescent="0.35">
      <c r="U1920">
        <v>74.974999999999994</v>
      </c>
    </row>
    <row r="1921" spans="1:21" x14ac:dyDescent="0.35">
      <c r="U1921">
        <v>302.37299999999999</v>
      </c>
    </row>
    <row r="1922" spans="1:21" x14ac:dyDescent="0.35">
      <c r="U1922">
        <v>97.6524</v>
      </c>
    </row>
    <row r="1923" spans="1:21" x14ac:dyDescent="0.35">
      <c r="A1923" s="1"/>
      <c r="U1923">
        <v>1.5007999999999999</v>
      </c>
    </row>
    <row r="1924" spans="1:21" x14ac:dyDescent="0.35">
      <c r="A1924" s="1"/>
      <c r="U1924">
        <v>107.955</v>
      </c>
    </row>
    <row r="1925" spans="1:21" x14ac:dyDescent="0.35">
      <c r="A1925" s="1"/>
      <c r="U1925">
        <v>3.5712000000000002</v>
      </c>
    </row>
    <row r="1926" spans="1:21" x14ac:dyDescent="0.35">
      <c r="A1926" s="1"/>
      <c r="U1926">
        <v>41.823</v>
      </c>
    </row>
    <row r="1927" spans="1:21" x14ac:dyDescent="0.35">
      <c r="A1927" s="1"/>
      <c r="U1927">
        <v>69.992999999999995</v>
      </c>
    </row>
    <row r="1928" spans="1:21" x14ac:dyDescent="0.35">
      <c r="A1928" s="1"/>
      <c r="U1928">
        <v>19.9665</v>
      </c>
    </row>
    <row r="1929" spans="1:21" x14ac:dyDescent="0.35">
      <c r="U1929">
        <v>31.0688</v>
      </c>
    </row>
    <row r="1930" spans="1:21" x14ac:dyDescent="0.35">
      <c r="U1930">
        <v>3.1103999999999998</v>
      </c>
    </row>
    <row r="1931" spans="1:21" x14ac:dyDescent="0.35">
      <c r="U1931">
        <v>1.8604000000000001</v>
      </c>
    </row>
    <row r="1932" spans="1:21" x14ac:dyDescent="0.35">
      <c r="U1932">
        <v>49.498199999999997</v>
      </c>
    </row>
    <row r="1933" spans="1:21" x14ac:dyDescent="0.35">
      <c r="U1933">
        <v>23.799299999999999</v>
      </c>
    </row>
    <row r="1934" spans="1:21" x14ac:dyDescent="0.35">
      <c r="A1934" s="1"/>
      <c r="U1934">
        <v>23.3184</v>
      </c>
    </row>
    <row r="1935" spans="1:21" x14ac:dyDescent="0.35">
      <c r="A1935" s="1"/>
      <c r="U1935">
        <v>7.3920000000000003</v>
      </c>
    </row>
    <row r="1936" spans="1:21" x14ac:dyDescent="0.35">
      <c r="U1936">
        <v>114.9385</v>
      </c>
    </row>
    <row r="1937" spans="1:21" x14ac:dyDescent="0.35">
      <c r="U1937">
        <v>59.817599999999999</v>
      </c>
    </row>
    <row r="1938" spans="1:21" x14ac:dyDescent="0.35">
      <c r="U1938">
        <v>4.8609</v>
      </c>
    </row>
    <row r="1939" spans="1:21" x14ac:dyDescent="0.35">
      <c r="A1939" s="1"/>
      <c r="U1939">
        <v>-13.311999999999999</v>
      </c>
    </row>
    <row r="1940" spans="1:21" x14ac:dyDescent="0.35">
      <c r="A1940" s="1"/>
      <c r="U1940">
        <v>-1.2558</v>
      </c>
    </row>
    <row r="1941" spans="1:21" x14ac:dyDescent="0.35">
      <c r="A1941" s="1"/>
      <c r="U1941">
        <v>-6.1151999999999997</v>
      </c>
    </row>
    <row r="1942" spans="1:21" x14ac:dyDescent="0.35">
      <c r="A1942" s="1"/>
      <c r="U1942">
        <v>74.573999999999998</v>
      </c>
    </row>
    <row r="1943" spans="1:21" x14ac:dyDescent="0.35">
      <c r="U1943">
        <v>17.760000000000002</v>
      </c>
    </row>
    <row r="1944" spans="1:21" x14ac:dyDescent="0.35">
      <c r="U1944">
        <v>2.4009999999999998</v>
      </c>
    </row>
    <row r="1945" spans="1:21" x14ac:dyDescent="0.35">
      <c r="U1945">
        <v>-5.1840000000000002</v>
      </c>
    </row>
    <row r="1946" spans="1:21" x14ac:dyDescent="0.35">
      <c r="U1946">
        <v>26.391200000000001</v>
      </c>
    </row>
    <row r="1947" spans="1:21" x14ac:dyDescent="0.35">
      <c r="U1947">
        <v>3.6288</v>
      </c>
    </row>
    <row r="1948" spans="1:21" x14ac:dyDescent="0.35">
      <c r="A1948" s="1"/>
      <c r="U1948">
        <v>6.468</v>
      </c>
    </row>
    <row r="1949" spans="1:21" x14ac:dyDescent="0.35">
      <c r="A1949" s="1"/>
      <c r="U1949">
        <v>3.4620000000000002</v>
      </c>
    </row>
    <row r="1950" spans="1:21" x14ac:dyDescent="0.35">
      <c r="A1950" s="1"/>
      <c r="U1950">
        <v>-93.3262</v>
      </c>
    </row>
    <row r="1951" spans="1:21" x14ac:dyDescent="0.35">
      <c r="A1951" s="1"/>
      <c r="U1951">
        <v>3.7642000000000002</v>
      </c>
    </row>
    <row r="1952" spans="1:21" x14ac:dyDescent="0.35">
      <c r="A1952" s="1"/>
      <c r="U1952">
        <v>8.9207999999999998</v>
      </c>
    </row>
    <row r="1953" spans="1:21" x14ac:dyDescent="0.35">
      <c r="A1953" s="1"/>
      <c r="U1953">
        <v>57.411299999999997</v>
      </c>
    </row>
    <row r="1954" spans="1:21" x14ac:dyDescent="0.35">
      <c r="A1954" s="1"/>
      <c r="U1954">
        <v>9.0719999999999992</v>
      </c>
    </row>
    <row r="1955" spans="1:21" x14ac:dyDescent="0.35">
      <c r="A1955" s="1"/>
      <c r="U1955">
        <v>213.73500000000001</v>
      </c>
    </row>
    <row r="1956" spans="1:21" x14ac:dyDescent="0.35">
      <c r="A1956" s="1"/>
      <c r="U1956">
        <v>2.214</v>
      </c>
    </row>
    <row r="1957" spans="1:21" x14ac:dyDescent="0.35">
      <c r="A1957" s="1"/>
      <c r="U1957">
        <v>38.08</v>
      </c>
    </row>
    <row r="1958" spans="1:21" x14ac:dyDescent="0.35">
      <c r="A1958" s="1"/>
      <c r="U1958">
        <v>40.312800000000003</v>
      </c>
    </row>
    <row r="1959" spans="1:21" x14ac:dyDescent="0.35">
      <c r="A1959" s="1"/>
      <c r="U1959">
        <v>7.7039999999999997</v>
      </c>
    </row>
    <row r="1960" spans="1:21" x14ac:dyDescent="0.35">
      <c r="A1960" s="1"/>
      <c r="U1960">
        <v>7.7759999999999998</v>
      </c>
    </row>
    <row r="1961" spans="1:21" x14ac:dyDescent="0.35">
      <c r="A1961" s="1"/>
      <c r="U1961">
        <v>14.6157</v>
      </c>
    </row>
    <row r="1962" spans="1:21" x14ac:dyDescent="0.35">
      <c r="A1962" s="1"/>
      <c r="U1962">
        <v>53.433</v>
      </c>
    </row>
    <row r="1963" spans="1:21" x14ac:dyDescent="0.35">
      <c r="A1963" s="1"/>
      <c r="U1963">
        <v>6.7679999999999998</v>
      </c>
    </row>
    <row r="1964" spans="1:21" x14ac:dyDescent="0.35">
      <c r="A1964" s="1"/>
      <c r="U1964">
        <v>6.5808</v>
      </c>
    </row>
    <row r="1965" spans="1:21" x14ac:dyDescent="0.35">
      <c r="A1965" s="1"/>
      <c r="U1965">
        <v>11.702999999999999</v>
      </c>
    </row>
    <row r="1966" spans="1:21" x14ac:dyDescent="0.35">
      <c r="A1966" s="1"/>
      <c r="U1966">
        <v>17.177399999999999</v>
      </c>
    </row>
    <row r="1967" spans="1:21" x14ac:dyDescent="0.35">
      <c r="A1967" s="1"/>
      <c r="U1967">
        <v>7.2539999999999996</v>
      </c>
    </row>
    <row r="1968" spans="1:21" x14ac:dyDescent="0.35">
      <c r="U1968">
        <v>78.951599999999999</v>
      </c>
    </row>
    <row r="1969" spans="1:21" x14ac:dyDescent="0.35">
      <c r="U1969">
        <v>20.155000000000001</v>
      </c>
    </row>
    <row r="1970" spans="1:21" x14ac:dyDescent="0.35">
      <c r="U1970">
        <v>79.891199999999998</v>
      </c>
    </row>
    <row r="1971" spans="1:21" x14ac:dyDescent="0.35">
      <c r="U1971">
        <v>102.18600000000001</v>
      </c>
    </row>
    <row r="1972" spans="1:21" x14ac:dyDescent="0.35">
      <c r="A1972" s="1"/>
      <c r="U1972">
        <v>0.64080000000000004</v>
      </c>
    </row>
    <row r="1973" spans="1:21" x14ac:dyDescent="0.35">
      <c r="A1973" s="1"/>
      <c r="U1973">
        <v>76.639499999999998</v>
      </c>
    </row>
    <row r="1974" spans="1:21" x14ac:dyDescent="0.35">
      <c r="U1974">
        <v>-8.6768000000000001</v>
      </c>
    </row>
    <row r="1975" spans="1:21" x14ac:dyDescent="0.35">
      <c r="U1975">
        <v>0.47060000000000002</v>
      </c>
    </row>
    <row r="1976" spans="1:21" x14ac:dyDescent="0.35">
      <c r="U1976">
        <v>-2.1884999999999999</v>
      </c>
    </row>
    <row r="1977" spans="1:21" x14ac:dyDescent="0.35">
      <c r="U1977">
        <v>11.0388</v>
      </c>
    </row>
    <row r="1978" spans="1:21" x14ac:dyDescent="0.35">
      <c r="U1978">
        <v>362.68700000000001</v>
      </c>
    </row>
    <row r="1979" spans="1:21" x14ac:dyDescent="0.35">
      <c r="U1979">
        <v>70.964399999999998</v>
      </c>
    </row>
    <row r="1980" spans="1:21" x14ac:dyDescent="0.35">
      <c r="A1980" s="1"/>
      <c r="U1980">
        <v>0.59040000000000004</v>
      </c>
    </row>
    <row r="1981" spans="1:21" x14ac:dyDescent="0.35">
      <c r="U1981">
        <v>105.0228</v>
      </c>
    </row>
    <row r="1982" spans="1:21" x14ac:dyDescent="0.35">
      <c r="U1982">
        <v>4.2976000000000001</v>
      </c>
    </row>
    <row r="1983" spans="1:21" x14ac:dyDescent="0.35">
      <c r="U1983">
        <v>1.8048</v>
      </c>
    </row>
    <row r="1984" spans="1:21" x14ac:dyDescent="0.35">
      <c r="A1984" s="1"/>
      <c r="U1984">
        <v>134.3888</v>
      </c>
    </row>
    <row r="1985" spans="1:21" x14ac:dyDescent="0.35">
      <c r="U1985">
        <v>93.055199999999999</v>
      </c>
    </row>
    <row r="1986" spans="1:21" x14ac:dyDescent="0.35">
      <c r="U1986">
        <v>10.507199999999999</v>
      </c>
    </row>
    <row r="1987" spans="1:21" x14ac:dyDescent="0.35">
      <c r="U1987">
        <v>12.3096</v>
      </c>
    </row>
    <row r="1988" spans="1:21" x14ac:dyDescent="0.35">
      <c r="U1988">
        <v>191.99680000000001</v>
      </c>
    </row>
    <row r="1989" spans="1:21" x14ac:dyDescent="0.35">
      <c r="A1989" s="1"/>
      <c r="U1989">
        <v>7.9211999999999998</v>
      </c>
    </row>
    <row r="1990" spans="1:21" x14ac:dyDescent="0.35">
      <c r="A1990" s="1"/>
      <c r="U1990">
        <v>215.1198</v>
      </c>
    </row>
    <row r="1991" spans="1:21" x14ac:dyDescent="0.35">
      <c r="A1991" s="1"/>
      <c r="U1991">
        <v>12.323399999999999</v>
      </c>
    </row>
    <row r="1992" spans="1:21" x14ac:dyDescent="0.35">
      <c r="A1992" s="1"/>
      <c r="U1992">
        <v>8.4966000000000008</v>
      </c>
    </row>
    <row r="1993" spans="1:21" x14ac:dyDescent="0.35">
      <c r="U1993">
        <v>-3.7995999999999999</v>
      </c>
    </row>
    <row r="1994" spans="1:21" x14ac:dyDescent="0.35">
      <c r="U1994">
        <v>26.64</v>
      </c>
    </row>
    <row r="1995" spans="1:21" x14ac:dyDescent="0.35">
      <c r="U1995">
        <v>0.73480000000000001</v>
      </c>
    </row>
    <row r="1996" spans="1:21" x14ac:dyDescent="0.35">
      <c r="U1996">
        <v>-2.1194999999999999</v>
      </c>
    </row>
    <row r="1997" spans="1:21" x14ac:dyDescent="0.35">
      <c r="A1997" s="1"/>
      <c r="U1997">
        <v>-766.01199999999994</v>
      </c>
    </row>
    <row r="1998" spans="1:21" x14ac:dyDescent="0.35">
      <c r="A1998" s="1"/>
      <c r="U1998">
        <v>-3.7195999999999998</v>
      </c>
    </row>
    <row r="1999" spans="1:21" x14ac:dyDescent="0.35">
      <c r="A1999" s="1"/>
      <c r="U1999">
        <v>7.2</v>
      </c>
    </row>
    <row r="2000" spans="1:21" x14ac:dyDescent="0.35">
      <c r="A2000" s="1"/>
      <c r="U2000">
        <v>42.018599999999999</v>
      </c>
    </row>
    <row r="2001" spans="1:21" x14ac:dyDescent="0.35">
      <c r="A2001" s="1"/>
      <c r="U2001">
        <v>42.035499999999999</v>
      </c>
    </row>
    <row r="2002" spans="1:21" x14ac:dyDescent="0.35">
      <c r="A2002" s="1"/>
      <c r="U2002">
        <v>21.994499999999999</v>
      </c>
    </row>
    <row r="2003" spans="1:21" x14ac:dyDescent="0.35">
      <c r="A2003" s="1"/>
      <c r="U2003">
        <v>14.2324</v>
      </c>
    </row>
    <row r="2004" spans="1:21" x14ac:dyDescent="0.35">
      <c r="U2004">
        <v>9.5939999999999994</v>
      </c>
    </row>
    <row r="2005" spans="1:21" x14ac:dyDescent="0.35">
      <c r="U2005">
        <v>76.112499999999997</v>
      </c>
    </row>
    <row r="2006" spans="1:21" x14ac:dyDescent="0.35">
      <c r="A2006" s="1"/>
      <c r="U2006">
        <v>-17.045999999999999</v>
      </c>
    </row>
    <row r="2007" spans="1:21" x14ac:dyDescent="0.35">
      <c r="U2007">
        <v>11.575200000000001</v>
      </c>
    </row>
    <row r="2008" spans="1:21" x14ac:dyDescent="0.35">
      <c r="U2008">
        <v>16.1602</v>
      </c>
    </row>
    <row r="2009" spans="1:21" x14ac:dyDescent="0.35">
      <c r="A2009" s="1"/>
      <c r="U2009">
        <v>-36.674399999999999</v>
      </c>
    </row>
    <row r="2010" spans="1:21" x14ac:dyDescent="0.35">
      <c r="U2010">
        <v>0.47520000000000001</v>
      </c>
    </row>
    <row r="2011" spans="1:21" x14ac:dyDescent="0.35">
      <c r="U2011">
        <v>29.142399999999999</v>
      </c>
    </row>
    <row r="2012" spans="1:21" x14ac:dyDescent="0.35">
      <c r="U2012">
        <v>7.78</v>
      </c>
    </row>
    <row r="2013" spans="1:21" x14ac:dyDescent="0.35">
      <c r="A2013" s="1"/>
      <c r="U2013">
        <v>35.996400000000001</v>
      </c>
    </row>
    <row r="2014" spans="1:21" x14ac:dyDescent="0.35">
      <c r="A2014" s="1"/>
      <c r="U2014">
        <v>4.6344000000000003</v>
      </c>
    </row>
    <row r="2015" spans="1:21" x14ac:dyDescent="0.35">
      <c r="U2015">
        <v>84.235200000000006</v>
      </c>
    </row>
    <row r="2016" spans="1:21" x14ac:dyDescent="0.35">
      <c r="U2016">
        <v>6.0167999999999999</v>
      </c>
    </row>
    <row r="2017" spans="1:21" x14ac:dyDescent="0.35">
      <c r="U2017">
        <v>117.0104</v>
      </c>
    </row>
    <row r="2018" spans="1:21" x14ac:dyDescent="0.35">
      <c r="U2018">
        <v>6.3684000000000003</v>
      </c>
    </row>
    <row r="2019" spans="1:21" x14ac:dyDescent="0.35">
      <c r="U2019">
        <v>6.8714000000000004</v>
      </c>
    </row>
    <row r="2020" spans="1:21" x14ac:dyDescent="0.35">
      <c r="U2020">
        <v>8.6736000000000004</v>
      </c>
    </row>
    <row r="2021" spans="1:21" x14ac:dyDescent="0.35">
      <c r="U2021">
        <v>19.668600000000001</v>
      </c>
    </row>
    <row r="2022" spans="1:21" x14ac:dyDescent="0.35">
      <c r="U2022">
        <v>481.86900000000003</v>
      </c>
    </row>
    <row r="2023" spans="1:21" x14ac:dyDescent="0.35">
      <c r="U2023">
        <v>7.6680000000000001</v>
      </c>
    </row>
    <row r="2024" spans="1:21" x14ac:dyDescent="0.35">
      <c r="U2024">
        <v>23.7744</v>
      </c>
    </row>
    <row r="2025" spans="1:21" x14ac:dyDescent="0.35">
      <c r="U2025">
        <v>244.24959999999999</v>
      </c>
    </row>
    <row r="2026" spans="1:21" x14ac:dyDescent="0.35">
      <c r="U2026">
        <v>77.713999999999999</v>
      </c>
    </row>
    <row r="2027" spans="1:21" x14ac:dyDescent="0.35">
      <c r="U2027">
        <v>39.748800000000003</v>
      </c>
    </row>
    <row r="2028" spans="1:21" x14ac:dyDescent="0.35">
      <c r="A2028" s="1"/>
      <c r="U2028">
        <v>11.558400000000001</v>
      </c>
    </row>
    <row r="2029" spans="1:21" x14ac:dyDescent="0.35">
      <c r="A2029" s="1"/>
      <c r="U2029">
        <v>23.497599999999998</v>
      </c>
    </row>
    <row r="2030" spans="1:21" x14ac:dyDescent="0.35">
      <c r="U2030">
        <v>6.9230999999999998</v>
      </c>
    </row>
    <row r="2031" spans="1:21" x14ac:dyDescent="0.35">
      <c r="U2031">
        <v>25.175999999999998</v>
      </c>
    </row>
    <row r="2032" spans="1:21" x14ac:dyDescent="0.35">
      <c r="U2032">
        <v>30.52</v>
      </c>
    </row>
    <row r="2033" spans="1:21" x14ac:dyDescent="0.35">
      <c r="U2033">
        <v>5.1464999999999996</v>
      </c>
    </row>
    <row r="2034" spans="1:21" x14ac:dyDescent="0.35">
      <c r="A2034" s="1"/>
      <c r="U2034">
        <v>3.2871999999999999</v>
      </c>
    </row>
    <row r="2035" spans="1:21" x14ac:dyDescent="0.35">
      <c r="A2035" s="1"/>
      <c r="U2035">
        <v>0.81620000000000004</v>
      </c>
    </row>
    <row r="2036" spans="1:21" x14ac:dyDescent="0.35">
      <c r="U2036">
        <v>3.8822000000000001</v>
      </c>
    </row>
    <row r="2037" spans="1:21" x14ac:dyDescent="0.35">
      <c r="U2037">
        <v>51.2943</v>
      </c>
    </row>
    <row r="2038" spans="1:21" x14ac:dyDescent="0.35">
      <c r="U2038">
        <v>13.9392</v>
      </c>
    </row>
    <row r="2039" spans="1:21" x14ac:dyDescent="0.35">
      <c r="U2039">
        <v>6.8714000000000004</v>
      </c>
    </row>
    <row r="2040" spans="1:21" x14ac:dyDescent="0.35">
      <c r="U2040">
        <v>4.3326000000000002</v>
      </c>
    </row>
    <row r="2041" spans="1:21" x14ac:dyDescent="0.35">
      <c r="U2041">
        <v>-3.3264</v>
      </c>
    </row>
    <row r="2042" spans="1:21" x14ac:dyDescent="0.35">
      <c r="U2042">
        <v>-6.1040000000000001</v>
      </c>
    </row>
    <row r="2043" spans="1:21" x14ac:dyDescent="0.35">
      <c r="U2043">
        <v>20.724</v>
      </c>
    </row>
    <row r="2044" spans="1:21" x14ac:dyDescent="0.35">
      <c r="A2044" s="1"/>
      <c r="U2044">
        <v>20.1264</v>
      </c>
    </row>
    <row r="2045" spans="1:21" x14ac:dyDescent="0.35">
      <c r="U2045">
        <v>7.7728000000000002</v>
      </c>
    </row>
    <row r="2046" spans="1:21" x14ac:dyDescent="0.35">
      <c r="U2046">
        <v>5.4432</v>
      </c>
    </row>
    <row r="2047" spans="1:21" x14ac:dyDescent="0.35">
      <c r="U2047">
        <v>45.539200000000001</v>
      </c>
    </row>
    <row r="2048" spans="1:21" x14ac:dyDescent="0.35">
      <c r="U2048">
        <v>280.58999999999997</v>
      </c>
    </row>
    <row r="2049" spans="1:21" x14ac:dyDescent="0.35">
      <c r="U2049">
        <v>26.630400000000002</v>
      </c>
    </row>
    <row r="2050" spans="1:21" x14ac:dyDescent="0.35">
      <c r="A2050" s="1"/>
      <c r="U2050">
        <v>36.225000000000001</v>
      </c>
    </row>
    <row r="2051" spans="1:21" x14ac:dyDescent="0.35">
      <c r="A2051" s="1"/>
      <c r="U2051">
        <v>-2.0015999999999998</v>
      </c>
    </row>
    <row r="2052" spans="1:21" x14ac:dyDescent="0.35">
      <c r="A2052" s="1"/>
      <c r="U2052">
        <v>-4.7519999999999998</v>
      </c>
    </row>
    <row r="2053" spans="1:21" x14ac:dyDescent="0.35">
      <c r="A2053" s="1"/>
      <c r="U2053">
        <v>-73.176000000000002</v>
      </c>
    </row>
    <row r="2054" spans="1:21" x14ac:dyDescent="0.35">
      <c r="A2054" s="1"/>
      <c r="U2054">
        <v>0.83399999999999996</v>
      </c>
    </row>
    <row r="2055" spans="1:21" x14ac:dyDescent="0.35">
      <c r="A2055" s="1"/>
      <c r="U2055">
        <v>3.4847999999999999</v>
      </c>
    </row>
    <row r="2056" spans="1:21" x14ac:dyDescent="0.35">
      <c r="A2056" s="1"/>
      <c r="U2056">
        <v>5.1929999999999996</v>
      </c>
    </row>
    <row r="2057" spans="1:21" x14ac:dyDescent="0.35">
      <c r="U2057">
        <v>63.984000000000002</v>
      </c>
    </row>
    <row r="2058" spans="1:21" x14ac:dyDescent="0.35">
      <c r="U2058">
        <v>412.5394</v>
      </c>
    </row>
    <row r="2059" spans="1:21" x14ac:dyDescent="0.35">
      <c r="U2059">
        <v>30.596399999999999</v>
      </c>
    </row>
    <row r="2060" spans="1:21" x14ac:dyDescent="0.35">
      <c r="U2060">
        <v>70.006</v>
      </c>
    </row>
    <row r="2061" spans="1:21" x14ac:dyDescent="0.35">
      <c r="U2061">
        <v>5.2164000000000001</v>
      </c>
    </row>
    <row r="2062" spans="1:21" x14ac:dyDescent="0.35">
      <c r="U2062">
        <v>20.878</v>
      </c>
    </row>
    <row r="2063" spans="1:21" x14ac:dyDescent="0.35">
      <c r="U2063">
        <v>5.3891999999999998</v>
      </c>
    </row>
    <row r="2064" spans="1:21" x14ac:dyDescent="0.35">
      <c r="U2064">
        <v>30.427800000000001</v>
      </c>
    </row>
    <row r="2065" spans="1:21" x14ac:dyDescent="0.35">
      <c r="U2065">
        <v>6.03</v>
      </c>
    </row>
    <row r="2066" spans="1:21" x14ac:dyDescent="0.35">
      <c r="U2066">
        <v>12.1692</v>
      </c>
    </row>
    <row r="2067" spans="1:21" x14ac:dyDescent="0.35">
      <c r="U2067">
        <v>-9.1470000000000002</v>
      </c>
    </row>
    <row r="2068" spans="1:21" x14ac:dyDescent="0.35">
      <c r="U2068">
        <v>47.862900000000003</v>
      </c>
    </row>
    <row r="2069" spans="1:21" x14ac:dyDescent="0.35">
      <c r="U2069">
        <v>3.7170000000000001</v>
      </c>
    </row>
    <row r="2070" spans="1:21" x14ac:dyDescent="0.35">
      <c r="U2070">
        <v>69.986000000000004</v>
      </c>
    </row>
    <row r="2071" spans="1:21" x14ac:dyDescent="0.35">
      <c r="U2071">
        <v>-97.739400000000003</v>
      </c>
    </row>
    <row r="2072" spans="1:21" x14ac:dyDescent="0.35">
      <c r="U2072">
        <v>-1.294</v>
      </c>
    </row>
    <row r="2073" spans="1:21" x14ac:dyDescent="0.35">
      <c r="U2073">
        <v>-46.137</v>
      </c>
    </row>
    <row r="2074" spans="1:21" x14ac:dyDescent="0.35">
      <c r="U2074">
        <v>2.5592000000000001</v>
      </c>
    </row>
    <row r="2075" spans="1:21" x14ac:dyDescent="0.35">
      <c r="A2075" s="1"/>
      <c r="U2075">
        <v>13.793100000000001</v>
      </c>
    </row>
    <row r="2076" spans="1:21" x14ac:dyDescent="0.35">
      <c r="A2076" s="1"/>
      <c r="U2076">
        <v>66.635099999999994</v>
      </c>
    </row>
    <row r="2077" spans="1:21" x14ac:dyDescent="0.35">
      <c r="A2077" s="1"/>
      <c r="U2077">
        <v>28.518000000000001</v>
      </c>
    </row>
    <row r="2078" spans="1:21" x14ac:dyDescent="0.35">
      <c r="A2078" s="1"/>
      <c r="U2078">
        <v>19.95</v>
      </c>
    </row>
    <row r="2079" spans="1:21" x14ac:dyDescent="0.35">
      <c r="A2079" s="1"/>
      <c r="U2079">
        <v>26.349399999999999</v>
      </c>
    </row>
    <row r="2080" spans="1:21" x14ac:dyDescent="0.35">
      <c r="A2080" s="1"/>
      <c r="U2080">
        <v>45.527999999999999</v>
      </c>
    </row>
    <row r="2081" spans="21:21" x14ac:dyDescent="0.35">
      <c r="U2081">
        <v>37.181199999999997</v>
      </c>
    </row>
    <row r="2082" spans="21:21" x14ac:dyDescent="0.35">
      <c r="U2082">
        <v>11.198399999999999</v>
      </c>
    </row>
    <row r="2083" spans="21:21" x14ac:dyDescent="0.35">
      <c r="U2083">
        <v>1.7352000000000001</v>
      </c>
    </row>
    <row r="2084" spans="21:21" x14ac:dyDescent="0.35">
      <c r="U2084">
        <v>16.847999999999999</v>
      </c>
    </row>
    <row r="2085" spans="21:21" x14ac:dyDescent="0.35">
      <c r="U2085">
        <v>8.8800000000000008</v>
      </c>
    </row>
    <row r="2086" spans="21:21" x14ac:dyDescent="0.35">
      <c r="U2086">
        <v>56.175199999999997</v>
      </c>
    </row>
    <row r="2087" spans="21:21" x14ac:dyDescent="0.35">
      <c r="U2087">
        <v>8.6715</v>
      </c>
    </row>
    <row r="2088" spans="21:21" x14ac:dyDescent="0.35">
      <c r="U2088">
        <v>38.988</v>
      </c>
    </row>
    <row r="2089" spans="21:21" x14ac:dyDescent="0.35">
      <c r="U2089">
        <v>68.963099999999997</v>
      </c>
    </row>
    <row r="2090" spans="21:21" x14ac:dyDescent="0.35">
      <c r="U2090">
        <v>1.4652000000000001</v>
      </c>
    </row>
    <row r="2091" spans="21:21" x14ac:dyDescent="0.35">
      <c r="U2091">
        <v>2.6496</v>
      </c>
    </row>
    <row r="2092" spans="21:21" x14ac:dyDescent="0.35">
      <c r="U2092">
        <v>13.009499999999999</v>
      </c>
    </row>
    <row r="2093" spans="21:21" x14ac:dyDescent="0.35">
      <c r="U2093">
        <v>-48.783900000000003</v>
      </c>
    </row>
    <row r="2094" spans="21:21" x14ac:dyDescent="0.35">
      <c r="U2094">
        <v>81.582999999999998</v>
      </c>
    </row>
    <row r="2095" spans="21:21" x14ac:dyDescent="0.35">
      <c r="U2095">
        <v>0.38640000000000002</v>
      </c>
    </row>
    <row r="2096" spans="21:21" x14ac:dyDescent="0.35">
      <c r="U2096">
        <v>1.476</v>
      </c>
    </row>
    <row r="2097" spans="1:21" x14ac:dyDescent="0.35">
      <c r="U2097">
        <v>240.56479999999999</v>
      </c>
    </row>
    <row r="2098" spans="1:21" x14ac:dyDescent="0.35">
      <c r="U2098">
        <v>25.748799999999999</v>
      </c>
    </row>
    <row r="2099" spans="1:21" x14ac:dyDescent="0.35">
      <c r="U2099">
        <v>2.1684000000000001</v>
      </c>
    </row>
    <row r="2100" spans="1:21" x14ac:dyDescent="0.35">
      <c r="A2100" s="1"/>
      <c r="U2100">
        <v>2.355</v>
      </c>
    </row>
    <row r="2101" spans="1:21" x14ac:dyDescent="0.35">
      <c r="A2101" s="1"/>
      <c r="U2101">
        <v>80.483900000000006</v>
      </c>
    </row>
    <row r="2102" spans="1:21" x14ac:dyDescent="0.35">
      <c r="A2102" s="1"/>
      <c r="U2102">
        <v>-15.9102</v>
      </c>
    </row>
    <row r="2103" spans="1:21" x14ac:dyDescent="0.35">
      <c r="A2103" s="1"/>
      <c r="U2103">
        <v>9.3564000000000007</v>
      </c>
    </row>
    <row r="2104" spans="1:21" x14ac:dyDescent="0.35">
      <c r="U2104">
        <v>-25.913599999999999</v>
      </c>
    </row>
    <row r="2105" spans="1:21" x14ac:dyDescent="0.35">
      <c r="U2105">
        <v>106.52160000000001</v>
      </c>
    </row>
    <row r="2106" spans="1:21" x14ac:dyDescent="0.35">
      <c r="U2106">
        <v>11.7</v>
      </c>
    </row>
    <row r="2107" spans="1:21" x14ac:dyDescent="0.35">
      <c r="U2107">
        <v>5.4432</v>
      </c>
    </row>
    <row r="2108" spans="1:21" x14ac:dyDescent="0.35">
      <c r="U2108">
        <v>-1.4016</v>
      </c>
    </row>
    <row r="2109" spans="1:21" x14ac:dyDescent="0.35">
      <c r="U2109">
        <v>9.3905999999999992</v>
      </c>
    </row>
    <row r="2110" spans="1:21" x14ac:dyDescent="0.35">
      <c r="U2110">
        <v>124.485</v>
      </c>
    </row>
    <row r="2111" spans="1:21" x14ac:dyDescent="0.35">
      <c r="U2111">
        <v>1.26</v>
      </c>
    </row>
    <row r="2112" spans="1:21" x14ac:dyDescent="0.35">
      <c r="U2112">
        <v>8.0269999999999992</v>
      </c>
    </row>
    <row r="2113" spans="1:21" x14ac:dyDescent="0.35">
      <c r="U2113">
        <v>20.196000000000002</v>
      </c>
    </row>
    <row r="2114" spans="1:21" x14ac:dyDescent="0.35">
      <c r="U2114">
        <v>8.0190000000000001</v>
      </c>
    </row>
    <row r="2115" spans="1:21" x14ac:dyDescent="0.35">
      <c r="U2115">
        <v>145.78200000000001</v>
      </c>
    </row>
    <row r="2116" spans="1:21" x14ac:dyDescent="0.35">
      <c r="U2116">
        <v>12.646800000000001</v>
      </c>
    </row>
    <row r="2117" spans="1:21" x14ac:dyDescent="0.35">
      <c r="U2117">
        <v>20.039200000000001</v>
      </c>
    </row>
    <row r="2118" spans="1:21" x14ac:dyDescent="0.35">
      <c r="A2118" s="1"/>
      <c r="U2118">
        <v>-13.978</v>
      </c>
    </row>
    <row r="2119" spans="1:21" x14ac:dyDescent="0.35">
      <c r="U2119">
        <v>73.544799999999995</v>
      </c>
    </row>
    <row r="2120" spans="1:21" x14ac:dyDescent="0.35">
      <c r="U2120">
        <v>2.3759999999999999</v>
      </c>
    </row>
    <row r="2121" spans="1:21" x14ac:dyDescent="0.35">
      <c r="U2121">
        <v>302.37299999999999</v>
      </c>
    </row>
    <row r="2122" spans="1:21" x14ac:dyDescent="0.35">
      <c r="A2122" s="1"/>
      <c r="U2122">
        <v>-1.9656</v>
      </c>
    </row>
    <row r="2123" spans="1:21" x14ac:dyDescent="0.35">
      <c r="A2123" s="1"/>
      <c r="U2123">
        <v>-2.6997</v>
      </c>
    </row>
    <row r="2124" spans="1:21" x14ac:dyDescent="0.35">
      <c r="U2124">
        <v>41.133200000000002</v>
      </c>
    </row>
    <row r="2125" spans="1:21" x14ac:dyDescent="0.35">
      <c r="U2125">
        <v>13.3056</v>
      </c>
    </row>
    <row r="2126" spans="1:21" x14ac:dyDescent="0.35">
      <c r="A2126" s="1"/>
      <c r="U2126">
        <v>35.329500000000003</v>
      </c>
    </row>
    <row r="2127" spans="1:21" x14ac:dyDescent="0.35">
      <c r="A2127" s="1"/>
      <c r="U2127">
        <v>9.4436999999999998</v>
      </c>
    </row>
    <row r="2128" spans="1:21" x14ac:dyDescent="0.35">
      <c r="U2128">
        <v>1.0797000000000001</v>
      </c>
    </row>
    <row r="2129" spans="1:21" x14ac:dyDescent="0.35">
      <c r="A2129" s="1"/>
      <c r="U2129">
        <v>6.4943999999999997</v>
      </c>
    </row>
    <row r="2130" spans="1:21" x14ac:dyDescent="0.35">
      <c r="A2130" s="1"/>
      <c r="U2130">
        <v>7.2576000000000001</v>
      </c>
    </row>
    <row r="2131" spans="1:21" x14ac:dyDescent="0.35">
      <c r="U2131">
        <v>9.3184000000000005</v>
      </c>
    </row>
    <row r="2132" spans="1:21" x14ac:dyDescent="0.35">
      <c r="U2132">
        <v>11.9412</v>
      </c>
    </row>
    <row r="2133" spans="1:21" x14ac:dyDescent="0.35">
      <c r="U2133">
        <v>60.139800000000001</v>
      </c>
    </row>
    <row r="2134" spans="1:21" x14ac:dyDescent="0.35">
      <c r="U2134">
        <v>9.0389999999999997</v>
      </c>
    </row>
    <row r="2135" spans="1:21" x14ac:dyDescent="0.35">
      <c r="U2135">
        <v>-122.39279999999999</v>
      </c>
    </row>
    <row r="2136" spans="1:21" x14ac:dyDescent="0.35">
      <c r="U2136">
        <v>-2.3814000000000002</v>
      </c>
    </row>
    <row r="2137" spans="1:21" x14ac:dyDescent="0.35">
      <c r="U2137">
        <v>15.82</v>
      </c>
    </row>
    <row r="2138" spans="1:21" x14ac:dyDescent="0.35">
      <c r="U2138">
        <v>-11.439</v>
      </c>
    </row>
    <row r="2139" spans="1:21" x14ac:dyDescent="0.35">
      <c r="U2139">
        <v>-5.8495999999999997</v>
      </c>
    </row>
    <row r="2140" spans="1:21" x14ac:dyDescent="0.35">
      <c r="U2140">
        <v>73.41</v>
      </c>
    </row>
    <row r="2141" spans="1:21" x14ac:dyDescent="0.35">
      <c r="A2141" s="1"/>
      <c r="U2141">
        <v>50.4711</v>
      </c>
    </row>
    <row r="2142" spans="1:21" x14ac:dyDescent="0.35">
      <c r="A2142" s="1"/>
      <c r="U2142">
        <v>4.4564000000000004</v>
      </c>
    </row>
    <row r="2143" spans="1:21" x14ac:dyDescent="0.35">
      <c r="A2143" s="1"/>
      <c r="U2143">
        <v>-347.11739999999998</v>
      </c>
    </row>
    <row r="2144" spans="1:21" x14ac:dyDescent="0.35">
      <c r="A2144" s="1"/>
      <c r="U2144">
        <v>9.9060000000000006</v>
      </c>
    </row>
    <row r="2145" spans="1:21" x14ac:dyDescent="0.35">
      <c r="A2145" s="1"/>
      <c r="U2145">
        <v>-4.7976000000000001</v>
      </c>
    </row>
    <row r="2146" spans="1:21" x14ac:dyDescent="0.35">
      <c r="A2146" s="1"/>
      <c r="U2146">
        <v>5.4236000000000004</v>
      </c>
    </row>
    <row r="2147" spans="1:21" x14ac:dyDescent="0.35">
      <c r="U2147">
        <v>-18.088200000000001</v>
      </c>
    </row>
    <row r="2148" spans="1:21" x14ac:dyDescent="0.35">
      <c r="U2148">
        <v>-27.9312</v>
      </c>
    </row>
    <row r="2149" spans="1:21" x14ac:dyDescent="0.35">
      <c r="U2149">
        <v>-50.870399999999997</v>
      </c>
    </row>
    <row r="2150" spans="1:21" x14ac:dyDescent="0.35">
      <c r="A2150" s="1"/>
      <c r="U2150">
        <v>4.3310000000000004</v>
      </c>
    </row>
    <row r="2151" spans="1:21" x14ac:dyDescent="0.35">
      <c r="U2151">
        <v>22.087</v>
      </c>
    </row>
    <row r="2152" spans="1:21" x14ac:dyDescent="0.35">
      <c r="U2152">
        <v>-53.270400000000002</v>
      </c>
    </row>
    <row r="2153" spans="1:21" x14ac:dyDescent="0.35">
      <c r="U2153">
        <v>43.598100000000002</v>
      </c>
    </row>
    <row r="2154" spans="1:21" x14ac:dyDescent="0.35">
      <c r="U2154">
        <v>7.0217999999999998</v>
      </c>
    </row>
    <row r="2155" spans="1:21" x14ac:dyDescent="0.35">
      <c r="U2155">
        <v>5.133</v>
      </c>
    </row>
    <row r="2156" spans="1:21" x14ac:dyDescent="0.35">
      <c r="U2156">
        <v>-10.1736</v>
      </c>
    </row>
    <row r="2157" spans="1:21" x14ac:dyDescent="0.35">
      <c r="U2157">
        <v>10.74</v>
      </c>
    </row>
    <row r="2158" spans="1:21" x14ac:dyDescent="0.35">
      <c r="U2158">
        <v>0</v>
      </c>
    </row>
    <row r="2159" spans="1:21" x14ac:dyDescent="0.35">
      <c r="U2159">
        <v>9.7164000000000001</v>
      </c>
    </row>
    <row r="2160" spans="1:21" x14ac:dyDescent="0.35">
      <c r="U2160">
        <v>2.0087999999999999</v>
      </c>
    </row>
    <row r="2161" spans="1:21" x14ac:dyDescent="0.35">
      <c r="A2161" s="1"/>
      <c r="U2161">
        <v>-14.973599999999999</v>
      </c>
    </row>
    <row r="2162" spans="1:21" x14ac:dyDescent="0.35">
      <c r="U2162">
        <v>29.768999999999998</v>
      </c>
    </row>
    <row r="2163" spans="1:21" x14ac:dyDescent="0.35">
      <c r="A2163" s="1"/>
      <c r="U2163">
        <v>10.0282</v>
      </c>
    </row>
    <row r="2164" spans="1:21" x14ac:dyDescent="0.35">
      <c r="U2164">
        <v>150.98400000000001</v>
      </c>
    </row>
    <row r="2165" spans="1:21" x14ac:dyDescent="0.35">
      <c r="U2165">
        <v>23.997</v>
      </c>
    </row>
    <row r="2166" spans="1:21" x14ac:dyDescent="0.35">
      <c r="U2166">
        <v>3.0044</v>
      </c>
    </row>
    <row r="2167" spans="1:21" x14ac:dyDescent="0.35">
      <c r="U2167">
        <v>-150.41399999999999</v>
      </c>
    </row>
    <row r="2168" spans="1:21" x14ac:dyDescent="0.35">
      <c r="U2168">
        <v>1.1903999999999999</v>
      </c>
    </row>
    <row r="2169" spans="1:21" x14ac:dyDescent="0.35">
      <c r="U2169">
        <v>-11.000500000000001</v>
      </c>
    </row>
    <row r="2170" spans="1:21" x14ac:dyDescent="0.35">
      <c r="U2170">
        <v>1.752</v>
      </c>
    </row>
    <row r="2171" spans="1:21" x14ac:dyDescent="0.35">
      <c r="U2171">
        <v>-8.9969999999999999</v>
      </c>
    </row>
    <row r="2172" spans="1:21" x14ac:dyDescent="0.35">
      <c r="U2172">
        <v>-26.9955</v>
      </c>
    </row>
    <row r="2173" spans="1:21" x14ac:dyDescent="0.35">
      <c r="U2173">
        <v>-8.7232000000000003</v>
      </c>
    </row>
    <row r="2174" spans="1:21" x14ac:dyDescent="0.35">
      <c r="A2174" s="1"/>
      <c r="U2174">
        <v>6.9131999999999998</v>
      </c>
    </row>
    <row r="2175" spans="1:21" x14ac:dyDescent="0.35">
      <c r="U2175">
        <v>-13.896000000000001</v>
      </c>
    </row>
    <row r="2176" spans="1:21" x14ac:dyDescent="0.35">
      <c r="U2176">
        <v>6.1791999999999998</v>
      </c>
    </row>
    <row r="2177" spans="1:21" x14ac:dyDescent="0.35">
      <c r="U2177">
        <v>21.012799999999999</v>
      </c>
    </row>
    <row r="2178" spans="1:21" x14ac:dyDescent="0.35">
      <c r="U2178">
        <v>28.857600000000001</v>
      </c>
    </row>
    <row r="2179" spans="1:21" x14ac:dyDescent="0.35">
      <c r="U2179">
        <v>13.0375</v>
      </c>
    </row>
    <row r="2180" spans="1:21" x14ac:dyDescent="0.35">
      <c r="U2180">
        <v>32.936</v>
      </c>
    </row>
    <row r="2181" spans="1:21" x14ac:dyDescent="0.35">
      <c r="A2181" s="1"/>
      <c r="U2181">
        <v>30.896599999999999</v>
      </c>
    </row>
    <row r="2182" spans="1:21" x14ac:dyDescent="0.35">
      <c r="A2182" s="1"/>
      <c r="U2182">
        <v>22.2</v>
      </c>
    </row>
    <row r="2183" spans="1:21" x14ac:dyDescent="0.35">
      <c r="A2183" s="1"/>
      <c r="U2183">
        <v>59.035200000000003</v>
      </c>
    </row>
    <row r="2184" spans="1:21" x14ac:dyDescent="0.35">
      <c r="A2184" s="1"/>
      <c r="U2184">
        <v>1159.9855</v>
      </c>
    </row>
    <row r="2185" spans="1:21" x14ac:dyDescent="0.35">
      <c r="A2185" s="1"/>
      <c r="U2185">
        <v>21.994499999999999</v>
      </c>
    </row>
    <row r="2186" spans="1:21" x14ac:dyDescent="0.35">
      <c r="A2186" s="1"/>
      <c r="U2186">
        <v>28.019200000000001</v>
      </c>
    </row>
    <row r="2187" spans="1:21" x14ac:dyDescent="0.35">
      <c r="A2187" s="1"/>
      <c r="U2187">
        <v>18.5274</v>
      </c>
    </row>
    <row r="2188" spans="1:21" x14ac:dyDescent="0.35">
      <c r="U2188">
        <v>7.25</v>
      </c>
    </row>
    <row r="2189" spans="1:21" x14ac:dyDescent="0.35">
      <c r="A2189" s="1"/>
      <c r="U2189">
        <v>35.04</v>
      </c>
    </row>
    <row r="2190" spans="1:21" x14ac:dyDescent="0.35">
      <c r="A2190" s="1"/>
      <c r="U2190">
        <v>25.472999999999999</v>
      </c>
    </row>
    <row r="2191" spans="1:21" x14ac:dyDescent="0.35">
      <c r="A2191" s="1"/>
      <c r="U2191">
        <v>378.16739999999999</v>
      </c>
    </row>
    <row r="2192" spans="1:21" x14ac:dyDescent="0.35">
      <c r="U2192">
        <v>17.026800000000001</v>
      </c>
    </row>
    <row r="2193" spans="1:21" x14ac:dyDescent="0.35">
      <c r="A2193" s="1"/>
      <c r="U2193">
        <v>51.823799999999999</v>
      </c>
    </row>
    <row r="2194" spans="1:21" x14ac:dyDescent="0.35">
      <c r="A2194" s="1"/>
      <c r="U2194">
        <v>22.869</v>
      </c>
    </row>
    <row r="2195" spans="1:21" x14ac:dyDescent="0.35">
      <c r="A2195" s="1"/>
      <c r="U2195">
        <v>55.764000000000003</v>
      </c>
    </row>
    <row r="2196" spans="1:21" x14ac:dyDescent="0.35">
      <c r="A2196" s="1"/>
      <c r="U2196">
        <v>12.285</v>
      </c>
    </row>
    <row r="2197" spans="1:21" x14ac:dyDescent="0.35">
      <c r="A2197" s="1"/>
      <c r="U2197">
        <v>8.5024999999999995</v>
      </c>
    </row>
    <row r="2198" spans="1:21" x14ac:dyDescent="0.35">
      <c r="A2198" s="1"/>
      <c r="U2198">
        <v>0.41160000000000002</v>
      </c>
    </row>
    <row r="2199" spans="1:21" x14ac:dyDescent="0.35">
      <c r="U2199">
        <v>3.9609000000000001</v>
      </c>
    </row>
    <row r="2200" spans="1:21" x14ac:dyDescent="0.35">
      <c r="U2200">
        <v>5.4432</v>
      </c>
    </row>
    <row r="2201" spans="1:21" x14ac:dyDescent="0.35">
      <c r="U2201">
        <v>1.7003999999999999</v>
      </c>
    </row>
    <row r="2202" spans="1:21" x14ac:dyDescent="0.35">
      <c r="A2202" s="1"/>
      <c r="U2202">
        <v>9.1020000000000003</v>
      </c>
    </row>
    <row r="2203" spans="1:21" x14ac:dyDescent="0.35">
      <c r="A2203" s="1"/>
      <c r="U2203">
        <v>229.30179999999999</v>
      </c>
    </row>
    <row r="2204" spans="1:21" x14ac:dyDescent="0.35">
      <c r="A2204" s="1"/>
      <c r="U2204">
        <v>2.1335999999999999</v>
      </c>
    </row>
    <row r="2205" spans="1:21" x14ac:dyDescent="0.35">
      <c r="A2205" s="1"/>
      <c r="U2205">
        <v>74.809799999999996</v>
      </c>
    </row>
    <row r="2206" spans="1:21" x14ac:dyDescent="0.35">
      <c r="U2206">
        <v>1.7591000000000001</v>
      </c>
    </row>
    <row r="2207" spans="1:21" x14ac:dyDescent="0.35">
      <c r="A2207" s="1"/>
      <c r="U2207">
        <v>8.4450000000000003</v>
      </c>
    </row>
    <row r="2208" spans="1:21" x14ac:dyDescent="0.35">
      <c r="U2208">
        <v>-46.394599999999997</v>
      </c>
    </row>
    <row r="2209" spans="1:21" x14ac:dyDescent="0.35">
      <c r="U2209">
        <v>3.8271999999999999</v>
      </c>
    </row>
    <row r="2210" spans="1:21" x14ac:dyDescent="0.35">
      <c r="U2210">
        <v>7.5991999999999997</v>
      </c>
    </row>
    <row r="2211" spans="1:21" x14ac:dyDescent="0.35">
      <c r="U2211">
        <v>233.22040000000001</v>
      </c>
    </row>
    <row r="2212" spans="1:21" x14ac:dyDescent="0.35">
      <c r="U2212">
        <v>21.024000000000001</v>
      </c>
    </row>
    <row r="2213" spans="1:21" x14ac:dyDescent="0.35">
      <c r="U2213">
        <v>29.7408</v>
      </c>
    </row>
    <row r="2214" spans="1:21" x14ac:dyDescent="0.35">
      <c r="U2214">
        <v>11.2422</v>
      </c>
    </row>
    <row r="2215" spans="1:21" x14ac:dyDescent="0.35">
      <c r="A2215" s="1"/>
      <c r="U2215">
        <v>0.504</v>
      </c>
    </row>
    <row r="2216" spans="1:21" x14ac:dyDescent="0.35">
      <c r="A2216" s="1"/>
      <c r="U2216">
        <v>20.849399999999999</v>
      </c>
    </row>
    <row r="2217" spans="1:21" x14ac:dyDescent="0.35">
      <c r="A2217" s="1"/>
      <c r="U2217">
        <v>60.49</v>
      </c>
    </row>
    <row r="2218" spans="1:21" x14ac:dyDescent="0.35">
      <c r="A2218" s="1"/>
      <c r="U2218">
        <v>9.5031999999999996</v>
      </c>
    </row>
    <row r="2219" spans="1:21" x14ac:dyDescent="0.35">
      <c r="U2219">
        <v>0.98560000000000003</v>
      </c>
    </row>
    <row r="2220" spans="1:21" x14ac:dyDescent="0.35">
      <c r="U2220">
        <v>3.6192000000000002</v>
      </c>
    </row>
    <row r="2221" spans="1:21" x14ac:dyDescent="0.35">
      <c r="U2221">
        <v>4.1943999999999999</v>
      </c>
    </row>
    <row r="2222" spans="1:21" x14ac:dyDescent="0.35">
      <c r="U2222">
        <v>100.24</v>
      </c>
    </row>
    <row r="2223" spans="1:21" x14ac:dyDescent="0.35">
      <c r="A2223" s="1"/>
      <c r="U2223">
        <v>-89.088999999999999</v>
      </c>
    </row>
    <row r="2224" spans="1:21" x14ac:dyDescent="0.35">
      <c r="A2224" s="1"/>
      <c r="U2224">
        <v>4.6719999999999997</v>
      </c>
    </row>
    <row r="2225" spans="1:21" x14ac:dyDescent="0.35">
      <c r="A2225" s="1"/>
      <c r="U2225">
        <v>-24.235199999999999</v>
      </c>
    </row>
    <row r="2226" spans="1:21" x14ac:dyDescent="0.35">
      <c r="U2226">
        <v>17.815200000000001</v>
      </c>
    </row>
    <row r="2227" spans="1:21" x14ac:dyDescent="0.35">
      <c r="U2227">
        <v>-98.8018</v>
      </c>
    </row>
    <row r="2228" spans="1:21" x14ac:dyDescent="0.35">
      <c r="U2228">
        <v>0.47060000000000002</v>
      </c>
    </row>
    <row r="2229" spans="1:21" x14ac:dyDescent="0.35">
      <c r="U2229">
        <v>15.599</v>
      </c>
    </row>
    <row r="2230" spans="1:21" x14ac:dyDescent="0.35">
      <c r="A2230" s="1"/>
      <c r="U2230">
        <v>-115.7058</v>
      </c>
    </row>
    <row r="2231" spans="1:21" x14ac:dyDescent="0.35">
      <c r="U2231">
        <v>252.58799999999999</v>
      </c>
    </row>
    <row r="2232" spans="1:21" x14ac:dyDescent="0.35">
      <c r="U2232">
        <v>14.8344</v>
      </c>
    </row>
    <row r="2233" spans="1:21" x14ac:dyDescent="0.35">
      <c r="U2233">
        <v>31.587</v>
      </c>
    </row>
    <row r="2234" spans="1:21" x14ac:dyDescent="0.35">
      <c r="A2234" s="1"/>
      <c r="U2234">
        <v>14.307499999999999</v>
      </c>
    </row>
    <row r="2235" spans="1:21" x14ac:dyDescent="0.35">
      <c r="U2235">
        <v>35.996400000000001</v>
      </c>
    </row>
    <row r="2236" spans="1:21" x14ac:dyDescent="0.35">
      <c r="A2236" s="1"/>
      <c r="U2236">
        <v>67.659899999999993</v>
      </c>
    </row>
    <row r="2237" spans="1:21" x14ac:dyDescent="0.35">
      <c r="U2237">
        <v>11.451599999999999</v>
      </c>
    </row>
    <row r="2238" spans="1:21" x14ac:dyDescent="0.35">
      <c r="U2238">
        <v>8.2688000000000006</v>
      </c>
    </row>
    <row r="2239" spans="1:21" x14ac:dyDescent="0.35">
      <c r="U2239">
        <v>12.432</v>
      </c>
    </row>
    <row r="2240" spans="1:21" x14ac:dyDescent="0.35">
      <c r="U2240">
        <v>-52.17</v>
      </c>
    </row>
    <row r="2241" spans="21:21" x14ac:dyDescent="0.35">
      <c r="U2241">
        <v>381.29700000000003</v>
      </c>
    </row>
    <row r="2242" spans="21:21" x14ac:dyDescent="0.35">
      <c r="U2242">
        <v>13.3476</v>
      </c>
    </row>
    <row r="2243" spans="21:21" x14ac:dyDescent="0.35">
      <c r="U2243">
        <v>-115.4958</v>
      </c>
    </row>
    <row r="2244" spans="21:21" x14ac:dyDescent="0.35">
      <c r="U2244">
        <v>15.2712</v>
      </c>
    </row>
    <row r="2245" spans="21:21" x14ac:dyDescent="0.35">
      <c r="U2245">
        <v>1.4456</v>
      </c>
    </row>
    <row r="2246" spans="21:21" x14ac:dyDescent="0.35">
      <c r="U2246">
        <v>3.5177999999999998</v>
      </c>
    </row>
    <row r="2247" spans="21:21" x14ac:dyDescent="0.35">
      <c r="U2247">
        <v>2.2412000000000001</v>
      </c>
    </row>
    <row r="2248" spans="21:21" x14ac:dyDescent="0.35">
      <c r="U2248">
        <v>49.498199999999997</v>
      </c>
    </row>
    <row r="2249" spans="21:21" x14ac:dyDescent="0.35">
      <c r="U2249">
        <v>6.4127999999999998</v>
      </c>
    </row>
    <row r="2250" spans="21:21" x14ac:dyDescent="0.35">
      <c r="U2250">
        <v>13.0375</v>
      </c>
    </row>
    <row r="2251" spans="21:21" x14ac:dyDescent="0.35">
      <c r="U2251">
        <v>4.1760000000000002</v>
      </c>
    </row>
    <row r="2252" spans="21:21" x14ac:dyDescent="0.35">
      <c r="U2252">
        <v>157.01759999999999</v>
      </c>
    </row>
    <row r="2253" spans="21:21" x14ac:dyDescent="0.35">
      <c r="U2253">
        <v>9.3312000000000008</v>
      </c>
    </row>
    <row r="2254" spans="21:21" x14ac:dyDescent="0.35">
      <c r="U2254">
        <v>68.975999999999999</v>
      </c>
    </row>
    <row r="2255" spans="21:21" x14ac:dyDescent="0.35">
      <c r="U2255">
        <v>14.2758</v>
      </c>
    </row>
    <row r="2256" spans="21:21" x14ac:dyDescent="0.35">
      <c r="U2256">
        <v>15.246</v>
      </c>
    </row>
    <row r="2257" spans="1:21" x14ac:dyDescent="0.35">
      <c r="U2257">
        <v>131.35499999999999</v>
      </c>
    </row>
    <row r="2258" spans="1:21" x14ac:dyDescent="0.35">
      <c r="U2258">
        <v>33.938800000000001</v>
      </c>
    </row>
    <row r="2259" spans="1:21" x14ac:dyDescent="0.35">
      <c r="U2259">
        <v>90.971999999999994</v>
      </c>
    </row>
    <row r="2260" spans="1:21" x14ac:dyDescent="0.35">
      <c r="U2260">
        <v>8.7138000000000009</v>
      </c>
    </row>
    <row r="2261" spans="1:21" x14ac:dyDescent="0.35">
      <c r="A2261" s="1"/>
      <c r="U2261">
        <v>2.4</v>
      </c>
    </row>
    <row r="2262" spans="1:21" x14ac:dyDescent="0.35">
      <c r="A2262" s="1"/>
      <c r="U2262">
        <v>66.954599999999999</v>
      </c>
    </row>
    <row r="2263" spans="1:21" x14ac:dyDescent="0.35">
      <c r="U2263">
        <v>24.936</v>
      </c>
    </row>
    <row r="2264" spans="1:21" x14ac:dyDescent="0.35">
      <c r="A2264" s="1"/>
      <c r="U2264">
        <v>79.193399999999997</v>
      </c>
    </row>
    <row r="2265" spans="1:21" x14ac:dyDescent="0.35">
      <c r="U2265">
        <v>114.9954</v>
      </c>
    </row>
    <row r="2266" spans="1:21" x14ac:dyDescent="0.35">
      <c r="U2266">
        <v>2.3759999999999999</v>
      </c>
    </row>
    <row r="2267" spans="1:21" x14ac:dyDescent="0.35">
      <c r="U2267">
        <v>3.8822000000000001</v>
      </c>
    </row>
    <row r="2268" spans="1:21" x14ac:dyDescent="0.35">
      <c r="A2268" s="1"/>
      <c r="U2268">
        <v>2.6892</v>
      </c>
    </row>
    <row r="2269" spans="1:21" x14ac:dyDescent="0.35">
      <c r="U2269">
        <v>6.3503999999999996</v>
      </c>
    </row>
    <row r="2270" spans="1:21" x14ac:dyDescent="0.35">
      <c r="U2270">
        <v>3.1103999999999998</v>
      </c>
    </row>
    <row r="2271" spans="1:21" x14ac:dyDescent="0.35">
      <c r="U2271">
        <v>2.3571</v>
      </c>
    </row>
    <row r="2272" spans="1:21" x14ac:dyDescent="0.35">
      <c r="A2272" s="1"/>
      <c r="U2272">
        <v>4.1965000000000003</v>
      </c>
    </row>
    <row r="2273" spans="1:21" x14ac:dyDescent="0.35">
      <c r="U2273">
        <v>47.937600000000003</v>
      </c>
    </row>
    <row r="2274" spans="1:21" x14ac:dyDescent="0.35">
      <c r="A2274" s="1"/>
      <c r="U2274">
        <v>95.757199999999997</v>
      </c>
    </row>
    <row r="2275" spans="1:21" x14ac:dyDescent="0.35">
      <c r="A2275" s="1"/>
      <c r="U2275">
        <v>377.99459999999999</v>
      </c>
    </row>
    <row r="2276" spans="1:21" x14ac:dyDescent="0.35">
      <c r="A2276" s="1"/>
      <c r="U2276">
        <v>3.5857999999999999</v>
      </c>
    </row>
    <row r="2277" spans="1:21" x14ac:dyDescent="0.35">
      <c r="A2277" s="1"/>
      <c r="U2277">
        <v>13.7646</v>
      </c>
    </row>
    <row r="2278" spans="1:21" x14ac:dyDescent="0.35">
      <c r="U2278">
        <v>0</v>
      </c>
    </row>
    <row r="2279" spans="1:21" x14ac:dyDescent="0.35">
      <c r="U2279">
        <v>22.354800000000001</v>
      </c>
    </row>
    <row r="2280" spans="1:21" x14ac:dyDescent="0.35">
      <c r="U2280">
        <v>53.750399999999999</v>
      </c>
    </row>
    <row r="2281" spans="1:21" x14ac:dyDescent="0.35">
      <c r="U2281">
        <v>-6.0979999999999999</v>
      </c>
    </row>
    <row r="2282" spans="1:21" x14ac:dyDescent="0.35">
      <c r="U2282">
        <v>-23.0352</v>
      </c>
    </row>
    <row r="2283" spans="1:21" x14ac:dyDescent="0.35">
      <c r="U2283">
        <v>37.996200000000002</v>
      </c>
    </row>
    <row r="2284" spans="1:21" x14ac:dyDescent="0.35">
      <c r="A2284" s="1"/>
      <c r="U2284">
        <v>22.153600000000001</v>
      </c>
    </row>
    <row r="2285" spans="1:21" x14ac:dyDescent="0.35">
      <c r="A2285" s="1"/>
      <c r="U2285">
        <v>6.6976000000000004</v>
      </c>
    </row>
    <row r="2286" spans="1:21" x14ac:dyDescent="0.35">
      <c r="A2286" s="1"/>
      <c r="U2286">
        <v>16.386299999999999</v>
      </c>
    </row>
    <row r="2287" spans="1:21" x14ac:dyDescent="0.35">
      <c r="A2287" s="1"/>
      <c r="U2287">
        <v>5.2026000000000003</v>
      </c>
    </row>
    <row r="2288" spans="1:21" x14ac:dyDescent="0.35">
      <c r="U2288">
        <v>12.263999999999999</v>
      </c>
    </row>
    <row r="2289" spans="1:21" x14ac:dyDescent="0.35">
      <c r="A2289" s="1"/>
      <c r="U2289">
        <v>1.3109999999999999</v>
      </c>
    </row>
    <row r="2290" spans="1:21" x14ac:dyDescent="0.35">
      <c r="A2290" s="1"/>
      <c r="U2290">
        <v>4.7560000000000002</v>
      </c>
    </row>
    <row r="2291" spans="1:21" x14ac:dyDescent="0.35">
      <c r="A2291" s="1"/>
      <c r="U2291">
        <v>80.368200000000002</v>
      </c>
    </row>
    <row r="2292" spans="1:21" x14ac:dyDescent="0.35">
      <c r="U2292">
        <v>77.751900000000006</v>
      </c>
    </row>
    <row r="2293" spans="1:21" x14ac:dyDescent="0.35">
      <c r="U2293">
        <v>297.69</v>
      </c>
    </row>
    <row r="2294" spans="1:21" x14ac:dyDescent="0.35">
      <c r="U2294">
        <v>6.2207999999999997</v>
      </c>
    </row>
    <row r="2295" spans="1:21" x14ac:dyDescent="0.35">
      <c r="A2295" s="1"/>
      <c r="U2295">
        <v>1.3365</v>
      </c>
    </row>
    <row r="2296" spans="1:21" x14ac:dyDescent="0.35">
      <c r="U2296">
        <v>38.209499999999998</v>
      </c>
    </row>
    <row r="2297" spans="1:21" x14ac:dyDescent="0.35">
      <c r="A2297" s="1"/>
      <c r="U2297">
        <v>6.2191999999999998</v>
      </c>
    </row>
    <row r="2298" spans="1:21" x14ac:dyDescent="0.35">
      <c r="A2298" s="1"/>
      <c r="U2298">
        <v>106.477</v>
      </c>
    </row>
    <row r="2299" spans="1:21" x14ac:dyDescent="0.35">
      <c r="A2299" s="1"/>
      <c r="U2299">
        <v>1.2885</v>
      </c>
    </row>
    <row r="2300" spans="1:21" x14ac:dyDescent="0.35">
      <c r="A2300" s="1"/>
      <c r="U2300">
        <v>601.96990000000005</v>
      </c>
    </row>
    <row r="2301" spans="1:21" x14ac:dyDescent="0.35">
      <c r="A2301" s="1"/>
      <c r="U2301">
        <v>125.99</v>
      </c>
    </row>
    <row r="2302" spans="1:21" x14ac:dyDescent="0.35">
      <c r="U2302">
        <v>6.36</v>
      </c>
    </row>
    <row r="2303" spans="1:21" x14ac:dyDescent="0.35">
      <c r="U2303">
        <v>5.6448</v>
      </c>
    </row>
    <row r="2304" spans="1:21" x14ac:dyDescent="0.35">
      <c r="U2304">
        <v>31.6</v>
      </c>
    </row>
    <row r="2305" spans="1:21" x14ac:dyDescent="0.35">
      <c r="U2305">
        <v>188.2192</v>
      </c>
    </row>
    <row r="2306" spans="1:21" x14ac:dyDescent="0.35">
      <c r="U2306">
        <v>49.970399999999998</v>
      </c>
    </row>
    <row r="2307" spans="1:21" x14ac:dyDescent="0.35">
      <c r="U2307">
        <v>-14.1372</v>
      </c>
    </row>
    <row r="2308" spans="1:21" x14ac:dyDescent="0.35">
      <c r="A2308" s="1"/>
      <c r="U2308">
        <v>9.8658000000000001</v>
      </c>
    </row>
    <row r="2309" spans="1:21" x14ac:dyDescent="0.35">
      <c r="A2309" s="1"/>
      <c r="U2309">
        <v>171.93</v>
      </c>
    </row>
    <row r="2310" spans="1:21" x14ac:dyDescent="0.35">
      <c r="A2310" s="1"/>
      <c r="U2310">
        <v>35.098999999999997</v>
      </c>
    </row>
    <row r="2311" spans="1:21" x14ac:dyDescent="0.35">
      <c r="A2311" s="1"/>
      <c r="U2311">
        <v>7.7004000000000001</v>
      </c>
    </row>
    <row r="2312" spans="1:21" x14ac:dyDescent="0.35">
      <c r="A2312" s="1"/>
      <c r="U2312">
        <v>6.6029999999999998</v>
      </c>
    </row>
    <row r="2313" spans="1:21" x14ac:dyDescent="0.35">
      <c r="A2313" s="1"/>
      <c r="U2313">
        <v>1.984</v>
      </c>
    </row>
    <row r="2314" spans="1:21" x14ac:dyDescent="0.35">
      <c r="A2314" s="1"/>
      <c r="U2314">
        <v>-48.508200000000002</v>
      </c>
    </row>
    <row r="2315" spans="1:21" x14ac:dyDescent="0.35">
      <c r="U2315">
        <v>6.8714000000000004</v>
      </c>
    </row>
    <row r="2316" spans="1:21" x14ac:dyDescent="0.35">
      <c r="U2316">
        <v>112.4064</v>
      </c>
    </row>
    <row r="2317" spans="1:21" x14ac:dyDescent="0.35">
      <c r="U2317">
        <v>20.21</v>
      </c>
    </row>
    <row r="2318" spans="1:21" x14ac:dyDescent="0.35">
      <c r="U2318">
        <v>27.440999999999999</v>
      </c>
    </row>
    <row r="2319" spans="1:21" x14ac:dyDescent="0.35">
      <c r="U2319">
        <v>30.414999999999999</v>
      </c>
    </row>
    <row r="2320" spans="1:21" x14ac:dyDescent="0.35">
      <c r="U2320">
        <v>132.5898</v>
      </c>
    </row>
    <row r="2321" spans="21:21" x14ac:dyDescent="0.35">
      <c r="U2321">
        <v>56.352800000000002</v>
      </c>
    </row>
    <row r="2322" spans="21:21" x14ac:dyDescent="0.35">
      <c r="U2322">
        <v>63.8232</v>
      </c>
    </row>
    <row r="2323" spans="21:21" x14ac:dyDescent="0.35">
      <c r="U2323">
        <v>44.527799999999999</v>
      </c>
    </row>
    <row r="2324" spans="21:21" x14ac:dyDescent="0.35">
      <c r="U2324">
        <v>27.894400000000001</v>
      </c>
    </row>
    <row r="2325" spans="21:21" x14ac:dyDescent="0.35">
      <c r="U2325">
        <v>38.15</v>
      </c>
    </row>
    <row r="2326" spans="21:21" x14ac:dyDescent="0.35">
      <c r="U2326">
        <v>167.80799999999999</v>
      </c>
    </row>
    <row r="2327" spans="21:21" x14ac:dyDescent="0.35">
      <c r="U2327">
        <v>29.952000000000002</v>
      </c>
    </row>
    <row r="2328" spans="21:21" x14ac:dyDescent="0.35">
      <c r="U2328">
        <v>1.1596</v>
      </c>
    </row>
    <row r="2329" spans="21:21" x14ac:dyDescent="0.35">
      <c r="U2329">
        <v>6.2207999999999997</v>
      </c>
    </row>
    <row r="2330" spans="21:21" x14ac:dyDescent="0.35">
      <c r="U2330">
        <v>5.2026000000000003</v>
      </c>
    </row>
    <row r="2331" spans="21:21" x14ac:dyDescent="0.35">
      <c r="U2331">
        <v>-68.391999999999996</v>
      </c>
    </row>
    <row r="2332" spans="21:21" x14ac:dyDescent="0.35">
      <c r="U2332">
        <v>2.9371999999999998</v>
      </c>
    </row>
    <row r="2333" spans="21:21" x14ac:dyDescent="0.35">
      <c r="U2333">
        <v>20.85</v>
      </c>
    </row>
    <row r="2334" spans="21:21" x14ac:dyDescent="0.35">
      <c r="U2334">
        <v>133.15199999999999</v>
      </c>
    </row>
    <row r="2335" spans="21:21" x14ac:dyDescent="0.35">
      <c r="U2335">
        <v>2.8321999999999998</v>
      </c>
    </row>
    <row r="2336" spans="21:21" x14ac:dyDescent="0.35">
      <c r="U2336">
        <v>11.2476</v>
      </c>
    </row>
    <row r="2337" spans="1:21" x14ac:dyDescent="0.35">
      <c r="A2337" s="1"/>
      <c r="U2337">
        <v>5.1041999999999996</v>
      </c>
    </row>
    <row r="2338" spans="1:21" x14ac:dyDescent="0.35">
      <c r="A2338" s="1"/>
      <c r="U2338">
        <v>123.76909999999999</v>
      </c>
    </row>
    <row r="2339" spans="1:21" x14ac:dyDescent="0.35">
      <c r="U2339">
        <v>12.441599999999999</v>
      </c>
    </row>
    <row r="2340" spans="1:21" x14ac:dyDescent="0.35">
      <c r="U2340">
        <v>22.500800000000002</v>
      </c>
    </row>
    <row r="2341" spans="1:21" x14ac:dyDescent="0.35">
      <c r="U2341">
        <v>1.742</v>
      </c>
    </row>
    <row r="2342" spans="1:21" x14ac:dyDescent="0.35">
      <c r="A2342" s="1"/>
      <c r="U2342">
        <v>10.465</v>
      </c>
    </row>
    <row r="2343" spans="1:21" x14ac:dyDescent="0.35">
      <c r="U2343">
        <v>23.384</v>
      </c>
    </row>
    <row r="2344" spans="1:21" x14ac:dyDescent="0.35">
      <c r="U2344">
        <v>27.352799999999998</v>
      </c>
    </row>
    <row r="2345" spans="1:21" x14ac:dyDescent="0.35">
      <c r="U2345">
        <v>-29.343599999999999</v>
      </c>
    </row>
    <row r="2346" spans="1:21" x14ac:dyDescent="0.35">
      <c r="U2346">
        <v>137.28960000000001</v>
      </c>
    </row>
    <row r="2347" spans="1:21" x14ac:dyDescent="0.35">
      <c r="U2347">
        <v>24.527999999999999</v>
      </c>
    </row>
    <row r="2348" spans="1:21" x14ac:dyDescent="0.35">
      <c r="U2348">
        <v>-2.1623999999999999</v>
      </c>
    </row>
    <row r="2349" spans="1:21" x14ac:dyDescent="0.35">
      <c r="U2349">
        <v>0</v>
      </c>
    </row>
    <row r="2350" spans="1:21" x14ac:dyDescent="0.35">
      <c r="A2350" s="1"/>
      <c r="U2350">
        <v>3.1583999999999999</v>
      </c>
    </row>
    <row r="2351" spans="1:21" x14ac:dyDescent="0.35">
      <c r="A2351" s="1"/>
      <c r="U2351">
        <v>22.5732</v>
      </c>
    </row>
    <row r="2352" spans="1:21" x14ac:dyDescent="0.35">
      <c r="A2352" s="1"/>
      <c r="U2352">
        <v>5.3213999999999997</v>
      </c>
    </row>
    <row r="2353" spans="1:21" x14ac:dyDescent="0.35">
      <c r="A2353" s="1"/>
      <c r="U2353">
        <v>22.2516</v>
      </c>
    </row>
    <row r="2354" spans="1:21" x14ac:dyDescent="0.35">
      <c r="A2354" s="1"/>
      <c r="U2354">
        <v>5.04</v>
      </c>
    </row>
    <row r="2355" spans="1:21" x14ac:dyDescent="0.35">
      <c r="U2355">
        <v>200.9546</v>
      </c>
    </row>
    <row r="2356" spans="1:21" x14ac:dyDescent="0.35">
      <c r="U2356">
        <v>46.3185</v>
      </c>
    </row>
    <row r="2357" spans="1:21" x14ac:dyDescent="0.35">
      <c r="U2357">
        <v>15.699299999999999</v>
      </c>
    </row>
    <row r="2358" spans="1:21" x14ac:dyDescent="0.35">
      <c r="U2358">
        <v>80.991900000000001</v>
      </c>
    </row>
    <row r="2359" spans="1:21" x14ac:dyDescent="0.35">
      <c r="U2359">
        <v>-447.59469999999999</v>
      </c>
    </row>
    <row r="2360" spans="1:21" x14ac:dyDescent="0.35">
      <c r="U2360">
        <v>-553.64760000000001</v>
      </c>
    </row>
    <row r="2361" spans="1:21" x14ac:dyDescent="0.35">
      <c r="U2361">
        <v>-122.7816</v>
      </c>
    </row>
    <row r="2362" spans="1:21" x14ac:dyDescent="0.35">
      <c r="U2362">
        <v>16.3842</v>
      </c>
    </row>
    <row r="2363" spans="1:21" x14ac:dyDescent="0.35">
      <c r="U2363">
        <v>75.9696</v>
      </c>
    </row>
    <row r="2364" spans="1:21" x14ac:dyDescent="0.35">
      <c r="U2364">
        <v>-10.054</v>
      </c>
    </row>
    <row r="2365" spans="1:21" x14ac:dyDescent="0.35">
      <c r="U2365">
        <v>40.921599999999998</v>
      </c>
    </row>
    <row r="2366" spans="1:21" x14ac:dyDescent="0.35">
      <c r="U2366">
        <v>44.889600000000002</v>
      </c>
    </row>
    <row r="2367" spans="1:21" x14ac:dyDescent="0.35">
      <c r="U2367">
        <v>20.7</v>
      </c>
    </row>
    <row r="2368" spans="1:21" x14ac:dyDescent="0.35">
      <c r="U2368">
        <v>-18.1068</v>
      </c>
    </row>
    <row r="2369" spans="1:21" x14ac:dyDescent="0.35">
      <c r="A2369" s="1"/>
      <c r="U2369">
        <v>11.328799999999999</v>
      </c>
    </row>
    <row r="2370" spans="1:21" x14ac:dyDescent="0.35">
      <c r="U2370">
        <v>-26.635200000000001</v>
      </c>
    </row>
    <row r="2371" spans="1:21" x14ac:dyDescent="0.35">
      <c r="U2371">
        <v>0.307</v>
      </c>
    </row>
    <row r="2372" spans="1:21" x14ac:dyDescent="0.35">
      <c r="A2372" s="1"/>
      <c r="U2372">
        <v>93.24</v>
      </c>
    </row>
    <row r="2373" spans="1:21" x14ac:dyDescent="0.35">
      <c r="A2373" s="1"/>
      <c r="U2373">
        <v>-27.1296</v>
      </c>
    </row>
    <row r="2374" spans="1:21" x14ac:dyDescent="0.35">
      <c r="A2374" s="1"/>
      <c r="U2374">
        <v>0.82250000000000001</v>
      </c>
    </row>
    <row r="2375" spans="1:21" x14ac:dyDescent="0.35">
      <c r="A2375" s="1"/>
      <c r="U2375">
        <v>7.6985999999999999</v>
      </c>
    </row>
    <row r="2376" spans="1:21" x14ac:dyDescent="0.35">
      <c r="A2376" s="1"/>
      <c r="U2376">
        <v>-14.478400000000001</v>
      </c>
    </row>
    <row r="2377" spans="1:21" x14ac:dyDescent="0.35">
      <c r="U2377">
        <v>0.1134</v>
      </c>
    </row>
    <row r="2378" spans="1:21" x14ac:dyDescent="0.35">
      <c r="U2378">
        <v>-58.861600000000003</v>
      </c>
    </row>
    <row r="2379" spans="1:21" x14ac:dyDescent="0.35">
      <c r="U2379">
        <v>1.1479999999999999</v>
      </c>
    </row>
    <row r="2380" spans="1:21" x14ac:dyDescent="0.35">
      <c r="A2380" s="1"/>
      <c r="U2380">
        <v>15.065</v>
      </c>
    </row>
    <row r="2381" spans="1:21" x14ac:dyDescent="0.35">
      <c r="A2381" s="1"/>
      <c r="U2381">
        <v>1.7138</v>
      </c>
    </row>
    <row r="2382" spans="1:21" x14ac:dyDescent="0.35">
      <c r="A2382" s="1"/>
      <c r="U2382">
        <v>15.49</v>
      </c>
    </row>
    <row r="2383" spans="1:21" x14ac:dyDescent="0.35">
      <c r="A2383" s="1"/>
      <c r="U2383">
        <v>11.626300000000001</v>
      </c>
    </row>
    <row r="2384" spans="1:21" x14ac:dyDescent="0.35">
      <c r="U2384">
        <v>45.770400000000002</v>
      </c>
    </row>
    <row r="2385" spans="1:21" x14ac:dyDescent="0.35">
      <c r="U2385">
        <v>4.4855999999999998</v>
      </c>
    </row>
    <row r="2386" spans="1:21" x14ac:dyDescent="0.35">
      <c r="U2386">
        <v>62.747999999999998</v>
      </c>
    </row>
    <row r="2387" spans="1:21" x14ac:dyDescent="0.35">
      <c r="U2387">
        <v>15.8376</v>
      </c>
    </row>
    <row r="2388" spans="1:21" x14ac:dyDescent="0.35">
      <c r="U2388">
        <v>59.997999999999998</v>
      </c>
    </row>
    <row r="2389" spans="1:21" x14ac:dyDescent="0.35">
      <c r="A2389" s="1"/>
      <c r="U2389">
        <v>3.6156000000000001</v>
      </c>
    </row>
    <row r="2390" spans="1:21" x14ac:dyDescent="0.35">
      <c r="A2390" s="1"/>
      <c r="U2390">
        <v>8.8623999999999992</v>
      </c>
    </row>
    <row r="2391" spans="1:21" x14ac:dyDescent="0.35">
      <c r="A2391" s="1"/>
      <c r="U2391">
        <v>3.1103999999999998</v>
      </c>
    </row>
    <row r="2392" spans="1:21" x14ac:dyDescent="0.35">
      <c r="A2392" s="1"/>
      <c r="U2392">
        <v>20.511399999999998</v>
      </c>
    </row>
    <row r="2393" spans="1:21" x14ac:dyDescent="0.35">
      <c r="A2393" s="1"/>
      <c r="U2393">
        <v>97.194599999999994</v>
      </c>
    </row>
    <row r="2394" spans="1:21" x14ac:dyDescent="0.35">
      <c r="A2394" s="1"/>
      <c r="U2394">
        <v>42.150399999999998</v>
      </c>
    </row>
    <row r="2395" spans="1:21" x14ac:dyDescent="0.35">
      <c r="U2395">
        <v>10.316800000000001</v>
      </c>
    </row>
    <row r="2396" spans="1:21" x14ac:dyDescent="0.35">
      <c r="U2396">
        <v>2.2559999999999998</v>
      </c>
    </row>
    <row r="2397" spans="1:21" x14ac:dyDescent="0.35">
      <c r="U2397">
        <v>23.96</v>
      </c>
    </row>
    <row r="2398" spans="1:21" x14ac:dyDescent="0.35">
      <c r="U2398">
        <v>16.649999999999999</v>
      </c>
    </row>
    <row r="2399" spans="1:21" x14ac:dyDescent="0.35">
      <c r="U2399">
        <v>2.8224</v>
      </c>
    </row>
    <row r="2400" spans="1:21" x14ac:dyDescent="0.35">
      <c r="U2400">
        <v>4.3368000000000002</v>
      </c>
    </row>
    <row r="2401" spans="1:21" x14ac:dyDescent="0.35">
      <c r="A2401" s="1"/>
      <c r="U2401">
        <v>12.5762</v>
      </c>
    </row>
    <row r="2402" spans="1:21" x14ac:dyDescent="0.35">
      <c r="A2402" s="1"/>
      <c r="U2402">
        <v>14.677</v>
      </c>
    </row>
    <row r="2403" spans="1:21" x14ac:dyDescent="0.35">
      <c r="A2403" s="1"/>
      <c r="U2403">
        <v>23.55</v>
      </c>
    </row>
    <row r="2404" spans="1:21" x14ac:dyDescent="0.35">
      <c r="A2404" s="1"/>
      <c r="U2404">
        <v>13.348000000000001</v>
      </c>
    </row>
    <row r="2405" spans="1:21" x14ac:dyDescent="0.35">
      <c r="U2405">
        <v>-225.0976</v>
      </c>
    </row>
    <row r="2406" spans="1:21" x14ac:dyDescent="0.35">
      <c r="A2406" s="1"/>
      <c r="U2406">
        <v>200.8638</v>
      </c>
    </row>
    <row r="2407" spans="1:21" x14ac:dyDescent="0.35">
      <c r="A2407" s="1"/>
      <c r="U2407">
        <v>-28.967400000000001</v>
      </c>
    </row>
    <row r="2408" spans="1:21" x14ac:dyDescent="0.35">
      <c r="A2408" s="1"/>
      <c r="U2408">
        <v>26.972999999999999</v>
      </c>
    </row>
    <row r="2409" spans="1:21" x14ac:dyDescent="0.35">
      <c r="U2409">
        <v>7.9859999999999998</v>
      </c>
    </row>
    <row r="2410" spans="1:21" x14ac:dyDescent="0.35">
      <c r="U2410">
        <v>130.4913</v>
      </c>
    </row>
    <row r="2411" spans="1:21" x14ac:dyDescent="0.35">
      <c r="U2411">
        <v>76.2624</v>
      </c>
    </row>
    <row r="2412" spans="1:21" x14ac:dyDescent="0.35">
      <c r="A2412" s="1"/>
      <c r="U2412">
        <v>1.917</v>
      </c>
    </row>
    <row r="2413" spans="1:21" x14ac:dyDescent="0.35">
      <c r="A2413" s="1"/>
      <c r="U2413">
        <v>2.6320000000000001</v>
      </c>
    </row>
    <row r="2414" spans="1:21" x14ac:dyDescent="0.35">
      <c r="A2414" s="1"/>
      <c r="U2414">
        <v>5.8604000000000003</v>
      </c>
    </row>
    <row r="2415" spans="1:21" x14ac:dyDescent="0.35">
      <c r="A2415" s="1"/>
      <c r="U2415">
        <v>31.453199999999999</v>
      </c>
    </row>
    <row r="2416" spans="1:21" x14ac:dyDescent="0.35">
      <c r="U2416">
        <v>60.356000000000002</v>
      </c>
    </row>
    <row r="2417" spans="1:21" x14ac:dyDescent="0.35">
      <c r="A2417" s="1"/>
      <c r="U2417">
        <v>60.392000000000003</v>
      </c>
    </row>
    <row r="2418" spans="1:21" x14ac:dyDescent="0.35">
      <c r="A2418" s="1"/>
      <c r="U2418">
        <v>95.2</v>
      </c>
    </row>
    <row r="2419" spans="1:21" x14ac:dyDescent="0.35">
      <c r="A2419" s="1"/>
      <c r="U2419">
        <v>29.952000000000002</v>
      </c>
    </row>
    <row r="2420" spans="1:21" x14ac:dyDescent="0.35">
      <c r="U2420">
        <v>179.73</v>
      </c>
    </row>
    <row r="2421" spans="1:21" x14ac:dyDescent="0.35">
      <c r="A2421" s="1"/>
      <c r="U2421">
        <v>3.1779999999999999</v>
      </c>
    </row>
    <row r="2422" spans="1:21" x14ac:dyDescent="0.35">
      <c r="A2422" s="1"/>
      <c r="U2422">
        <v>43.995600000000003</v>
      </c>
    </row>
    <row r="2423" spans="1:21" x14ac:dyDescent="0.35">
      <c r="U2423">
        <v>-48.954900000000002</v>
      </c>
    </row>
    <row r="2424" spans="1:21" x14ac:dyDescent="0.35">
      <c r="U2424">
        <v>3.2616000000000001</v>
      </c>
    </row>
    <row r="2425" spans="1:21" x14ac:dyDescent="0.35">
      <c r="U2425">
        <v>41.718600000000002</v>
      </c>
    </row>
    <row r="2426" spans="1:21" x14ac:dyDescent="0.35">
      <c r="U2426">
        <v>-10.4184</v>
      </c>
    </row>
    <row r="2427" spans="1:21" x14ac:dyDescent="0.35">
      <c r="U2427">
        <v>-104.673</v>
      </c>
    </row>
    <row r="2428" spans="1:21" x14ac:dyDescent="0.35">
      <c r="U2428">
        <v>12.776400000000001</v>
      </c>
    </row>
    <row r="2429" spans="1:21" x14ac:dyDescent="0.35">
      <c r="A2429" s="1"/>
      <c r="U2429">
        <v>-2.1503999999999999</v>
      </c>
    </row>
    <row r="2430" spans="1:21" x14ac:dyDescent="0.35">
      <c r="A2430" s="1"/>
      <c r="U2430">
        <v>-13.6488</v>
      </c>
    </row>
    <row r="2431" spans="1:21" x14ac:dyDescent="0.35">
      <c r="A2431" s="1"/>
      <c r="U2431">
        <v>-9.0944000000000003</v>
      </c>
    </row>
    <row r="2432" spans="1:21" x14ac:dyDescent="0.35">
      <c r="U2432">
        <v>27.485600000000002</v>
      </c>
    </row>
    <row r="2433" spans="1:21" x14ac:dyDescent="0.35">
      <c r="U2433">
        <v>3.0339999999999998</v>
      </c>
    </row>
    <row r="2434" spans="1:21" x14ac:dyDescent="0.35">
      <c r="U2434">
        <v>65.206400000000002</v>
      </c>
    </row>
    <row r="2435" spans="1:21" x14ac:dyDescent="0.35">
      <c r="U2435">
        <v>4.0776000000000003</v>
      </c>
    </row>
    <row r="2436" spans="1:21" x14ac:dyDescent="0.35">
      <c r="U2436">
        <v>16.98</v>
      </c>
    </row>
    <row r="2437" spans="1:21" x14ac:dyDescent="0.35">
      <c r="U2437">
        <v>322.18290000000002</v>
      </c>
    </row>
    <row r="2438" spans="1:21" x14ac:dyDescent="0.35">
      <c r="A2438" s="1"/>
      <c r="U2438">
        <v>114.6285</v>
      </c>
    </row>
    <row r="2439" spans="1:21" x14ac:dyDescent="0.35">
      <c r="U2439">
        <v>-99.266400000000004</v>
      </c>
    </row>
    <row r="2440" spans="1:21" x14ac:dyDescent="0.35">
      <c r="U2440">
        <v>12.5328</v>
      </c>
    </row>
    <row r="2441" spans="1:21" x14ac:dyDescent="0.35">
      <c r="U2441">
        <v>2.1736</v>
      </c>
    </row>
    <row r="2442" spans="1:21" x14ac:dyDescent="0.35">
      <c r="U2442">
        <v>86.25</v>
      </c>
    </row>
    <row r="2443" spans="1:21" x14ac:dyDescent="0.35">
      <c r="U2443">
        <v>-19.918399999999998</v>
      </c>
    </row>
    <row r="2444" spans="1:21" x14ac:dyDescent="0.35">
      <c r="U2444">
        <v>172.33840000000001</v>
      </c>
    </row>
    <row r="2445" spans="1:21" x14ac:dyDescent="0.35">
      <c r="U2445">
        <v>30.431999999999999</v>
      </c>
    </row>
    <row r="2446" spans="1:21" x14ac:dyDescent="0.35">
      <c r="U2446">
        <v>12.9024</v>
      </c>
    </row>
    <row r="2447" spans="1:21" x14ac:dyDescent="0.35">
      <c r="U2447">
        <v>74.8142</v>
      </c>
    </row>
    <row r="2448" spans="1:21" x14ac:dyDescent="0.35">
      <c r="U2448">
        <v>8.2156000000000002</v>
      </c>
    </row>
    <row r="2449" spans="1:21" x14ac:dyDescent="0.35">
      <c r="U2449">
        <v>-14.081</v>
      </c>
    </row>
    <row r="2450" spans="1:21" x14ac:dyDescent="0.35">
      <c r="U2450">
        <v>5.3898000000000001</v>
      </c>
    </row>
    <row r="2451" spans="1:21" x14ac:dyDescent="0.35">
      <c r="A2451" s="1"/>
      <c r="U2451">
        <v>9.8279999999999994</v>
      </c>
    </row>
    <row r="2452" spans="1:21" x14ac:dyDescent="0.35">
      <c r="U2452">
        <v>9</v>
      </c>
    </row>
    <row r="2453" spans="1:21" x14ac:dyDescent="0.35">
      <c r="U2453">
        <v>31.122</v>
      </c>
    </row>
    <row r="2454" spans="1:21" x14ac:dyDescent="0.35">
      <c r="U2454">
        <v>3.0861000000000001</v>
      </c>
    </row>
    <row r="2455" spans="1:21" x14ac:dyDescent="0.35">
      <c r="U2455">
        <v>18.2592</v>
      </c>
    </row>
    <row r="2456" spans="1:21" x14ac:dyDescent="0.35">
      <c r="U2456">
        <v>13.603999999999999</v>
      </c>
    </row>
    <row r="2457" spans="1:21" x14ac:dyDescent="0.35">
      <c r="U2457">
        <v>27.9344</v>
      </c>
    </row>
    <row r="2458" spans="1:21" x14ac:dyDescent="0.35">
      <c r="U2458">
        <v>3.4357000000000002</v>
      </c>
    </row>
    <row r="2459" spans="1:21" x14ac:dyDescent="0.35">
      <c r="U2459">
        <v>22.457999999999998</v>
      </c>
    </row>
    <row r="2460" spans="1:21" x14ac:dyDescent="0.35">
      <c r="U2460">
        <v>12.097799999999999</v>
      </c>
    </row>
    <row r="2461" spans="1:21" x14ac:dyDescent="0.35">
      <c r="U2461">
        <v>25.438400000000001</v>
      </c>
    </row>
    <row r="2462" spans="1:21" x14ac:dyDescent="0.35">
      <c r="A2462" s="1"/>
      <c r="U2462">
        <v>13.486499999999999</v>
      </c>
    </row>
    <row r="2463" spans="1:21" x14ac:dyDescent="0.35">
      <c r="A2463" s="1"/>
      <c r="U2463">
        <v>34.423200000000001</v>
      </c>
    </row>
    <row r="2464" spans="1:21" x14ac:dyDescent="0.35">
      <c r="A2464" s="1"/>
      <c r="U2464">
        <v>29.372</v>
      </c>
    </row>
    <row r="2465" spans="1:21" x14ac:dyDescent="0.35">
      <c r="A2465" s="1"/>
      <c r="U2465">
        <v>5.1184000000000003</v>
      </c>
    </row>
    <row r="2466" spans="1:21" x14ac:dyDescent="0.35">
      <c r="A2466" s="1"/>
      <c r="U2466">
        <v>36.987299999999998</v>
      </c>
    </row>
    <row r="2467" spans="1:21" x14ac:dyDescent="0.35">
      <c r="A2467" s="1"/>
      <c r="U2467">
        <v>1.512</v>
      </c>
    </row>
    <row r="2468" spans="1:21" x14ac:dyDescent="0.35">
      <c r="A2468" s="1"/>
      <c r="U2468">
        <v>4.0994999999999999</v>
      </c>
    </row>
    <row r="2469" spans="1:21" x14ac:dyDescent="0.35">
      <c r="A2469" s="1"/>
      <c r="U2469">
        <v>165.7176</v>
      </c>
    </row>
    <row r="2470" spans="1:21" x14ac:dyDescent="0.35">
      <c r="A2470" s="1"/>
      <c r="U2470">
        <v>15.552</v>
      </c>
    </row>
    <row r="2471" spans="1:21" x14ac:dyDescent="0.35">
      <c r="A2471" s="1"/>
      <c r="U2471">
        <v>4.5656999999999996</v>
      </c>
    </row>
    <row r="2472" spans="1:21" x14ac:dyDescent="0.35">
      <c r="U2472">
        <v>4.2816000000000001</v>
      </c>
    </row>
    <row r="2473" spans="1:21" x14ac:dyDescent="0.35">
      <c r="U2473">
        <v>-67.670400000000001</v>
      </c>
    </row>
    <row r="2474" spans="1:21" x14ac:dyDescent="0.35">
      <c r="U2474">
        <v>6.4863999999999997</v>
      </c>
    </row>
    <row r="2475" spans="1:21" x14ac:dyDescent="0.35">
      <c r="A2475" s="1"/>
      <c r="U2475">
        <v>-29.9178</v>
      </c>
    </row>
    <row r="2476" spans="1:21" x14ac:dyDescent="0.35">
      <c r="A2476" s="1"/>
      <c r="U2476">
        <v>29.032499999999999</v>
      </c>
    </row>
    <row r="2477" spans="1:21" x14ac:dyDescent="0.35">
      <c r="A2477" s="1"/>
      <c r="U2477">
        <v>41.223700000000001</v>
      </c>
    </row>
    <row r="2478" spans="1:21" x14ac:dyDescent="0.35">
      <c r="A2478" s="1"/>
      <c r="U2478">
        <v>429.5772</v>
      </c>
    </row>
    <row r="2479" spans="1:21" x14ac:dyDescent="0.35">
      <c r="A2479" s="1"/>
      <c r="U2479">
        <v>-99.176400000000001</v>
      </c>
    </row>
    <row r="2480" spans="1:21" x14ac:dyDescent="0.35">
      <c r="U2480">
        <v>1.4742</v>
      </c>
    </row>
    <row r="2481" spans="1:21" x14ac:dyDescent="0.35">
      <c r="U2481">
        <v>0.83879999999999999</v>
      </c>
    </row>
    <row r="2482" spans="1:21" x14ac:dyDescent="0.35">
      <c r="U2482">
        <v>-32.636600000000001</v>
      </c>
    </row>
    <row r="2483" spans="1:21" x14ac:dyDescent="0.35">
      <c r="U2483">
        <v>0</v>
      </c>
    </row>
    <row r="2484" spans="1:21" x14ac:dyDescent="0.35">
      <c r="U2484">
        <v>11.429600000000001</v>
      </c>
    </row>
    <row r="2485" spans="1:21" x14ac:dyDescent="0.35">
      <c r="U2485">
        <v>250.30500000000001</v>
      </c>
    </row>
    <row r="2486" spans="1:21" x14ac:dyDescent="0.35">
      <c r="U2486">
        <v>32.396000000000001</v>
      </c>
    </row>
    <row r="2487" spans="1:21" x14ac:dyDescent="0.35">
      <c r="U2487">
        <v>1.4456</v>
      </c>
    </row>
    <row r="2488" spans="1:21" x14ac:dyDescent="0.35">
      <c r="A2488" s="1"/>
      <c r="U2488">
        <v>22.235199999999999</v>
      </c>
    </row>
    <row r="2489" spans="1:21" x14ac:dyDescent="0.35">
      <c r="A2489" s="1"/>
      <c r="U2489">
        <v>2.6568000000000001</v>
      </c>
    </row>
    <row r="2490" spans="1:21" x14ac:dyDescent="0.35">
      <c r="A2490" s="1"/>
      <c r="U2490">
        <v>9.6191999999999993</v>
      </c>
    </row>
    <row r="2491" spans="1:21" x14ac:dyDescent="0.35">
      <c r="A2491" s="1"/>
      <c r="U2491">
        <v>303.3408</v>
      </c>
    </row>
    <row r="2492" spans="1:21" x14ac:dyDescent="0.35">
      <c r="A2492" s="1"/>
      <c r="U2492">
        <v>10.763999999999999</v>
      </c>
    </row>
    <row r="2493" spans="1:21" x14ac:dyDescent="0.35">
      <c r="U2493">
        <v>41.510399999999997</v>
      </c>
    </row>
    <row r="2494" spans="1:21" x14ac:dyDescent="0.35">
      <c r="U2494">
        <v>1228.1786999999999</v>
      </c>
    </row>
    <row r="2495" spans="1:21" x14ac:dyDescent="0.35">
      <c r="A2495" s="1"/>
      <c r="U2495">
        <v>-34.392000000000003</v>
      </c>
    </row>
    <row r="2496" spans="1:21" x14ac:dyDescent="0.35">
      <c r="A2496" s="1"/>
      <c r="U2496">
        <v>53.997</v>
      </c>
    </row>
    <row r="2497" spans="1:21" x14ac:dyDescent="0.35">
      <c r="U2497">
        <v>32.392000000000003</v>
      </c>
    </row>
    <row r="2498" spans="1:21" x14ac:dyDescent="0.35">
      <c r="U2498">
        <v>18.609300000000001</v>
      </c>
    </row>
    <row r="2499" spans="1:21" x14ac:dyDescent="0.35">
      <c r="U2499">
        <v>58.496200000000002</v>
      </c>
    </row>
    <row r="2500" spans="1:21" x14ac:dyDescent="0.35">
      <c r="U2500">
        <v>3.3544</v>
      </c>
    </row>
    <row r="2501" spans="1:21" x14ac:dyDescent="0.35">
      <c r="U2501">
        <v>12.6927</v>
      </c>
    </row>
    <row r="2502" spans="1:21" x14ac:dyDescent="0.35">
      <c r="U2502">
        <v>4.4311999999999996</v>
      </c>
    </row>
    <row r="2503" spans="1:21" x14ac:dyDescent="0.35">
      <c r="U2503">
        <v>-3.5712000000000002</v>
      </c>
    </row>
    <row r="2504" spans="1:21" x14ac:dyDescent="0.35">
      <c r="U2504">
        <v>-16.38</v>
      </c>
    </row>
    <row r="2505" spans="1:21" x14ac:dyDescent="0.35">
      <c r="U2505">
        <v>3.4685999999999999</v>
      </c>
    </row>
    <row r="2506" spans="1:21" x14ac:dyDescent="0.35">
      <c r="U2506">
        <v>15.041600000000001</v>
      </c>
    </row>
    <row r="2507" spans="1:21" x14ac:dyDescent="0.35">
      <c r="U2507">
        <v>327.50599999999997</v>
      </c>
    </row>
    <row r="2508" spans="1:21" x14ac:dyDescent="0.35">
      <c r="U2508">
        <v>34.284799999999997</v>
      </c>
    </row>
    <row r="2509" spans="1:21" x14ac:dyDescent="0.35">
      <c r="A2509" s="1"/>
      <c r="U2509">
        <v>-85.238399999999999</v>
      </c>
    </row>
    <row r="2510" spans="1:21" x14ac:dyDescent="0.35">
      <c r="A2510" s="1"/>
      <c r="U2510">
        <v>14.7582</v>
      </c>
    </row>
    <row r="2511" spans="1:21" x14ac:dyDescent="0.35">
      <c r="A2511" s="1"/>
      <c r="U2511">
        <v>52.793399999999998</v>
      </c>
    </row>
    <row r="2512" spans="1:21" x14ac:dyDescent="0.35">
      <c r="U2512">
        <v>55.896000000000001</v>
      </c>
    </row>
    <row r="2513" spans="1:21" x14ac:dyDescent="0.35">
      <c r="U2513">
        <v>41.534999999999997</v>
      </c>
    </row>
    <row r="2514" spans="1:21" x14ac:dyDescent="0.35">
      <c r="A2514" s="1"/>
      <c r="U2514">
        <v>-33.484000000000002</v>
      </c>
    </row>
    <row r="2515" spans="1:21" x14ac:dyDescent="0.35">
      <c r="A2515" s="1"/>
      <c r="U2515">
        <v>1.1996</v>
      </c>
    </row>
    <row r="2516" spans="1:21" x14ac:dyDescent="0.35">
      <c r="A2516" s="1"/>
      <c r="U2516">
        <v>-2.0568</v>
      </c>
    </row>
    <row r="2517" spans="1:21" x14ac:dyDescent="0.35">
      <c r="A2517" s="1"/>
      <c r="U2517">
        <v>19.824000000000002</v>
      </c>
    </row>
    <row r="2518" spans="1:21" x14ac:dyDescent="0.35">
      <c r="U2518">
        <v>204.07140000000001</v>
      </c>
    </row>
    <row r="2519" spans="1:21" x14ac:dyDescent="0.35">
      <c r="A2519" s="1"/>
      <c r="U2519">
        <v>12.993</v>
      </c>
    </row>
    <row r="2520" spans="1:21" x14ac:dyDescent="0.35">
      <c r="U2520">
        <v>9.8783999999999992</v>
      </c>
    </row>
    <row r="2521" spans="1:21" x14ac:dyDescent="0.35">
      <c r="U2521">
        <v>14.4354</v>
      </c>
    </row>
    <row r="2522" spans="1:21" x14ac:dyDescent="0.35">
      <c r="U2522">
        <v>251.89109999999999</v>
      </c>
    </row>
    <row r="2523" spans="1:21" x14ac:dyDescent="0.35">
      <c r="U2523">
        <v>6.2207999999999997</v>
      </c>
    </row>
    <row r="2524" spans="1:21" x14ac:dyDescent="0.35">
      <c r="U2524">
        <v>1.375</v>
      </c>
    </row>
    <row r="2525" spans="1:21" x14ac:dyDescent="0.35">
      <c r="U2525">
        <v>55.936</v>
      </c>
    </row>
    <row r="2526" spans="1:21" x14ac:dyDescent="0.35">
      <c r="A2526" s="1"/>
      <c r="U2526">
        <v>5.2560000000000002</v>
      </c>
    </row>
    <row r="2527" spans="1:21" x14ac:dyDescent="0.35">
      <c r="A2527" s="1"/>
      <c r="U2527">
        <v>4.4603999999999999</v>
      </c>
    </row>
    <row r="2528" spans="1:21" x14ac:dyDescent="0.35">
      <c r="A2528" s="1"/>
      <c r="U2528">
        <v>-12.074999999999999</v>
      </c>
    </row>
    <row r="2529" spans="1:21" x14ac:dyDescent="0.35">
      <c r="A2529" s="1"/>
      <c r="U2529">
        <v>-16.884</v>
      </c>
    </row>
    <row r="2530" spans="1:21" x14ac:dyDescent="0.35">
      <c r="A2530" s="1"/>
      <c r="U2530">
        <v>2.8883999999999999</v>
      </c>
    </row>
    <row r="2531" spans="1:21" x14ac:dyDescent="0.35">
      <c r="U2531">
        <v>3.6288</v>
      </c>
    </row>
    <row r="2532" spans="1:21" x14ac:dyDescent="0.35">
      <c r="U2532">
        <v>52.531999999999996</v>
      </c>
    </row>
    <row r="2533" spans="1:21" x14ac:dyDescent="0.35">
      <c r="U2533">
        <v>8.2615999999999996</v>
      </c>
    </row>
    <row r="2534" spans="1:21" x14ac:dyDescent="0.35">
      <c r="U2534">
        <v>4.5612000000000004</v>
      </c>
    </row>
    <row r="2535" spans="1:21" x14ac:dyDescent="0.35">
      <c r="U2535">
        <v>122.3856</v>
      </c>
    </row>
    <row r="2536" spans="1:21" x14ac:dyDescent="0.35">
      <c r="U2536">
        <v>-337.80599999999998</v>
      </c>
    </row>
    <row r="2537" spans="1:21" x14ac:dyDescent="0.35">
      <c r="A2537" s="1"/>
      <c r="U2537">
        <v>18.064800000000002</v>
      </c>
    </row>
    <row r="2538" spans="1:21" x14ac:dyDescent="0.35">
      <c r="U2538">
        <v>-54.595799999999997</v>
      </c>
    </row>
    <row r="2539" spans="1:21" x14ac:dyDescent="0.35">
      <c r="U2539">
        <v>-100.7944</v>
      </c>
    </row>
    <row r="2540" spans="1:21" x14ac:dyDescent="0.35">
      <c r="U2540">
        <v>-36.253</v>
      </c>
    </row>
    <row r="2541" spans="1:21" x14ac:dyDescent="0.35">
      <c r="U2541">
        <v>-219.1644</v>
      </c>
    </row>
    <row r="2542" spans="1:21" x14ac:dyDescent="0.35">
      <c r="U2542">
        <v>78.767099999999999</v>
      </c>
    </row>
    <row r="2543" spans="1:21" x14ac:dyDescent="0.35">
      <c r="U2543">
        <v>22.377600000000001</v>
      </c>
    </row>
    <row r="2544" spans="1:21" x14ac:dyDescent="0.35">
      <c r="U2544">
        <v>14.395200000000001</v>
      </c>
    </row>
    <row r="2545" spans="1:21" x14ac:dyDescent="0.35">
      <c r="A2545" s="1"/>
      <c r="U2545">
        <v>13.9152</v>
      </c>
    </row>
    <row r="2546" spans="1:21" x14ac:dyDescent="0.35">
      <c r="A2546" s="1"/>
      <c r="U2546">
        <v>6.9371999999999998</v>
      </c>
    </row>
    <row r="2547" spans="1:21" x14ac:dyDescent="0.35">
      <c r="U2547">
        <v>2.0592000000000001</v>
      </c>
    </row>
    <row r="2548" spans="1:21" x14ac:dyDescent="0.35">
      <c r="U2548">
        <v>-6.0490000000000004</v>
      </c>
    </row>
    <row r="2549" spans="1:21" x14ac:dyDescent="0.35">
      <c r="U2549">
        <v>0.25919999999999999</v>
      </c>
    </row>
    <row r="2550" spans="1:21" x14ac:dyDescent="0.35">
      <c r="U2550">
        <v>211.49549999999999</v>
      </c>
    </row>
    <row r="2551" spans="1:21" x14ac:dyDescent="0.35">
      <c r="U2551">
        <v>105.6456</v>
      </c>
    </row>
    <row r="2552" spans="1:21" x14ac:dyDescent="0.35">
      <c r="U2552">
        <v>1.764</v>
      </c>
    </row>
    <row r="2553" spans="1:21" x14ac:dyDescent="0.35">
      <c r="U2553">
        <v>213.68879999999999</v>
      </c>
    </row>
    <row r="2554" spans="1:21" x14ac:dyDescent="0.35">
      <c r="U2554">
        <v>10.760400000000001</v>
      </c>
    </row>
    <row r="2555" spans="1:21" x14ac:dyDescent="0.35">
      <c r="U2555">
        <v>12.441599999999999</v>
      </c>
    </row>
    <row r="2556" spans="1:21" x14ac:dyDescent="0.35">
      <c r="U2556">
        <v>70.554400000000001</v>
      </c>
    </row>
    <row r="2557" spans="1:21" x14ac:dyDescent="0.35">
      <c r="U2557">
        <v>12</v>
      </c>
    </row>
    <row r="2558" spans="1:21" x14ac:dyDescent="0.35">
      <c r="A2558" s="1"/>
      <c r="U2558">
        <v>-32.32</v>
      </c>
    </row>
    <row r="2559" spans="1:21" x14ac:dyDescent="0.35">
      <c r="U2559">
        <v>0.52439999999999998</v>
      </c>
    </row>
    <row r="2560" spans="1:21" x14ac:dyDescent="0.35">
      <c r="U2560">
        <v>140.68600000000001</v>
      </c>
    </row>
    <row r="2561" spans="1:21" x14ac:dyDescent="0.35">
      <c r="U2561">
        <v>7.56</v>
      </c>
    </row>
    <row r="2562" spans="1:21" x14ac:dyDescent="0.35">
      <c r="U2562">
        <v>61.389000000000003</v>
      </c>
    </row>
    <row r="2563" spans="1:21" x14ac:dyDescent="0.35">
      <c r="U2563">
        <v>3.3408000000000002</v>
      </c>
    </row>
    <row r="2564" spans="1:21" x14ac:dyDescent="0.35">
      <c r="U2564">
        <v>3.6288</v>
      </c>
    </row>
    <row r="2565" spans="1:21" x14ac:dyDescent="0.35">
      <c r="U2565">
        <v>2.7035999999999998</v>
      </c>
    </row>
    <row r="2566" spans="1:21" x14ac:dyDescent="0.35">
      <c r="U2566">
        <v>9.1313999999999993</v>
      </c>
    </row>
    <row r="2567" spans="1:21" x14ac:dyDescent="0.35">
      <c r="U2567">
        <v>27.69</v>
      </c>
    </row>
    <row r="2568" spans="1:21" x14ac:dyDescent="0.35">
      <c r="A2568" s="1"/>
      <c r="U2568">
        <v>7.85</v>
      </c>
    </row>
    <row r="2569" spans="1:21" x14ac:dyDescent="0.35">
      <c r="A2569" s="1"/>
      <c r="U2569">
        <v>239.9058</v>
      </c>
    </row>
    <row r="2570" spans="1:21" x14ac:dyDescent="0.35">
      <c r="A2570" s="1"/>
      <c r="U2570">
        <v>133.86240000000001</v>
      </c>
    </row>
    <row r="2571" spans="1:21" x14ac:dyDescent="0.35">
      <c r="U2571">
        <v>-35.617400000000004</v>
      </c>
    </row>
    <row r="2572" spans="1:21" x14ac:dyDescent="0.35">
      <c r="U2572">
        <v>3.6432000000000002</v>
      </c>
    </row>
    <row r="2573" spans="1:21" x14ac:dyDescent="0.35">
      <c r="U2573">
        <v>0.91</v>
      </c>
    </row>
    <row r="2574" spans="1:21" x14ac:dyDescent="0.35">
      <c r="A2574" s="1"/>
      <c r="U2574">
        <v>52.497900000000001</v>
      </c>
    </row>
    <row r="2575" spans="1:21" x14ac:dyDescent="0.35">
      <c r="A2575" s="1"/>
      <c r="U2575">
        <v>31.587</v>
      </c>
    </row>
    <row r="2576" spans="1:21" x14ac:dyDescent="0.35">
      <c r="U2576">
        <v>7.9527000000000001</v>
      </c>
    </row>
    <row r="2577" spans="1:21" x14ac:dyDescent="0.35">
      <c r="U2577">
        <v>156.751</v>
      </c>
    </row>
    <row r="2578" spans="1:21" x14ac:dyDescent="0.35">
      <c r="U2578">
        <v>5.3391999999999999</v>
      </c>
    </row>
    <row r="2579" spans="1:21" x14ac:dyDescent="0.35">
      <c r="U2579">
        <v>290.30160000000001</v>
      </c>
    </row>
    <row r="2580" spans="1:21" x14ac:dyDescent="0.35">
      <c r="U2580">
        <v>30.7818</v>
      </c>
    </row>
    <row r="2581" spans="1:21" x14ac:dyDescent="0.35">
      <c r="U2581">
        <v>0</v>
      </c>
    </row>
    <row r="2582" spans="1:21" x14ac:dyDescent="0.35">
      <c r="U2582">
        <v>9.3312000000000008</v>
      </c>
    </row>
    <row r="2583" spans="1:21" x14ac:dyDescent="0.35">
      <c r="U2583">
        <v>8.34</v>
      </c>
    </row>
    <row r="2584" spans="1:21" x14ac:dyDescent="0.35">
      <c r="U2584">
        <v>0</v>
      </c>
    </row>
    <row r="2585" spans="1:21" x14ac:dyDescent="0.35">
      <c r="U2585">
        <v>4.4711999999999996</v>
      </c>
    </row>
    <row r="2586" spans="1:21" x14ac:dyDescent="0.35">
      <c r="U2586">
        <v>52.634399999999999</v>
      </c>
    </row>
    <row r="2587" spans="1:21" x14ac:dyDescent="0.35">
      <c r="A2587" s="1"/>
      <c r="U2587">
        <v>2.1476000000000002</v>
      </c>
    </row>
    <row r="2588" spans="1:21" x14ac:dyDescent="0.35">
      <c r="U2588">
        <v>67.113900000000001</v>
      </c>
    </row>
    <row r="2589" spans="1:21" x14ac:dyDescent="0.35">
      <c r="U2589">
        <v>9.7812000000000001</v>
      </c>
    </row>
    <row r="2590" spans="1:21" x14ac:dyDescent="0.35">
      <c r="A2590" s="1"/>
      <c r="U2590">
        <v>1.0165999999999999</v>
      </c>
    </row>
    <row r="2591" spans="1:21" x14ac:dyDescent="0.35">
      <c r="A2591" s="1"/>
      <c r="U2591">
        <v>21.5397</v>
      </c>
    </row>
    <row r="2592" spans="1:21" x14ac:dyDescent="0.35">
      <c r="A2592" s="1"/>
      <c r="U2592">
        <v>-7.7747999999999999</v>
      </c>
    </row>
    <row r="2593" spans="1:21" x14ac:dyDescent="0.35">
      <c r="A2593" s="1"/>
      <c r="U2593">
        <v>-300.73500000000001</v>
      </c>
    </row>
    <row r="2594" spans="1:21" x14ac:dyDescent="0.35">
      <c r="U2594">
        <v>39.549999999999997</v>
      </c>
    </row>
    <row r="2595" spans="1:21" x14ac:dyDescent="0.35">
      <c r="U2595">
        <v>157.36320000000001</v>
      </c>
    </row>
    <row r="2596" spans="1:21" x14ac:dyDescent="0.35">
      <c r="U2596">
        <v>81.432000000000002</v>
      </c>
    </row>
    <row r="2597" spans="1:21" x14ac:dyDescent="0.35">
      <c r="U2597">
        <v>411.73649999999998</v>
      </c>
    </row>
    <row r="2598" spans="1:21" x14ac:dyDescent="0.35">
      <c r="U2598">
        <v>158.75190000000001</v>
      </c>
    </row>
    <row r="2599" spans="1:21" x14ac:dyDescent="0.35">
      <c r="U2599">
        <v>95.461200000000005</v>
      </c>
    </row>
    <row r="2600" spans="1:21" x14ac:dyDescent="0.35">
      <c r="U2600">
        <v>7.3205999999999998</v>
      </c>
    </row>
    <row r="2601" spans="1:21" x14ac:dyDescent="0.35">
      <c r="U2601">
        <v>35.3626</v>
      </c>
    </row>
    <row r="2602" spans="1:21" x14ac:dyDescent="0.35">
      <c r="U2602">
        <v>36.813000000000002</v>
      </c>
    </row>
    <row r="2603" spans="1:21" x14ac:dyDescent="0.35">
      <c r="A2603" s="1"/>
      <c r="U2603">
        <v>7.0217999999999998</v>
      </c>
    </row>
    <row r="2604" spans="1:21" x14ac:dyDescent="0.35">
      <c r="A2604" s="1"/>
      <c r="U2604">
        <v>364.45949999999999</v>
      </c>
    </row>
    <row r="2605" spans="1:21" x14ac:dyDescent="0.35">
      <c r="A2605" s="1"/>
      <c r="U2605">
        <v>5.1294000000000004</v>
      </c>
    </row>
    <row r="2606" spans="1:21" x14ac:dyDescent="0.35">
      <c r="A2606" s="1"/>
      <c r="U2606">
        <v>20.780799999999999</v>
      </c>
    </row>
    <row r="2607" spans="1:21" x14ac:dyDescent="0.35">
      <c r="U2607">
        <v>-0.85580000000000001</v>
      </c>
    </row>
    <row r="2608" spans="1:21" x14ac:dyDescent="0.35">
      <c r="A2608" s="1"/>
      <c r="U2608">
        <v>4.9271000000000003</v>
      </c>
    </row>
    <row r="2609" spans="1:21" x14ac:dyDescent="0.35">
      <c r="U2609">
        <v>0</v>
      </c>
    </row>
    <row r="2610" spans="1:21" x14ac:dyDescent="0.35">
      <c r="U2610">
        <v>0.88200000000000001</v>
      </c>
    </row>
    <row r="2611" spans="1:21" x14ac:dyDescent="0.35">
      <c r="U2611">
        <v>-121.87350000000001</v>
      </c>
    </row>
    <row r="2612" spans="1:21" x14ac:dyDescent="0.35">
      <c r="U2612">
        <v>1.9925999999999999</v>
      </c>
    </row>
    <row r="2613" spans="1:21" x14ac:dyDescent="0.35">
      <c r="U2613">
        <v>5.1012000000000004</v>
      </c>
    </row>
    <row r="2614" spans="1:21" x14ac:dyDescent="0.35">
      <c r="U2614">
        <v>-3.9624000000000001</v>
      </c>
    </row>
    <row r="2615" spans="1:21" x14ac:dyDescent="0.35">
      <c r="U2615">
        <v>2.5979999999999999</v>
      </c>
    </row>
    <row r="2616" spans="1:21" x14ac:dyDescent="0.35">
      <c r="U2616">
        <v>23.027999999999999</v>
      </c>
    </row>
    <row r="2617" spans="1:21" x14ac:dyDescent="0.35">
      <c r="U2617">
        <v>5.7149999999999999</v>
      </c>
    </row>
    <row r="2618" spans="1:21" x14ac:dyDescent="0.35">
      <c r="A2618" s="1"/>
      <c r="U2618">
        <v>2.7166000000000001</v>
      </c>
    </row>
    <row r="2619" spans="1:21" x14ac:dyDescent="0.35">
      <c r="A2619" s="1"/>
      <c r="U2619">
        <v>38.024999999999999</v>
      </c>
    </row>
    <row r="2620" spans="1:21" x14ac:dyDescent="0.35">
      <c r="U2620">
        <v>1.0842000000000001</v>
      </c>
    </row>
    <row r="2621" spans="1:21" x14ac:dyDescent="0.35">
      <c r="U2621">
        <v>6.7039999999999997</v>
      </c>
    </row>
    <row r="2622" spans="1:21" x14ac:dyDescent="0.35">
      <c r="U2622">
        <v>10.4496</v>
      </c>
    </row>
    <row r="2623" spans="1:21" x14ac:dyDescent="0.35">
      <c r="U2623">
        <v>8.6715</v>
      </c>
    </row>
    <row r="2624" spans="1:21" x14ac:dyDescent="0.35">
      <c r="A2624" s="1"/>
      <c r="U2624">
        <v>12.441599999999999</v>
      </c>
    </row>
    <row r="2625" spans="1:21" x14ac:dyDescent="0.35">
      <c r="U2625">
        <v>3919.9888000000001</v>
      </c>
    </row>
    <row r="2626" spans="1:21" x14ac:dyDescent="0.35">
      <c r="U2626">
        <v>647.89200000000005</v>
      </c>
    </row>
    <row r="2627" spans="1:21" x14ac:dyDescent="0.35">
      <c r="U2627">
        <v>28.754999999999999</v>
      </c>
    </row>
    <row r="2628" spans="1:21" x14ac:dyDescent="0.35">
      <c r="U2628">
        <v>0.52990000000000004</v>
      </c>
    </row>
    <row r="2629" spans="1:21" x14ac:dyDescent="0.35">
      <c r="U2629">
        <v>9.1295999999999999</v>
      </c>
    </row>
    <row r="2630" spans="1:21" x14ac:dyDescent="0.35">
      <c r="U2630">
        <v>-935.95950000000005</v>
      </c>
    </row>
    <row r="2631" spans="1:21" x14ac:dyDescent="0.35">
      <c r="U2631">
        <v>-7.48</v>
      </c>
    </row>
    <row r="2632" spans="1:21" x14ac:dyDescent="0.35">
      <c r="A2632" s="1"/>
      <c r="U2632">
        <v>7.0217999999999998</v>
      </c>
    </row>
    <row r="2633" spans="1:21" x14ac:dyDescent="0.35">
      <c r="U2633">
        <v>17.1828</v>
      </c>
    </row>
    <row r="2634" spans="1:21" x14ac:dyDescent="0.35">
      <c r="U2634">
        <v>4.2624000000000004</v>
      </c>
    </row>
    <row r="2635" spans="1:21" x14ac:dyDescent="0.35">
      <c r="U2635">
        <v>24.858000000000001</v>
      </c>
    </row>
    <row r="2636" spans="1:21" x14ac:dyDescent="0.35">
      <c r="A2636" s="1"/>
      <c r="U2636">
        <v>0.73919999999999997</v>
      </c>
    </row>
    <row r="2637" spans="1:21" x14ac:dyDescent="0.35">
      <c r="A2637" s="1"/>
      <c r="U2637">
        <v>-5.7839999999999998</v>
      </c>
    </row>
    <row r="2638" spans="1:21" x14ac:dyDescent="0.35">
      <c r="U2638">
        <v>61.389000000000003</v>
      </c>
    </row>
    <row r="2639" spans="1:21" x14ac:dyDescent="0.35">
      <c r="A2639" s="1"/>
      <c r="U2639">
        <v>9.3295999999999992</v>
      </c>
    </row>
    <row r="2640" spans="1:21" x14ac:dyDescent="0.35">
      <c r="A2640" s="1"/>
      <c r="U2640">
        <v>4.2666000000000004</v>
      </c>
    </row>
    <row r="2641" spans="1:21" x14ac:dyDescent="0.35">
      <c r="A2641" s="1"/>
      <c r="U2641">
        <v>16.676400000000001</v>
      </c>
    </row>
    <row r="2642" spans="1:21" x14ac:dyDescent="0.35">
      <c r="A2642" s="1"/>
      <c r="U2642">
        <v>143.04</v>
      </c>
    </row>
    <row r="2643" spans="1:21" x14ac:dyDescent="0.35">
      <c r="U2643">
        <v>2.9990000000000001</v>
      </c>
    </row>
    <row r="2644" spans="1:21" x14ac:dyDescent="0.35">
      <c r="U2644">
        <v>67.442400000000006</v>
      </c>
    </row>
    <row r="2645" spans="1:21" x14ac:dyDescent="0.35">
      <c r="U2645">
        <v>4.1391</v>
      </c>
    </row>
    <row r="2646" spans="1:21" x14ac:dyDescent="0.35">
      <c r="U2646">
        <v>6.2855999999999996</v>
      </c>
    </row>
    <row r="2647" spans="1:21" x14ac:dyDescent="0.35">
      <c r="A2647" s="1"/>
      <c r="U2647">
        <v>23.652899999999999</v>
      </c>
    </row>
    <row r="2648" spans="1:21" x14ac:dyDescent="0.35">
      <c r="A2648" s="1"/>
      <c r="U2648">
        <v>20.120699999999999</v>
      </c>
    </row>
    <row r="2649" spans="1:21" x14ac:dyDescent="0.35">
      <c r="A2649" s="1"/>
      <c r="U2649">
        <v>6.2207999999999997</v>
      </c>
    </row>
    <row r="2650" spans="1:21" x14ac:dyDescent="0.35">
      <c r="A2650" s="1"/>
      <c r="U2650">
        <v>213.68879999999999</v>
      </c>
    </row>
    <row r="2651" spans="1:21" x14ac:dyDescent="0.35">
      <c r="A2651" s="1"/>
      <c r="U2651">
        <v>28.3095</v>
      </c>
    </row>
    <row r="2652" spans="1:21" x14ac:dyDescent="0.35">
      <c r="U2652">
        <v>19.998000000000001</v>
      </c>
    </row>
    <row r="2653" spans="1:21" x14ac:dyDescent="0.35">
      <c r="U2653">
        <v>3.5022000000000002</v>
      </c>
    </row>
    <row r="2654" spans="1:21" x14ac:dyDescent="0.35">
      <c r="U2654">
        <v>4.2717000000000001</v>
      </c>
    </row>
    <row r="2655" spans="1:21" x14ac:dyDescent="0.35">
      <c r="U2655">
        <v>80.791200000000003</v>
      </c>
    </row>
    <row r="2656" spans="1:21" x14ac:dyDescent="0.35">
      <c r="U2656">
        <v>77.576400000000007</v>
      </c>
    </row>
    <row r="2657" spans="1:21" x14ac:dyDescent="0.35">
      <c r="U2657">
        <v>8.9543999999999997</v>
      </c>
    </row>
    <row r="2658" spans="1:21" x14ac:dyDescent="0.35">
      <c r="U2658">
        <v>65.435000000000002</v>
      </c>
    </row>
    <row r="2659" spans="1:21" x14ac:dyDescent="0.35">
      <c r="U2659">
        <v>7.056</v>
      </c>
    </row>
    <row r="2660" spans="1:21" x14ac:dyDescent="0.35">
      <c r="U2660">
        <v>5.1041999999999996</v>
      </c>
    </row>
    <row r="2661" spans="1:21" x14ac:dyDescent="0.35">
      <c r="U2661">
        <v>99.432000000000002</v>
      </c>
    </row>
    <row r="2662" spans="1:21" x14ac:dyDescent="0.35">
      <c r="U2662">
        <v>494.97250000000003</v>
      </c>
    </row>
    <row r="2663" spans="1:21" x14ac:dyDescent="0.35">
      <c r="U2663">
        <v>35.981999999999999</v>
      </c>
    </row>
    <row r="2664" spans="1:21" x14ac:dyDescent="0.35">
      <c r="U2664">
        <v>4.2047999999999996</v>
      </c>
    </row>
    <row r="2665" spans="1:21" x14ac:dyDescent="0.35">
      <c r="A2665" s="1"/>
      <c r="U2665">
        <v>1.2948</v>
      </c>
    </row>
    <row r="2666" spans="1:21" x14ac:dyDescent="0.35">
      <c r="A2666" s="1"/>
      <c r="U2666">
        <v>-142.071</v>
      </c>
    </row>
    <row r="2667" spans="1:21" x14ac:dyDescent="0.35">
      <c r="A2667" s="1"/>
      <c r="U2667">
        <v>-2.0108000000000001</v>
      </c>
    </row>
    <row r="2668" spans="1:21" x14ac:dyDescent="0.35">
      <c r="A2668" s="1"/>
      <c r="U2668">
        <v>20.8719</v>
      </c>
    </row>
    <row r="2669" spans="1:21" x14ac:dyDescent="0.35">
      <c r="A2669" s="1"/>
      <c r="U2669">
        <v>9.5687999999999995</v>
      </c>
    </row>
    <row r="2670" spans="1:21" x14ac:dyDescent="0.35">
      <c r="U2670">
        <v>4.5881999999999996</v>
      </c>
    </row>
    <row r="2671" spans="1:21" x14ac:dyDescent="0.35">
      <c r="U2671">
        <v>29.668800000000001</v>
      </c>
    </row>
    <row r="2672" spans="1:21" x14ac:dyDescent="0.35">
      <c r="A2672" s="1"/>
      <c r="U2672">
        <v>79.891199999999998</v>
      </c>
    </row>
    <row r="2673" spans="1:21" x14ac:dyDescent="0.35">
      <c r="A2673" s="1"/>
      <c r="U2673">
        <v>212.1876</v>
      </c>
    </row>
    <row r="2674" spans="1:21" x14ac:dyDescent="0.35">
      <c r="A2674" s="1"/>
      <c r="U2674">
        <v>12.837999999999999</v>
      </c>
    </row>
    <row r="2675" spans="1:21" x14ac:dyDescent="0.35">
      <c r="A2675" s="1"/>
      <c r="U2675">
        <v>238.65299999999999</v>
      </c>
    </row>
    <row r="2676" spans="1:21" x14ac:dyDescent="0.35">
      <c r="A2676" s="1"/>
      <c r="U2676">
        <v>79.891199999999998</v>
      </c>
    </row>
    <row r="2677" spans="1:21" x14ac:dyDescent="0.35">
      <c r="U2677">
        <v>0.76649999999999996</v>
      </c>
    </row>
    <row r="2678" spans="1:21" x14ac:dyDescent="0.35">
      <c r="U2678">
        <v>4.3583999999999996</v>
      </c>
    </row>
    <row r="2679" spans="1:21" x14ac:dyDescent="0.35">
      <c r="U2679">
        <v>-8.1311999999999998</v>
      </c>
    </row>
    <row r="2680" spans="1:21" x14ac:dyDescent="0.35">
      <c r="U2680">
        <v>-16.776</v>
      </c>
    </row>
    <row r="2681" spans="1:21" x14ac:dyDescent="0.35">
      <c r="U2681">
        <v>7.056</v>
      </c>
    </row>
    <row r="2682" spans="1:21" x14ac:dyDescent="0.35">
      <c r="U2682">
        <v>111.59099999999999</v>
      </c>
    </row>
    <row r="2683" spans="1:21" x14ac:dyDescent="0.35">
      <c r="U2683">
        <v>42.074399999999997</v>
      </c>
    </row>
    <row r="2684" spans="1:21" x14ac:dyDescent="0.35">
      <c r="U2684">
        <v>152.0883</v>
      </c>
    </row>
    <row r="2685" spans="1:21" x14ac:dyDescent="0.35">
      <c r="U2685">
        <v>49.497</v>
      </c>
    </row>
    <row r="2686" spans="1:21" x14ac:dyDescent="0.35">
      <c r="U2686">
        <v>101.57940000000001</v>
      </c>
    </row>
    <row r="2687" spans="1:21" x14ac:dyDescent="0.35">
      <c r="A2687" s="1"/>
      <c r="U2687">
        <v>29.984999999999999</v>
      </c>
    </row>
    <row r="2688" spans="1:21" x14ac:dyDescent="0.35">
      <c r="A2688" s="1"/>
      <c r="U2688">
        <v>-2.4563999999999999</v>
      </c>
    </row>
    <row r="2689" spans="1:21" x14ac:dyDescent="0.35">
      <c r="A2689" s="1"/>
      <c r="U2689">
        <v>-6.5670000000000002</v>
      </c>
    </row>
    <row r="2690" spans="1:21" x14ac:dyDescent="0.35">
      <c r="A2690" s="1"/>
      <c r="U2690">
        <v>7.0650000000000004</v>
      </c>
    </row>
    <row r="2691" spans="1:21" x14ac:dyDescent="0.35">
      <c r="U2691">
        <v>1.64</v>
      </c>
    </row>
    <row r="2692" spans="1:21" x14ac:dyDescent="0.35">
      <c r="A2692" s="1"/>
      <c r="U2692">
        <v>-4.4550000000000001</v>
      </c>
    </row>
    <row r="2693" spans="1:21" x14ac:dyDescent="0.35">
      <c r="U2693">
        <v>5.6115000000000004</v>
      </c>
    </row>
    <row r="2694" spans="1:21" x14ac:dyDescent="0.35">
      <c r="U2694">
        <v>8.1432000000000002</v>
      </c>
    </row>
    <row r="2695" spans="1:21" x14ac:dyDescent="0.35">
      <c r="U2695">
        <v>37.366</v>
      </c>
    </row>
    <row r="2696" spans="1:21" x14ac:dyDescent="0.35">
      <c r="U2696">
        <v>4.0382999999999996</v>
      </c>
    </row>
    <row r="2697" spans="1:21" x14ac:dyDescent="0.35">
      <c r="A2697" s="1"/>
      <c r="U2697">
        <v>10.623200000000001</v>
      </c>
    </row>
    <row r="2698" spans="1:21" x14ac:dyDescent="0.35">
      <c r="U2698">
        <v>-16.425999999999998</v>
      </c>
    </row>
    <row r="2699" spans="1:21" x14ac:dyDescent="0.35">
      <c r="U2699">
        <v>-1811.0784000000001</v>
      </c>
    </row>
    <row r="2700" spans="1:21" x14ac:dyDescent="0.35">
      <c r="U2700">
        <v>7.4816000000000003</v>
      </c>
    </row>
    <row r="2701" spans="1:21" x14ac:dyDescent="0.35">
      <c r="U2701">
        <v>1.002</v>
      </c>
    </row>
    <row r="2702" spans="1:21" x14ac:dyDescent="0.35">
      <c r="U2702">
        <v>8.0765999999999991</v>
      </c>
    </row>
    <row r="2703" spans="1:21" x14ac:dyDescent="0.35">
      <c r="U2703">
        <v>5.9175000000000004</v>
      </c>
    </row>
    <row r="2704" spans="1:21" x14ac:dyDescent="0.35">
      <c r="U2704">
        <v>15.294</v>
      </c>
    </row>
    <row r="2705" spans="1:21" x14ac:dyDescent="0.35">
      <c r="U2705">
        <v>56.977200000000003</v>
      </c>
    </row>
    <row r="2706" spans="1:21" x14ac:dyDescent="0.35">
      <c r="A2706" s="1"/>
      <c r="U2706">
        <v>17.238</v>
      </c>
    </row>
    <row r="2707" spans="1:21" x14ac:dyDescent="0.35">
      <c r="U2707">
        <v>4.3368000000000002</v>
      </c>
    </row>
    <row r="2708" spans="1:21" x14ac:dyDescent="0.35">
      <c r="U2708">
        <v>9.3312000000000008</v>
      </c>
    </row>
    <row r="2709" spans="1:21" x14ac:dyDescent="0.35">
      <c r="U2709">
        <v>92.236800000000002</v>
      </c>
    </row>
    <row r="2710" spans="1:21" x14ac:dyDescent="0.35">
      <c r="U2710">
        <v>81.849599999999995</v>
      </c>
    </row>
    <row r="2711" spans="1:21" x14ac:dyDescent="0.35">
      <c r="U2711">
        <v>215.9973</v>
      </c>
    </row>
    <row r="2712" spans="1:21" x14ac:dyDescent="0.35">
      <c r="A2712" s="1"/>
      <c r="U2712">
        <v>-8.9795999999999996</v>
      </c>
    </row>
    <row r="2713" spans="1:21" x14ac:dyDescent="0.35">
      <c r="A2713" s="1"/>
      <c r="U2713">
        <v>9.1776</v>
      </c>
    </row>
    <row r="2714" spans="1:21" x14ac:dyDescent="0.35">
      <c r="U2714">
        <v>22.244399999999999</v>
      </c>
    </row>
    <row r="2715" spans="1:21" x14ac:dyDescent="0.35">
      <c r="U2715">
        <v>37.796999999999997</v>
      </c>
    </row>
    <row r="2716" spans="1:21" x14ac:dyDescent="0.35">
      <c r="A2716" s="1"/>
      <c r="U2716">
        <v>5.56</v>
      </c>
    </row>
    <row r="2717" spans="1:21" x14ac:dyDescent="0.35">
      <c r="A2717" s="1"/>
      <c r="U2717">
        <v>62.3904</v>
      </c>
    </row>
    <row r="2718" spans="1:21" x14ac:dyDescent="0.35">
      <c r="U2718">
        <v>15.1158</v>
      </c>
    </row>
    <row r="2719" spans="1:21" x14ac:dyDescent="0.35">
      <c r="A2719" s="1"/>
      <c r="U2719">
        <v>109.6113</v>
      </c>
    </row>
    <row r="2720" spans="1:21" x14ac:dyDescent="0.35">
      <c r="U2720">
        <v>33.577199999999998</v>
      </c>
    </row>
    <row r="2721" spans="1:21" x14ac:dyDescent="0.35">
      <c r="A2721" s="1"/>
      <c r="U2721">
        <v>-14.3856</v>
      </c>
    </row>
    <row r="2722" spans="1:21" x14ac:dyDescent="0.35">
      <c r="A2722" s="1"/>
      <c r="U2722">
        <v>2.7222</v>
      </c>
    </row>
    <row r="2723" spans="1:21" x14ac:dyDescent="0.35">
      <c r="A2723" s="1"/>
      <c r="U2723">
        <v>5.0960000000000001</v>
      </c>
    </row>
    <row r="2724" spans="1:21" x14ac:dyDescent="0.35">
      <c r="U2724">
        <v>12.18</v>
      </c>
    </row>
    <row r="2725" spans="1:21" x14ac:dyDescent="0.35">
      <c r="A2725" s="1"/>
      <c r="U2725">
        <v>6.7915000000000001</v>
      </c>
    </row>
    <row r="2726" spans="1:21" x14ac:dyDescent="0.35">
      <c r="A2726" s="1"/>
      <c r="U2726">
        <v>31.085599999999999</v>
      </c>
    </row>
    <row r="2727" spans="1:21" x14ac:dyDescent="0.35">
      <c r="A2727" s="1"/>
      <c r="U2727">
        <v>-71.994</v>
      </c>
    </row>
    <row r="2728" spans="1:21" x14ac:dyDescent="0.35">
      <c r="A2728" s="1"/>
      <c r="U2728">
        <v>-140.14080000000001</v>
      </c>
    </row>
    <row r="2729" spans="1:21" x14ac:dyDescent="0.35">
      <c r="U2729">
        <v>-1.3128</v>
      </c>
    </row>
    <row r="2730" spans="1:21" x14ac:dyDescent="0.35">
      <c r="U2730">
        <v>94.493700000000004</v>
      </c>
    </row>
    <row r="2731" spans="1:21" x14ac:dyDescent="0.35">
      <c r="U2731">
        <v>1.7901</v>
      </c>
    </row>
    <row r="2732" spans="1:21" x14ac:dyDescent="0.35">
      <c r="U2732">
        <v>343.9828</v>
      </c>
    </row>
    <row r="2733" spans="1:21" x14ac:dyDescent="0.35">
      <c r="U2733">
        <v>21.506</v>
      </c>
    </row>
    <row r="2734" spans="1:21" x14ac:dyDescent="0.35">
      <c r="A2734" s="1"/>
      <c r="U2734">
        <v>19.974599999999999</v>
      </c>
    </row>
    <row r="2735" spans="1:21" x14ac:dyDescent="0.35">
      <c r="A2735" s="1"/>
      <c r="U2735">
        <v>2.1762000000000001</v>
      </c>
    </row>
    <row r="2736" spans="1:21" x14ac:dyDescent="0.35">
      <c r="U2736">
        <v>23.086400000000001</v>
      </c>
    </row>
    <row r="2737" spans="1:21" x14ac:dyDescent="0.35">
      <c r="U2737">
        <v>94.492500000000007</v>
      </c>
    </row>
    <row r="2738" spans="1:21" x14ac:dyDescent="0.35">
      <c r="U2738">
        <v>19.871600000000001</v>
      </c>
    </row>
    <row r="2739" spans="1:21" x14ac:dyDescent="0.35">
      <c r="U2739">
        <v>56.994300000000003</v>
      </c>
    </row>
    <row r="2740" spans="1:21" x14ac:dyDescent="0.35">
      <c r="U2740">
        <v>43.190399999999997</v>
      </c>
    </row>
    <row r="2741" spans="1:21" x14ac:dyDescent="0.35">
      <c r="U2741">
        <v>9.5448000000000004</v>
      </c>
    </row>
    <row r="2742" spans="1:21" x14ac:dyDescent="0.35">
      <c r="U2742">
        <v>1.5588</v>
      </c>
    </row>
    <row r="2743" spans="1:21" x14ac:dyDescent="0.35">
      <c r="U2743">
        <v>17.52</v>
      </c>
    </row>
    <row r="2744" spans="1:21" x14ac:dyDescent="0.35">
      <c r="A2744" s="1"/>
      <c r="U2744">
        <v>13.4292</v>
      </c>
    </row>
    <row r="2745" spans="1:21" x14ac:dyDescent="0.35">
      <c r="U2745">
        <v>100.4796</v>
      </c>
    </row>
    <row r="2746" spans="1:21" x14ac:dyDescent="0.35">
      <c r="U2746">
        <v>47.241</v>
      </c>
    </row>
    <row r="2747" spans="1:21" x14ac:dyDescent="0.35">
      <c r="A2747" s="1"/>
      <c r="U2747">
        <v>21.997800000000002</v>
      </c>
    </row>
    <row r="2748" spans="1:21" x14ac:dyDescent="0.35">
      <c r="A2748" s="1"/>
      <c r="U2748">
        <v>-130.0104</v>
      </c>
    </row>
    <row r="2749" spans="1:21" x14ac:dyDescent="0.35">
      <c r="U2749">
        <v>-1.3584000000000001</v>
      </c>
    </row>
    <row r="2750" spans="1:21" x14ac:dyDescent="0.35">
      <c r="A2750" s="1"/>
      <c r="U2750">
        <v>-6.0324</v>
      </c>
    </row>
    <row r="2751" spans="1:21" x14ac:dyDescent="0.35">
      <c r="A2751" s="1"/>
      <c r="U2751">
        <v>73.194000000000003</v>
      </c>
    </row>
    <row r="2752" spans="1:21" x14ac:dyDescent="0.35">
      <c r="A2752" s="1"/>
      <c r="U2752">
        <v>110.0528</v>
      </c>
    </row>
    <row r="2753" spans="1:21" x14ac:dyDescent="0.35">
      <c r="U2753">
        <v>22.529599999999999</v>
      </c>
    </row>
    <row r="2754" spans="1:21" x14ac:dyDescent="0.35">
      <c r="U2754">
        <v>2.2240000000000002</v>
      </c>
    </row>
    <row r="2755" spans="1:21" x14ac:dyDescent="0.35">
      <c r="U2755">
        <v>129.34800000000001</v>
      </c>
    </row>
    <row r="2756" spans="1:21" x14ac:dyDescent="0.35">
      <c r="U2756">
        <v>68.596500000000006</v>
      </c>
    </row>
    <row r="2757" spans="1:21" x14ac:dyDescent="0.35">
      <c r="U2757">
        <v>419.81849999999997</v>
      </c>
    </row>
    <row r="2758" spans="1:21" x14ac:dyDescent="0.35">
      <c r="U2758">
        <v>5.8604000000000003</v>
      </c>
    </row>
    <row r="2759" spans="1:21" x14ac:dyDescent="0.35">
      <c r="A2759" s="1"/>
      <c r="U2759">
        <v>71.991</v>
      </c>
    </row>
    <row r="2760" spans="1:21" x14ac:dyDescent="0.35">
      <c r="A2760" s="1"/>
      <c r="U2760">
        <v>31.537199999999999</v>
      </c>
    </row>
    <row r="2761" spans="1:21" x14ac:dyDescent="0.35">
      <c r="A2761" s="1"/>
      <c r="U2761">
        <v>125.14319999999999</v>
      </c>
    </row>
    <row r="2762" spans="1:21" x14ac:dyDescent="0.35">
      <c r="U2762">
        <v>23.231999999999999</v>
      </c>
    </row>
    <row r="2763" spans="1:21" x14ac:dyDescent="0.35">
      <c r="A2763" s="1"/>
      <c r="U2763">
        <v>0.43559999999999999</v>
      </c>
    </row>
    <row r="2764" spans="1:21" x14ac:dyDescent="0.35">
      <c r="A2764" s="1"/>
      <c r="U2764">
        <v>36.917000000000002</v>
      </c>
    </row>
    <row r="2765" spans="1:21" x14ac:dyDescent="0.35">
      <c r="U2765">
        <v>-7.5768000000000004</v>
      </c>
    </row>
    <row r="2766" spans="1:21" x14ac:dyDescent="0.35">
      <c r="U2766">
        <v>-23.8855</v>
      </c>
    </row>
    <row r="2767" spans="1:21" x14ac:dyDescent="0.35">
      <c r="U2767">
        <v>0.66959999999999997</v>
      </c>
    </row>
    <row r="2768" spans="1:21" x14ac:dyDescent="0.35">
      <c r="U2768">
        <v>3.8681999999999999</v>
      </c>
    </row>
    <row r="2769" spans="1:21" x14ac:dyDescent="0.35">
      <c r="U2769">
        <v>312.67599999999999</v>
      </c>
    </row>
    <row r="2770" spans="1:21" x14ac:dyDescent="0.35">
      <c r="A2770" s="1"/>
      <c r="U2770">
        <v>-80.48</v>
      </c>
    </row>
    <row r="2771" spans="1:21" x14ac:dyDescent="0.35">
      <c r="A2771" s="1"/>
      <c r="U2771">
        <v>-0.62649999999999995</v>
      </c>
    </row>
    <row r="2772" spans="1:21" x14ac:dyDescent="0.35">
      <c r="A2772" s="1"/>
      <c r="U2772">
        <v>1.7990999999999999</v>
      </c>
    </row>
    <row r="2773" spans="1:21" x14ac:dyDescent="0.35">
      <c r="A2773" s="1"/>
      <c r="U2773">
        <v>14.17</v>
      </c>
    </row>
    <row r="2774" spans="1:21" x14ac:dyDescent="0.35">
      <c r="A2774" s="1"/>
      <c r="U2774">
        <v>5.7312000000000003</v>
      </c>
    </row>
    <row r="2775" spans="1:21" x14ac:dyDescent="0.35">
      <c r="U2775">
        <v>24.2256</v>
      </c>
    </row>
    <row r="2776" spans="1:21" x14ac:dyDescent="0.35">
      <c r="A2776" s="1"/>
      <c r="U2776">
        <v>3.6288</v>
      </c>
    </row>
    <row r="2777" spans="1:21" x14ac:dyDescent="0.35">
      <c r="U2777">
        <v>1.5444</v>
      </c>
    </row>
    <row r="2778" spans="1:21" x14ac:dyDescent="0.35">
      <c r="U2778">
        <v>4.5738000000000003</v>
      </c>
    </row>
    <row r="2779" spans="1:21" x14ac:dyDescent="0.35">
      <c r="U2779">
        <v>-13.797599999999999</v>
      </c>
    </row>
    <row r="2780" spans="1:21" x14ac:dyDescent="0.35">
      <c r="U2780">
        <v>6.2160000000000002</v>
      </c>
    </row>
    <row r="2781" spans="1:21" x14ac:dyDescent="0.35">
      <c r="U2781">
        <v>0.74250000000000005</v>
      </c>
    </row>
    <row r="2782" spans="1:21" x14ac:dyDescent="0.35">
      <c r="A2782" s="1"/>
      <c r="U2782">
        <v>29.6</v>
      </c>
    </row>
    <row r="2783" spans="1:21" x14ac:dyDescent="0.35">
      <c r="U2783">
        <v>9.68</v>
      </c>
    </row>
    <row r="2784" spans="1:21" x14ac:dyDescent="0.35">
      <c r="A2784" s="1"/>
      <c r="U2784">
        <v>74.8142</v>
      </c>
    </row>
    <row r="2785" spans="1:21" x14ac:dyDescent="0.35">
      <c r="A2785" s="1"/>
      <c r="U2785">
        <v>-15.992000000000001</v>
      </c>
    </row>
    <row r="2786" spans="1:21" x14ac:dyDescent="0.35">
      <c r="A2786" s="1"/>
      <c r="U2786">
        <v>-15.5844</v>
      </c>
    </row>
    <row r="2787" spans="1:21" x14ac:dyDescent="0.35">
      <c r="U2787">
        <v>0</v>
      </c>
    </row>
    <row r="2788" spans="1:21" x14ac:dyDescent="0.35">
      <c r="U2788">
        <v>2.528</v>
      </c>
    </row>
    <row r="2789" spans="1:21" x14ac:dyDescent="0.35">
      <c r="A2789" s="1"/>
      <c r="U2789">
        <v>-24.803000000000001</v>
      </c>
    </row>
    <row r="2790" spans="1:21" x14ac:dyDescent="0.35">
      <c r="A2790" s="1"/>
      <c r="U2790">
        <v>1.4406000000000001</v>
      </c>
    </row>
    <row r="2791" spans="1:21" x14ac:dyDescent="0.35">
      <c r="A2791" s="1"/>
      <c r="U2791">
        <v>-23.975999999999999</v>
      </c>
    </row>
    <row r="2792" spans="1:21" x14ac:dyDescent="0.35">
      <c r="U2792">
        <v>7.5284000000000004</v>
      </c>
    </row>
    <row r="2793" spans="1:21" x14ac:dyDescent="0.35">
      <c r="U2793">
        <v>10.881</v>
      </c>
    </row>
    <row r="2794" spans="1:21" x14ac:dyDescent="0.35">
      <c r="U2794">
        <v>3.1103999999999998</v>
      </c>
    </row>
    <row r="2795" spans="1:21" x14ac:dyDescent="0.35">
      <c r="A2795" s="1"/>
      <c r="U2795">
        <v>94.0702</v>
      </c>
    </row>
    <row r="2796" spans="1:21" x14ac:dyDescent="0.35">
      <c r="A2796" s="1"/>
      <c r="U2796">
        <v>38.357199999999999</v>
      </c>
    </row>
    <row r="2797" spans="1:21" x14ac:dyDescent="0.35">
      <c r="A2797" s="1"/>
      <c r="U2797">
        <v>6.5568999999999997</v>
      </c>
    </row>
    <row r="2798" spans="1:21" x14ac:dyDescent="0.35">
      <c r="A2798" s="1"/>
      <c r="U2798">
        <v>-18.146999999999998</v>
      </c>
    </row>
    <row r="2799" spans="1:21" x14ac:dyDescent="0.35">
      <c r="U2799">
        <v>4.1416000000000004</v>
      </c>
    </row>
    <row r="2800" spans="1:21" x14ac:dyDescent="0.35">
      <c r="U2800">
        <v>18.781199999999998</v>
      </c>
    </row>
    <row r="2801" spans="1:21" x14ac:dyDescent="0.35">
      <c r="U2801">
        <v>70.007999999999996</v>
      </c>
    </row>
    <row r="2802" spans="1:21" x14ac:dyDescent="0.35">
      <c r="U2802">
        <v>78.396000000000001</v>
      </c>
    </row>
    <row r="2803" spans="1:21" x14ac:dyDescent="0.35">
      <c r="A2803" s="1"/>
      <c r="U2803">
        <v>1.7729999999999999</v>
      </c>
    </row>
    <row r="2804" spans="1:21" x14ac:dyDescent="0.35">
      <c r="A2804" s="1"/>
      <c r="U2804">
        <v>17.375399999999999</v>
      </c>
    </row>
    <row r="2805" spans="1:21" x14ac:dyDescent="0.35">
      <c r="A2805" s="1"/>
      <c r="U2805">
        <v>5.7779999999999996</v>
      </c>
    </row>
    <row r="2806" spans="1:21" x14ac:dyDescent="0.35">
      <c r="A2806" s="1"/>
      <c r="U2806">
        <v>11.555999999999999</v>
      </c>
    </row>
    <row r="2807" spans="1:21" x14ac:dyDescent="0.35">
      <c r="A2807" s="1"/>
      <c r="U2807">
        <v>-2.0364</v>
      </c>
    </row>
    <row r="2808" spans="1:21" x14ac:dyDescent="0.35">
      <c r="U2808">
        <v>0.47099999999999997</v>
      </c>
    </row>
    <row r="2809" spans="1:21" x14ac:dyDescent="0.35">
      <c r="U2809">
        <v>6.2207999999999997</v>
      </c>
    </row>
    <row r="2810" spans="1:21" x14ac:dyDescent="0.35">
      <c r="U2810">
        <v>56.392000000000003</v>
      </c>
    </row>
    <row r="2811" spans="1:21" x14ac:dyDescent="0.35">
      <c r="U2811">
        <v>28.078399999999998</v>
      </c>
    </row>
    <row r="2812" spans="1:21" x14ac:dyDescent="0.35">
      <c r="U2812">
        <v>84.5154</v>
      </c>
    </row>
    <row r="2813" spans="1:21" x14ac:dyDescent="0.35">
      <c r="U2813">
        <v>76.087800000000001</v>
      </c>
    </row>
    <row r="2814" spans="1:21" x14ac:dyDescent="0.35">
      <c r="U2814">
        <v>36.398699999999998</v>
      </c>
    </row>
    <row r="2815" spans="1:21" x14ac:dyDescent="0.35">
      <c r="U2815">
        <v>229.99080000000001</v>
      </c>
    </row>
    <row r="2816" spans="1:21" x14ac:dyDescent="0.35">
      <c r="U2816">
        <v>111.1035</v>
      </c>
    </row>
    <row r="2817" spans="1:21" x14ac:dyDescent="0.35">
      <c r="A2817" s="1"/>
      <c r="U2817">
        <v>51.57</v>
      </c>
    </row>
    <row r="2818" spans="1:21" x14ac:dyDescent="0.35">
      <c r="A2818" s="1"/>
      <c r="U2818">
        <v>15.185</v>
      </c>
    </row>
    <row r="2819" spans="1:21" x14ac:dyDescent="0.35">
      <c r="A2819" s="1"/>
      <c r="U2819">
        <v>27.359200000000001</v>
      </c>
    </row>
    <row r="2820" spans="1:21" x14ac:dyDescent="0.35">
      <c r="A2820" s="1"/>
      <c r="U2820">
        <v>315.74040000000002</v>
      </c>
    </row>
    <row r="2821" spans="1:21" x14ac:dyDescent="0.35">
      <c r="A2821" s="1"/>
      <c r="U2821">
        <v>2.3519999999999999</v>
      </c>
    </row>
    <row r="2822" spans="1:21" x14ac:dyDescent="0.35">
      <c r="A2822" s="1"/>
      <c r="U2822">
        <v>7.4694000000000003</v>
      </c>
    </row>
    <row r="2823" spans="1:21" x14ac:dyDescent="0.35">
      <c r="U2823">
        <v>22.6782</v>
      </c>
    </row>
    <row r="2824" spans="1:21" x14ac:dyDescent="0.35">
      <c r="U2824">
        <v>0.55800000000000005</v>
      </c>
    </row>
    <row r="2825" spans="1:21" x14ac:dyDescent="0.35">
      <c r="U2825">
        <v>-2.9740000000000002</v>
      </c>
    </row>
    <row r="2826" spans="1:21" x14ac:dyDescent="0.35">
      <c r="U2826">
        <v>10.56</v>
      </c>
    </row>
    <row r="2827" spans="1:21" x14ac:dyDescent="0.35">
      <c r="U2827">
        <v>-97.231200000000001</v>
      </c>
    </row>
    <row r="2828" spans="1:21" x14ac:dyDescent="0.35">
      <c r="U2828">
        <v>-4.3583999999999996</v>
      </c>
    </row>
    <row r="2829" spans="1:21" x14ac:dyDescent="0.35">
      <c r="U2829">
        <v>1.1015999999999999</v>
      </c>
    </row>
    <row r="2830" spans="1:21" x14ac:dyDescent="0.35">
      <c r="U2830">
        <v>37.9176</v>
      </c>
    </row>
    <row r="2831" spans="1:21" x14ac:dyDescent="0.35">
      <c r="U2831">
        <v>6.2910000000000004</v>
      </c>
    </row>
    <row r="2832" spans="1:21" x14ac:dyDescent="0.35">
      <c r="U2832">
        <v>29.364000000000001</v>
      </c>
    </row>
    <row r="2833" spans="1:21" x14ac:dyDescent="0.35">
      <c r="A2833" s="1"/>
      <c r="U2833">
        <v>-94.332999999999998</v>
      </c>
    </row>
    <row r="2834" spans="1:21" x14ac:dyDescent="0.35">
      <c r="A2834" s="1"/>
      <c r="U2834">
        <v>54.5916</v>
      </c>
    </row>
    <row r="2835" spans="1:21" x14ac:dyDescent="0.35">
      <c r="U2835">
        <v>4.1768999999999998</v>
      </c>
    </row>
    <row r="2836" spans="1:21" x14ac:dyDescent="0.35">
      <c r="U2836">
        <v>3.4367999999999999</v>
      </c>
    </row>
    <row r="2837" spans="1:21" x14ac:dyDescent="0.35">
      <c r="A2837" s="1"/>
      <c r="U2837">
        <v>2.8313999999999999</v>
      </c>
    </row>
    <row r="2838" spans="1:21" x14ac:dyDescent="0.35">
      <c r="A2838" s="1"/>
      <c r="U2838">
        <v>9.3312000000000008</v>
      </c>
    </row>
    <row r="2839" spans="1:21" x14ac:dyDescent="0.35">
      <c r="A2839" s="1"/>
      <c r="U2839">
        <v>39.520000000000003</v>
      </c>
    </row>
    <row r="2840" spans="1:21" x14ac:dyDescent="0.35">
      <c r="A2840" s="1"/>
      <c r="U2840">
        <v>-27.827999999999999</v>
      </c>
    </row>
    <row r="2841" spans="1:21" x14ac:dyDescent="0.35">
      <c r="A2841" s="1"/>
      <c r="U2841">
        <v>31.285799999999998</v>
      </c>
    </row>
    <row r="2842" spans="1:21" x14ac:dyDescent="0.35">
      <c r="U2842">
        <v>284.98</v>
      </c>
    </row>
    <row r="2843" spans="1:21" x14ac:dyDescent="0.35">
      <c r="U2843">
        <v>83.209699999999998</v>
      </c>
    </row>
    <row r="2844" spans="1:21" x14ac:dyDescent="0.35">
      <c r="U2844">
        <v>-32.338799999999999</v>
      </c>
    </row>
    <row r="2845" spans="1:21" x14ac:dyDescent="0.35">
      <c r="U2845">
        <v>-0.9012</v>
      </c>
    </row>
    <row r="2846" spans="1:21" x14ac:dyDescent="0.35">
      <c r="U2846">
        <v>-12.0784</v>
      </c>
    </row>
    <row r="2847" spans="1:21" x14ac:dyDescent="0.35">
      <c r="U2847">
        <v>14.263199999999999</v>
      </c>
    </row>
    <row r="2848" spans="1:21" x14ac:dyDescent="0.35">
      <c r="A2848" s="1"/>
      <c r="U2848">
        <v>-1143.8910000000001</v>
      </c>
    </row>
    <row r="2849" spans="1:21" x14ac:dyDescent="0.35">
      <c r="A2849" s="1"/>
      <c r="U2849">
        <v>15.7584</v>
      </c>
    </row>
    <row r="2850" spans="1:21" x14ac:dyDescent="0.35">
      <c r="A2850" s="1"/>
      <c r="U2850">
        <v>1264.7559000000001</v>
      </c>
    </row>
    <row r="2851" spans="1:21" x14ac:dyDescent="0.35">
      <c r="U2851">
        <v>-5.6993999999999998</v>
      </c>
    </row>
    <row r="2852" spans="1:21" x14ac:dyDescent="0.35">
      <c r="A2852" s="1"/>
      <c r="U2852">
        <v>-12.956799999999999</v>
      </c>
    </row>
    <row r="2853" spans="1:21" x14ac:dyDescent="0.35">
      <c r="U2853">
        <v>13.235200000000001</v>
      </c>
    </row>
    <row r="2854" spans="1:21" x14ac:dyDescent="0.35">
      <c r="U2854">
        <v>6.8907999999999996</v>
      </c>
    </row>
    <row r="2855" spans="1:21" x14ac:dyDescent="0.35">
      <c r="U2855">
        <v>6.9088000000000003</v>
      </c>
    </row>
    <row r="2856" spans="1:21" x14ac:dyDescent="0.35">
      <c r="U2856">
        <v>10.4754</v>
      </c>
    </row>
    <row r="2857" spans="1:21" x14ac:dyDescent="0.35">
      <c r="U2857">
        <v>9.5081000000000007</v>
      </c>
    </row>
    <row r="2858" spans="1:21" x14ac:dyDescent="0.35">
      <c r="U2858">
        <v>100.196</v>
      </c>
    </row>
    <row r="2859" spans="1:21" x14ac:dyDescent="0.35">
      <c r="U2859">
        <v>22.529599999999999</v>
      </c>
    </row>
    <row r="2860" spans="1:21" x14ac:dyDescent="0.35">
      <c r="U2860">
        <v>4.0679999999999996</v>
      </c>
    </row>
    <row r="2861" spans="1:21" x14ac:dyDescent="0.35">
      <c r="U2861">
        <v>98.272199999999998</v>
      </c>
    </row>
    <row r="2862" spans="1:21" x14ac:dyDescent="0.35">
      <c r="U2862">
        <v>374.62860000000001</v>
      </c>
    </row>
    <row r="2863" spans="1:21" x14ac:dyDescent="0.35">
      <c r="U2863">
        <v>140.59569999999999</v>
      </c>
    </row>
    <row r="2864" spans="1:21" x14ac:dyDescent="0.35">
      <c r="A2864" s="1"/>
      <c r="U2864">
        <v>7.2576000000000001</v>
      </c>
    </row>
    <row r="2865" spans="1:21" x14ac:dyDescent="0.35">
      <c r="U2865">
        <v>8.4887999999999995</v>
      </c>
    </row>
    <row r="2866" spans="1:21" x14ac:dyDescent="0.35">
      <c r="U2866">
        <v>22.6233</v>
      </c>
    </row>
    <row r="2867" spans="1:21" x14ac:dyDescent="0.35">
      <c r="U2867">
        <v>15.475199999999999</v>
      </c>
    </row>
    <row r="2868" spans="1:21" x14ac:dyDescent="0.35">
      <c r="U2868">
        <v>9.2568000000000001</v>
      </c>
    </row>
    <row r="2869" spans="1:21" x14ac:dyDescent="0.35">
      <c r="A2869" s="1"/>
      <c r="U2869">
        <v>-3.3119999999999998</v>
      </c>
    </row>
    <row r="2870" spans="1:21" x14ac:dyDescent="0.35">
      <c r="A2870" s="1"/>
      <c r="U2870">
        <v>-2.4359999999999999</v>
      </c>
    </row>
    <row r="2871" spans="1:21" x14ac:dyDescent="0.35">
      <c r="A2871" s="1"/>
      <c r="U2871">
        <v>1.0680000000000001</v>
      </c>
    </row>
    <row r="2872" spans="1:21" x14ac:dyDescent="0.35">
      <c r="U2872">
        <v>23.234999999999999</v>
      </c>
    </row>
    <row r="2873" spans="1:21" x14ac:dyDescent="0.35">
      <c r="U2873">
        <v>-35.364600000000003</v>
      </c>
    </row>
    <row r="2874" spans="1:21" x14ac:dyDescent="0.35">
      <c r="U2874">
        <v>1.7465999999999999</v>
      </c>
    </row>
    <row r="2875" spans="1:21" x14ac:dyDescent="0.35">
      <c r="U2875">
        <v>24.3384</v>
      </c>
    </row>
    <row r="2876" spans="1:21" x14ac:dyDescent="0.35">
      <c r="U2876">
        <v>2.9546999999999999</v>
      </c>
    </row>
    <row r="2877" spans="1:21" x14ac:dyDescent="0.35">
      <c r="U2877">
        <v>-5.7587999999999999</v>
      </c>
    </row>
    <row r="2878" spans="1:21" x14ac:dyDescent="0.35">
      <c r="U2878">
        <v>76.011600000000001</v>
      </c>
    </row>
    <row r="2879" spans="1:21" x14ac:dyDescent="0.35">
      <c r="U2879">
        <v>24.599799999999998</v>
      </c>
    </row>
    <row r="2880" spans="1:21" x14ac:dyDescent="0.35">
      <c r="U2880">
        <v>1.3513999999999999</v>
      </c>
    </row>
    <row r="2881" spans="1:21" x14ac:dyDescent="0.35">
      <c r="U2881">
        <v>91.789199999999994</v>
      </c>
    </row>
    <row r="2882" spans="1:21" x14ac:dyDescent="0.35">
      <c r="U2882">
        <v>12.72</v>
      </c>
    </row>
    <row r="2883" spans="1:21" x14ac:dyDescent="0.35">
      <c r="U2883">
        <v>8.0997000000000003</v>
      </c>
    </row>
    <row r="2884" spans="1:21" x14ac:dyDescent="0.35">
      <c r="U2884">
        <v>-13.717499999999999</v>
      </c>
    </row>
    <row r="2885" spans="1:21" x14ac:dyDescent="0.35">
      <c r="A2885" s="1"/>
      <c r="U2885">
        <v>2.2271999999999998</v>
      </c>
    </row>
    <row r="2886" spans="1:21" x14ac:dyDescent="0.35">
      <c r="U2886">
        <v>5.8914</v>
      </c>
    </row>
    <row r="2887" spans="1:21" x14ac:dyDescent="0.35">
      <c r="U2887">
        <v>-34.640999999999998</v>
      </c>
    </row>
    <row r="2888" spans="1:21" x14ac:dyDescent="0.35">
      <c r="U2888">
        <v>1.7901</v>
      </c>
    </row>
    <row r="2889" spans="1:21" x14ac:dyDescent="0.35">
      <c r="U2889">
        <v>6.2207999999999997</v>
      </c>
    </row>
    <row r="2890" spans="1:21" x14ac:dyDescent="0.35">
      <c r="U2890">
        <v>15.552</v>
      </c>
    </row>
    <row r="2891" spans="1:21" x14ac:dyDescent="0.35">
      <c r="A2891" s="1"/>
      <c r="U2891">
        <v>10.7325</v>
      </c>
    </row>
    <row r="2892" spans="1:21" x14ac:dyDescent="0.35">
      <c r="U2892">
        <v>12.99</v>
      </c>
    </row>
    <row r="2893" spans="1:21" x14ac:dyDescent="0.35">
      <c r="U2893">
        <v>8.6112000000000002</v>
      </c>
    </row>
    <row r="2894" spans="1:21" x14ac:dyDescent="0.35">
      <c r="U2894">
        <v>5.6643999999999997</v>
      </c>
    </row>
    <row r="2895" spans="1:21" x14ac:dyDescent="0.35">
      <c r="U2895">
        <v>11.88</v>
      </c>
    </row>
    <row r="2896" spans="1:21" x14ac:dyDescent="0.35">
      <c r="U2896">
        <v>29.0136</v>
      </c>
    </row>
    <row r="2897" spans="1:21" x14ac:dyDescent="0.35">
      <c r="U2897">
        <v>10.0464</v>
      </c>
    </row>
    <row r="2898" spans="1:21" x14ac:dyDescent="0.35">
      <c r="U2898">
        <v>20.853000000000002</v>
      </c>
    </row>
    <row r="2899" spans="1:21" x14ac:dyDescent="0.35">
      <c r="A2899" s="1"/>
      <c r="U2899">
        <v>119.996</v>
      </c>
    </row>
    <row r="2900" spans="1:21" x14ac:dyDescent="0.35">
      <c r="U2900">
        <v>-5.8346</v>
      </c>
    </row>
    <row r="2901" spans="1:21" x14ac:dyDescent="0.35">
      <c r="A2901" s="1"/>
      <c r="U2901">
        <v>59.997999999999998</v>
      </c>
    </row>
    <row r="2902" spans="1:21" x14ac:dyDescent="0.35">
      <c r="A2902" s="1"/>
      <c r="U2902">
        <v>6.048</v>
      </c>
    </row>
    <row r="2903" spans="1:21" x14ac:dyDescent="0.35">
      <c r="A2903" s="1"/>
      <c r="U2903">
        <v>84.943600000000004</v>
      </c>
    </row>
    <row r="2904" spans="1:21" x14ac:dyDescent="0.35">
      <c r="A2904" s="1"/>
      <c r="U2904">
        <v>8.3810000000000002</v>
      </c>
    </row>
    <row r="2905" spans="1:21" x14ac:dyDescent="0.35">
      <c r="U2905">
        <v>12.175800000000001</v>
      </c>
    </row>
    <row r="2906" spans="1:21" x14ac:dyDescent="0.35">
      <c r="U2906">
        <v>-7.7093999999999996</v>
      </c>
    </row>
    <row r="2907" spans="1:21" x14ac:dyDescent="0.35">
      <c r="U2907">
        <v>80.631200000000007</v>
      </c>
    </row>
    <row r="2908" spans="1:21" x14ac:dyDescent="0.35">
      <c r="A2908" s="1"/>
      <c r="U2908">
        <v>3.8519999999999999</v>
      </c>
    </row>
    <row r="2909" spans="1:21" x14ac:dyDescent="0.35">
      <c r="A2909" s="1"/>
      <c r="U2909">
        <v>14.148</v>
      </c>
    </row>
    <row r="2910" spans="1:21" x14ac:dyDescent="0.35">
      <c r="A2910" s="1"/>
      <c r="U2910">
        <v>6.8723999999999998</v>
      </c>
    </row>
    <row r="2911" spans="1:21" x14ac:dyDescent="0.35">
      <c r="U2911">
        <v>0.22439999999999999</v>
      </c>
    </row>
    <row r="2912" spans="1:21" x14ac:dyDescent="0.35">
      <c r="A2912" s="1"/>
      <c r="U2912">
        <v>24.196000000000002</v>
      </c>
    </row>
    <row r="2913" spans="1:21" x14ac:dyDescent="0.35">
      <c r="U2913">
        <v>19.457999999999998</v>
      </c>
    </row>
    <row r="2914" spans="1:21" x14ac:dyDescent="0.35">
      <c r="U2914">
        <v>10.5</v>
      </c>
    </row>
    <row r="2915" spans="1:21" x14ac:dyDescent="0.35">
      <c r="U2915">
        <v>14.3376</v>
      </c>
    </row>
    <row r="2916" spans="1:21" x14ac:dyDescent="0.35">
      <c r="A2916" s="1"/>
      <c r="U2916">
        <v>35.287199999999999</v>
      </c>
    </row>
    <row r="2917" spans="1:21" x14ac:dyDescent="0.35">
      <c r="A2917" s="1"/>
      <c r="U2917">
        <v>5.6520000000000001</v>
      </c>
    </row>
    <row r="2918" spans="1:21" x14ac:dyDescent="0.35">
      <c r="A2918" s="1"/>
      <c r="U2918">
        <v>71.269199999999998</v>
      </c>
    </row>
    <row r="2919" spans="1:21" x14ac:dyDescent="0.35">
      <c r="U2919">
        <v>0.372</v>
      </c>
    </row>
    <row r="2920" spans="1:21" x14ac:dyDescent="0.35">
      <c r="U2920">
        <v>2.37</v>
      </c>
    </row>
    <row r="2921" spans="1:21" x14ac:dyDescent="0.35">
      <c r="U2921">
        <v>3.9512</v>
      </c>
    </row>
    <row r="2922" spans="1:21" x14ac:dyDescent="0.35">
      <c r="U2922">
        <v>12.3284</v>
      </c>
    </row>
    <row r="2923" spans="1:21" x14ac:dyDescent="0.35">
      <c r="U2923">
        <v>6.4649999999999999</v>
      </c>
    </row>
    <row r="2924" spans="1:21" x14ac:dyDescent="0.35">
      <c r="U2924">
        <v>-5.8230000000000004</v>
      </c>
    </row>
    <row r="2925" spans="1:21" x14ac:dyDescent="0.35">
      <c r="U2925">
        <v>3.04</v>
      </c>
    </row>
    <row r="2926" spans="1:21" x14ac:dyDescent="0.35">
      <c r="A2926" s="1"/>
      <c r="U2926">
        <v>8.9550000000000001</v>
      </c>
    </row>
    <row r="2927" spans="1:21" x14ac:dyDescent="0.35">
      <c r="A2927" s="1"/>
      <c r="U2927">
        <v>4.9497</v>
      </c>
    </row>
    <row r="2928" spans="1:21" x14ac:dyDescent="0.35">
      <c r="A2928" s="1"/>
      <c r="U2928">
        <v>7.9127999999999998</v>
      </c>
    </row>
    <row r="2929" spans="1:21" x14ac:dyDescent="0.35">
      <c r="A2929" s="1"/>
      <c r="U2929">
        <v>2.5055999999999998</v>
      </c>
    </row>
    <row r="2930" spans="1:21" x14ac:dyDescent="0.35">
      <c r="U2930">
        <v>-1306.5504000000001</v>
      </c>
    </row>
    <row r="2931" spans="1:21" x14ac:dyDescent="0.35">
      <c r="U2931">
        <v>8.2992000000000008</v>
      </c>
    </row>
    <row r="2932" spans="1:21" x14ac:dyDescent="0.35">
      <c r="A2932" s="1"/>
      <c r="U2932">
        <v>2.2302</v>
      </c>
    </row>
    <row r="2933" spans="1:21" x14ac:dyDescent="0.35">
      <c r="A2933" s="1"/>
      <c r="U2933">
        <v>2.73</v>
      </c>
    </row>
    <row r="2934" spans="1:21" x14ac:dyDescent="0.35">
      <c r="A2934" s="1"/>
      <c r="U2934">
        <v>10.8588</v>
      </c>
    </row>
    <row r="2935" spans="1:21" x14ac:dyDescent="0.35">
      <c r="A2935" s="1"/>
      <c r="U2935">
        <v>13.7193</v>
      </c>
    </row>
    <row r="2936" spans="1:21" x14ac:dyDescent="0.35">
      <c r="A2936" s="1"/>
      <c r="U2936">
        <v>26.9985</v>
      </c>
    </row>
    <row r="2937" spans="1:21" x14ac:dyDescent="0.35">
      <c r="A2937" s="1"/>
      <c r="U2937">
        <v>16.150500000000001</v>
      </c>
    </row>
    <row r="2938" spans="1:21" x14ac:dyDescent="0.35">
      <c r="A2938" s="1"/>
      <c r="U2938">
        <v>15.342599999999999</v>
      </c>
    </row>
    <row r="2939" spans="1:21" x14ac:dyDescent="0.35">
      <c r="A2939" s="1"/>
      <c r="U2939">
        <v>116.5976</v>
      </c>
    </row>
    <row r="2940" spans="1:21" x14ac:dyDescent="0.35">
      <c r="A2940" s="1"/>
      <c r="U2940">
        <v>89.159000000000006</v>
      </c>
    </row>
    <row r="2941" spans="1:21" x14ac:dyDescent="0.35">
      <c r="A2941" s="1"/>
      <c r="U2941">
        <v>19.4376</v>
      </c>
    </row>
    <row r="2942" spans="1:21" x14ac:dyDescent="0.35">
      <c r="U2942">
        <v>14.558400000000001</v>
      </c>
    </row>
    <row r="2943" spans="1:21" x14ac:dyDescent="0.35">
      <c r="U2943">
        <v>427.43680000000001</v>
      </c>
    </row>
    <row r="2944" spans="1:21" x14ac:dyDescent="0.35">
      <c r="U2944">
        <v>40.5867</v>
      </c>
    </row>
    <row r="2945" spans="1:21" x14ac:dyDescent="0.35">
      <c r="U2945">
        <v>76.252499999999998</v>
      </c>
    </row>
    <row r="2946" spans="1:21" x14ac:dyDescent="0.35">
      <c r="U2946">
        <v>7.1059999999999999</v>
      </c>
    </row>
    <row r="2947" spans="1:21" x14ac:dyDescent="0.35">
      <c r="A2947" s="1"/>
      <c r="U2947">
        <v>16.464700000000001</v>
      </c>
    </row>
    <row r="2948" spans="1:21" x14ac:dyDescent="0.35">
      <c r="U2948">
        <v>11.025</v>
      </c>
    </row>
    <row r="2949" spans="1:21" x14ac:dyDescent="0.35">
      <c r="U2949">
        <v>22.736000000000001</v>
      </c>
    </row>
    <row r="2950" spans="1:21" x14ac:dyDescent="0.35">
      <c r="U2950">
        <v>20.539000000000001</v>
      </c>
    </row>
    <row r="2951" spans="1:21" x14ac:dyDescent="0.35">
      <c r="A2951" s="1"/>
      <c r="U2951">
        <v>13</v>
      </c>
    </row>
    <row r="2952" spans="1:21" x14ac:dyDescent="0.35">
      <c r="A2952" s="1"/>
      <c r="U2952">
        <v>8.3810000000000002</v>
      </c>
    </row>
    <row r="2953" spans="1:21" x14ac:dyDescent="0.35">
      <c r="A2953" s="1"/>
      <c r="U2953">
        <v>9.9651999999999994</v>
      </c>
    </row>
    <row r="2954" spans="1:21" x14ac:dyDescent="0.35">
      <c r="A2954" s="1"/>
      <c r="U2954">
        <v>-5.6783999999999999</v>
      </c>
    </row>
    <row r="2955" spans="1:21" x14ac:dyDescent="0.35">
      <c r="A2955" s="1"/>
      <c r="U2955">
        <v>0.69299999999999995</v>
      </c>
    </row>
    <row r="2956" spans="1:21" x14ac:dyDescent="0.35">
      <c r="A2956" s="1"/>
      <c r="U2956">
        <v>50.398800000000001</v>
      </c>
    </row>
    <row r="2957" spans="1:21" x14ac:dyDescent="0.35">
      <c r="U2957">
        <v>11.597099999999999</v>
      </c>
    </row>
    <row r="2958" spans="1:21" x14ac:dyDescent="0.35">
      <c r="U2958">
        <v>31.940999999999999</v>
      </c>
    </row>
    <row r="2959" spans="1:21" x14ac:dyDescent="0.35">
      <c r="A2959" s="1"/>
      <c r="U2959">
        <v>-1.9275</v>
      </c>
    </row>
    <row r="2960" spans="1:21" x14ac:dyDescent="0.35">
      <c r="U2960">
        <v>7.2267999999999999</v>
      </c>
    </row>
    <row r="2961" spans="1:21" x14ac:dyDescent="0.35">
      <c r="U2961">
        <v>21.5824</v>
      </c>
    </row>
    <row r="2962" spans="1:21" x14ac:dyDescent="0.35">
      <c r="U2962">
        <v>9.3564000000000007</v>
      </c>
    </row>
    <row r="2963" spans="1:21" x14ac:dyDescent="0.35">
      <c r="U2963">
        <v>19.247199999999999</v>
      </c>
    </row>
    <row r="2964" spans="1:21" x14ac:dyDescent="0.35">
      <c r="U2964">
        <v>9.1763999999999992</v>
      </c>
    </row>
    <row r="2965" spans="1:21" x14ac:dyDescent="0.35">
      <c r="U2965">
        <v>6.0739999999999998</v>
      </c>
    </row>
    <row r="2966" spans="1:21" x14ac:dyDescent="0.35">
      <c r="U2966">
        <v>8.2080000000000002</v>
      </c>
    </row>
    <row r="2967" spans="1:21" x14ac:dyDescent="0.35">
      <c r="U2967">
        <v>7.5839999999999996</v>
      </c>
    </row>
    <row r="2968" spans="1:21" x14ac:dyDescent="0.35">
      <c r="U2968">
        <v>-19.7712</v>
      </c>
    </row>
    <row r="2969" spans="1:21" x14ac:dyDescent="0.35">
      <c r="U2969">
        <v>3.0015999999999998</v>
      </c>
    </row>
    <row r="2970" spans="1:21" x14ac:dyDescent="0.35">
      <c r="A2970" s="1"/>
      <c r="U2970">
        <v>43.7136</v>
      </c>
    </row>
    <row r="2971" spans="1:21" x14ac:dyDescent="0.35">
      <c r="A2971" s="1"/>
      <c r="U2971">
        <v>10.8864</v>
      </c>
    </row>
    <row r="2972" spans="1:21" x14ac:dyDescent="0.35">
      <c r="A2972" s="1"/>
      <c r="U2972">
        <v>-10.617599999999999</v>
      </c>
    </row>
    <row r="2973" spans="1:21" x14ac:dyDescent="0.35">
      <c r="A2973" s="1"/>
      <c r="U2973">
        <v>6.3612000000000002</v>
      </c>
    </row>
    <row r="2974" spans="1:21" x14ac:dyDescent="0.35">
      <c r="A2974" s="1"/>
      <c r="U2974">
        <v>-51.827199999999998</v>
      </c>
    </row>
    <row r="2975" spans="1:21" x14ac:dyDescent="0.35">
      <c r="U2975">
        <v>5.1840000000000002</v>
      </c>
    </row>
    <row r="2976" spans="1:21" x14ac:dyDescent="0.35">
      <c r="A2976" s="1"/>
      <c r="U2976">
        <v>-31.372199999999999</v>
      </c>
    </row>
    <row r="2977" spans="1:21" x14ac:dyDescent="0.35">
      <c r="A2977" s="1"/>
      <c r="U2977">
        <v>5.3784000000000001</v>
      </c>
    </row>
    <row r="2978" spans="1:21" x14ac:dyDescent="0.35">
      <c r="A2978" s="1"/>
      <c r="U2978">
        <v>-2.6936</v>
      </c>
    </row>
    <row r="2979" spans="1:21" x14ac:dyDescent="0.35">
      <c r="A2979" s="1"/>
      <c r="U2979">
        <v>5.8708</v>
      </c>
    </row>
    <row r="2980" spans="1:21" x14ac:dyDescent="0.35">
      <c r="U2980">
        <v>87.350399999999993</v>
      </c>
    </row>
    <row r="2981" spans="1:21" x14ac:dyDescent="0.35">
      <c r="A2981" s="1"/>
      <c r="U2981">
        <v>7.2576000000000001</v>
      </c>
    </row>
    <row r="2982" spans="1:21" x14ac:dyDescent="0.35">
      <c r="A2982" s="1"/>
      <c r="U2982">
        <v>4.3296000000000001</v>
      </c>
    </row>
    <row r="2983" spans="1:21" x14ac:dyDescent="0.35">
      <c r="A2983" s="1"/>
      <c r="U2983">
        <v>13.8528</v>
      </c>
    </row>
    <row r="2984" spans="1:21" x14ac:dyDescent="0.35">
      <c r="A2984" s="1"/>
      <c r="U2984">
        <v>3.8016000000000001</v>
      </c>
    </row>
    <row r="2985" spans="1:21" x14ac:dyDescent="0.35">
      <c r="A2985" s="1"/>
      <c r="U2985">
        <v>4.6745999999999999</v>
      </c>
    </row>
    <row r="2986" spans="1:21" x14ac:dyDescent="0.35">
      <c r="A2986" s="1"/>
      <c r="U2986">
        <v>-170.8038</v>
      </c>
    </row>
    <row r="2987" spans="1:21" x14ac:dyDescent="0.35">
      <c r="U2987">
        <v>6.24</v>
      </c>
    </row>
    <row r="2988" spans="1:21" x14ac:dyDescent="0.35">
      <c r="U2988">
        <v>9.2927999999999997</v>
      </c>
    </row>
    <row r="2989" spans="1:21" x14ac:dyDescent="0.35">
      <c r="U2989">
        <v>152.11799999999999</v>
      </c>
    </row>
    <row r="2990" spans="1:21" x14ac:dyDescent="0.35">
      <c r="U2990">
        <v>0.77939999999999998</v>
      </c>
    </row>
    <row r="2991" spans="1:21" x14ac:dyDescent="0.35">
      <c r="U2991">
        <v>6.4960000000000004</v>
      </c>
    </row>
    <row r="2992" spans="1:21" x14ac:dyDescent="0.35">
      <c r="U2992">
        <v>8.9830000000000005</v>
      </c>
    </row>
    <row r="2993" spans="1:21" x14ac:dyDescent="0.35">
      <c r="U2993">
        <v>10.9368</v>
      </c>
    </row>
    <row r="2994" spans="1:21" x14ac:dyDescent="0.35">
      <c r="A2994" s="1"/>
      <c r="U2994">
        <v>16.588799999999999</v>
      </c>
    </row>
    <row r="2995" spans="1:21" x14ac:dyDescent="0.35">
      <c r="A2995" s="1"/>
      <c r="U2995">
        <v>421.08240000000001</v>
      </c>
    </row>
    <row r="2996" spans="1:21" x14ac:dyDescent="0.35">
      <c r="A2996" s="1"/>
      <c r="U2996">
        <v>18.684000000000001</v>
      </c>
    </row>
    <row r="2997" spans="1:21" x14ac:dyDescent="0.35">
      <c r="U2997">
        <v>6.2910000000000004</v>
      </c>
    </row>
    <row r="2998" spans="1:21" x14ac:dyDescent="0.35">
      <c r="U2998">
        <v>8.4024000000000001</v>
      </c>
    </row>
    <row r="2999" spans="1:21" x14ac:dyDescent="0.35">
      <c r="U2999">
        <v>0.64739999999999998</v>
      </c>
    </row>
    <row r="3000" spans="1:21" x14ac:dyDescent="0.35">
      <c r="U3000">
        <v>28.790400000000002</v>
      </c>
    </row>
    <row r="3001" spans="1:21" x14ac:dyDescent="0.35">
      <c r="U3001">
        <v>-172.49250000000001</v>
      </c>
    </row>
    <row r="3002" spans="1:21" x14ac:dyDescent="0.35">
      <c r="U3002">
        <v>3.8864000000000001</v>
      </c>
    </row>
    <row r="3003" spans="1:21" x14ac:dyDescent="0.35">
      <c r="U3003">
        <v>-7.2047999999999996</v>
      </c>
    </row>
    <row r="3004" spans="1:21" x14ac:dyDescent="0.35">
      <c r="A3004" s="1"/>
      <c r="U3004">
        <v>8.93</v>
      </c>
    </row>
    <row r="3005" spans="1:21" x14ac:dyDescent="0.35">
      <c r="U3005">
        <v>10.43</v>
      </c>
    </row>
    <row r="3006" spans="1:21" x14ac:dyDescent="0.35">
      <c r="A3006" s="1"/>
      <c r="U3006">
        <v>62.244</v>
      </c>
    </row>
    <row r="3007" spans="1:21" x14ac:dyDescent="0.35">
      <c r="U3007">
        <v>45.84</v>
      </c>
    </row>
    <row r="3008" spans="1:21" x14ac:dyDescent="0.35">
      <c r="U3008">
        <v>253.37200000000001</v>
      </c>
    </row>
    <row r="3009" spans="1:21" x14ac:dyDescent="0.35">
      <c r="U3009">
        <v>11.138400000000001</v>
      </c>
    </row>
    <row r="3010" spans="1:21" x14ac:dyDescent="0.35">
      <c r="A3010" s="1"/>
      <c r="U3010">
        <v>74.809799999999996</v>
      </c>
    </row>
    <row r="3011" spans="1:21" x14ac:dyDescent="0.35">
      <c r="U3011">
        <v>27.436499999999999</v>
      </c>
    </row>
    <row r="3012" spans="1:21" x14ac:dyDescent="0.35">
      <c r="U3012">
        <v>-9.2230000000000008</v>
      </c>
    </row>
    <row r="3013" spans="1:21" x14ac:dyDescent="0.35">
      <c r="U3013">
        <v>-3399.98</v>
      </c>
    </row>
    <row r="3014" spans="1:21" x14ac:dyDescent="0.35">
      <c r="U3014">
        <v>-15.835599999999999</v>
      </c>
    </row>
    <row r="3015" spans="1:21" x14ac:dyDescent="0.35">
      <c r="U3015">
        <v>-6.5735999999999999</v>
      </c>
    </row>
    <row r="3016" spans="1:21" x14ac:dyDescent="0.35">
      <c r="U3016">
        <v>7.2576000000000001</v>
      </c>
    </row>
    <row r="3017" spans="1:21" x14ac:dyDescent="0.35">
      <c r="U3017">
        <v>-103.26600000000001</v>
      </c>
    </row>
    <row r="3018" spans="1:21" x14ac:dyDescent="0.35">
      <c r="U3018">
        <v>-172.7328</v>
      </c>
    </row>
    <row r="3019" spans="1:21" x14ac:dyDescent="0.35">
      <c r="U3019">
        <v>-10.1736</v>
      </c>
    </row>
    <row r="3020" spans="1:21" x14ac:dyDescent="0.35">
      <c r="U3020">
        <v>-33.32</v>
      </c>
    </row>
    <row r="3021" spans="1:21" x14ac:dyDescent="0.35">
      <c r="A3021" s="1"/>
      <c r="U3021">
        <v>0.2016</v>
      </c>
    </row>
    <row r="3022" spans="1:21" x14ac:dyDescent="0.35">
      <c r="A3022" s="1"/>
      <c r="U3022">
        <v>41.823</v>
      </c>
    </row>
    <row r="3023" spans="1:21" x14ac:dyDescent="0.35">
      <c r="A3023" s="1"/>
      <c r="U3023">
        <v>22.0077</v>
      </c>
    </row>
    <row r="3024" spans="1:21" x14ac:dyDescent="0.35">
      <c r="A3024" s="1"/>
      <c r="U3024">
        <v>28.65</v>
      </c>
    </row>
    <row r="3025" spans="1:21" x14ac:dyDescent="0.35">
      <c r="U3025">
        <v>-14.4588</v>
      </c>
    </row>
    <row r="3026" spans="1:21" x14ac:dyDescent="0.35">
      <c r="A3026" s="1"/>
      <c r="U3026">
        <v>17.6418</v>
      </c>
    </row>
    <row r="3027" spans="1:21" x14ac:dyDescent="0.35">
      <c r="A3027" s="1"/>
      <c r="U3027">
        <v>8.0730000000000004</v>
      </c>
    </row>
    <row r="3028" spans="1:21" x14ac:dyDescent="0.35">
      <c r="U3028">
        <v>0</v>
      </c>
    </row>
    <row r="3029" spans="1:21" x14ac:dyDescent="0.35">
      <c r="U3029">
        <v>2.6936</v>
      </c>
    </row>
    <row r="3030" spans="1:21" x14ac:dyDescent="0.35">
      <c r="U3030">
        <v>80.784000000000006</v>
      </c>
    </row>
    <row r="3031" spans="1:21" x14ac:dyDescent="0.35">
      <c r="U3031">
        <v>25.198</v>
      </c>
    </row>
    <row r="3032" spans="1:21" x14ac:dyDescent="0.35">
      <c r="U3032">
        <v>31.091200000000001</v>
      </c>
    </row>
    <row r="3033" spans="1:21" x14ac:dyDescent="0.35">
      <c r="U3033">
        <v>7.5370999999999997</v>
      </c>
    </row>
    <row r="3034" spans="1:21" x14ac:dyDescent="0.35">
      <c r="U3034">
        <v>-12.196</v>
      </c>
    </row>
    <row r="3035" spans="1:21" x14ac:dyDescent="0.35">
      <c r="U3035">
        <v>7.2576000000000001</v>
      </c>
    </row>
    <row r="3036" spans="1:21" x14ac:dyDescent="0.35">
      <c r="A3036" s="1"/>
      <c r="U3036">
        <v>10.202999999999999</v>
      </c>
    </row>
    <row r="3037" spans="1:21" x14ac:dyDescent="0.35">
      <c r="A3037" s="1"/>
      <c r="U3037">
        <v>16.679600000000001</v>
      </c>
    </row>
    <row r="3038" spans="1:21" x14ac:dyDescent="0.35">
      <c r="A3038" s="1"/>
      <c r="U3038">
        <v>15.763999999999999</v>
      </c>
    </row>
    <row r="3039" spans="1:21" x14ac:dyDescent="0.35">
      <c r="A3039" s="1"/>
      <c r="U3039">
        <v>15.552</v>
      </c>
    </row>
    <row r="3040" spans="1:21" x14ac:dyDescent="0.35">
      <c r="A3040" s="1"/>
      <c r="U3040">
        <v>10.789199999999999</v>
      </c>
    </row>
    <row r="3041" spans="1:21" x14ac:dyDescent="0.35">
      <c r="A3041" s="1"/>
      <c r="U3041">
        <v>-6.4233000000000002</v>
      </c>
    </row>
    <row r="3042" spans="1:21" x14ac:dyDescent="0.35">
      <c r="A3042" s="1"/>
      <c r="U3042">
        <v>3.3439999999999999</v>
      </c>
    </row>
    <row r="3043" spans="1:21" x14ac:dyDescent="0.35">
      <c r="A3043" s="1"/>
      <c r="U3043">
        <v>6.2207999999999997</v>
      </c>
    </row>
    <row r="3044" spans="1:21" x14ac:dyDescent="0.35">
      <c r="A3044" s="1"/>
      <c r="U3044">
        <v>10.8682</v>
      </c>
    </row>
    <row r="3045" spans="1:21" x14ac:dyDescent="0.35">
      <c r="A3045" s="1"/>
      <c r="U3045">
        <v>256.78399999999999</v>
      </c>
    </row>
    <row r="3046" spans="1:21" x14ac:dyDescent="0.35">
      <c r="U3046">
        <v>-255.74250000000001</v>
      </c>
    </row>
    <row r="3047" spans="1:21" x14ac:dyDescent="0.35">
      <c r="A3047" s="1"/>
      <c r="U3047">
        <v>3.6139999999999999</v>
      </c>
    </row>
    <row r="3048" spans="1:21" x14ac:dyDescent="0.35">
      <c r="A3048" s="1"/>
      <c r="U3048">
        <v>12.1348</v>
      </c>
    </row>
    <row r="3049" spans="1:21" x14ac:dyDescent="0.35">
      <c r="U3049">
        <v>13.4925</v>
      </c>
    </row>
    <row r="3050" spans="1:21" x14ac:dyDescent="0.35">
      <c r="A3050" s="1"/>
      <c r="U3050">
        <v>70.006</v>
      </c>
    </row>
    <row r="3051" spans="1:21" x14ac:dyDescent="0.35">
      <c r="A3051" s="1"/>
      <c r="U3051">
        <v>129.6</v>
      </c>
    </row>
    <row r="3052" spans="1:21" x14ac:dyDescent="0.35">
      <c r="A3052" s="1"/>
      <c r="U3052">
        <v>2.9371999999999998</v>
      </c>
    </row>
    <row r="3053" spans="1:21" x14ac:dyDescent="0.35">
      <c r="A3053" s="1"/>
      <c r="U3053">
        <v>66.073599999999999</v>
      </c>
    </row>
    <row r="3054" spans="1:21" x14ac:dyDescent="0.35">
      <c r="A3054" s="1"/>
      <c r="U3054">
        <v>18.211200000000002</v>
      </c>
    </row>
    <row r="3055" spans="1:21" x14ac:dyDescent="0.35">
      <c r="A3055" s="1"/>
      <c r="U3055">
        <v>134.654</v>
      </c>
    </row>
    <row r="3056" spans="1:21" x14ac:dyDescent="0.35">
      <c r="A3056" s="1"/>
      <c r="U3056">
        <v>2.4287999999999998</v>
      </c>
    </row>
    <row r="3057" spans="1:21" x14ac:dyDescent="0.35">
      <c r="U3057">
        <v>874.98749999999995</v>
      </c>
    </row>
    <row r="3058" spans="1:21" x14ac:dyDescent="0.35">
      <c r="U3058">
        <v>4.3007999999999997</v>
      </c>
    </row>
    <row r="3059" spans="1:21" x14ac:dyDescent="0.35">
      <c r="U3059">
        <v>15.12</v>
      </c>
    </row>
    <row r="3060" spans="1:21" x14ac:dyDescent="0.35">
      <c r="U3060">
        <v>10.3904</v>
      </c>
    </row>
    <row r="3061" spans="1:21" x14ac:dyDescent="0.35">
      <c r="U3061">
        <v>-3.3506</v>
      </c>
    </row>
    <row r="3062" spans="1:21" x14ac:dyDescent="0.35">
      <c r="A3062" s="1"/>
      <c r="U3062">
        <v>22.4955</v>
      </c>
    </row>
    <row r="3063" spans="1:21" x14ac:dyDescent="0.35">
      <c r="A3063" s="1"/>
      <c r="U3063">
        <v>9.7439999999999998</v>
      </c>
    </row>
    <row r="3064" spans="1:21" x14ac:dyDescent="0.35">
      <c r="U3064">
        <v>23.511600000000001</v>
      </c>
    </row>
    <row r="3065" spans="1:21" x14ac:dyDescent="0.35">
      <c r="U3065">
        <v>7.3479000000000001</v>
      </c>
    </row>
    <row r="3066" spans="1:21" x14ac:dyDescent="0.35">
      <c r="U3066">
        <v>25.423999999999999</v>
      </c>
    </row>
    <row r="3067" spans="1:21" x14ac:dyDescent="0.35">
      <c r="U3067">
        <v>49.257599999999996</v>
      </c>
    </row>
    <row r="3068" spans="1:21" x14ac:dyDescent="0.35">
      <c r="U3068">
        <v>88.129499999999993</v>
      </c>
    </row>
    <row r="3069" spans="1:21" x14ac:dyDescent="0.35">
      <c r="U3069">
        <v>21.7728</v>
      </c>
    </row>
    <row r="3070" spans="1:21" x14ac:dyDescent="0.35">
      <c r="U3070">
        <v>138.3552</v>
      </c>
    </row>
    <row r="3071" spans="1:21" x14ac:dyDescent="0.35">
      <c r="U3071">
        <v>82.992000000000004</v>
      </c>
    </row>
    <row r="3072" spans="1:21" x14ac:dyDescent="0.35">
      <c r="U3072">
        <v>792.26909999999998</v>
      </c>
    </row>
    <row r="3073" spans="1:21" x14ac:dyDescent="0.35">
      <c r="U3073">
        <v>14.9292</v>
      </c>
    </row>
    <row r="3074" spans="1:21" x14ac:dyDescent="0.35">
      <c r="U3074">
        <v>26.565000000000001</v>
      </c>
    </row>
    <row r="3075" spans="1:21" x14ac:dyDescent="0.35">
      <c r="A3075" s="1"/>
      <c r="U3075">
        <v>28.614999999999998</v>
      </c>
    </row>
    <row r="3076" spans="1:21" x14ac:dyDescent="0.35">
      <c r="A3076" s="1"/>
      <c r="U3076">
        <v>18.454799999999999</v>
      </c>
    </row>
    <row r="3077" spans="1:21" x14ac:dyDescent="0.35">
      <c r="U3077">
        <v>38.572200000000002</v>
      </c>
    </row>
    <row r="3078" spans="1:21" x14ac:dyDescent="0.35">
      <c r="U3078">
        <v>-14.228999999999999</v>
      </c>
    </row>
    <row r="3079" spans="1:21" x14ac:dyDescent="0.35">
      <c r="U3079">
        <v>-140.196</v>
      </c>
    </row>
    <row r="3080" spans="1:21" x14ac:dyDescent="0.35">
      <c r="U3080">
        <v>10.507199999999999</v>
      </c>
    </row>
    <row r="3081" spans="1:21" x14ac:dyDescent="0.35">
      <c r="A3081" s="1"/>
      <c r="U3081">
        <v>6.2207999999999997</v>
      </c>
    </row>
    <row r="3082" spans="1:21" x14ac:dyDescent="0.35">
      <c r="A3082" s="1"/>
      <c r="U3082">
        <v>15.111599999999999</v>
      </c>
    </row>
    <row r="3083" spans="1:21" x14ac:dyDescent="0.35">
      <c r="U3083">
        <v>28.0032</v>
      </c>
    </row>
    <row r="3084" spans="1:21" x14ac:dyDescent="0.35">
      <c r="U3084">
        <v>134.99250000000001</v>
      </c>
    </row>
    <row r="3085" spans="1:21" x14ac:dyDescent="0.35">
      <c r="U3085">
        <v>1.3257000000000001</v>
      </c>
    </row>
    <row r="3086" spans="1:21" x14ac:dyDescent="0.35">
      <c r="A3086" s="1"/>
      <c r="U3086">
        <v>-417.09359999999998</v>
      </c>
    </row>
    <row r="3087" spans="1:21" x14ac:dyDescent="0.35">
      <c r="A3087" s="1"/>
      <c r="U3087">
        <v>15.997999999999999</v>
      </c>
    </row>
    <row r="3088" spans="1:21" x14ac:dyDescent="0.35">
      <c r="A3088" s="1"/>
      <c r="U3088">
        <v>-2.6892</v>
      </c>
    </row>
    <row r="3089" spans="1:21" x14ac:dyDescent="0.35">
      <c r="A3089" s="1"/>
      <c r="U3089">
        <v>-32.479999999999997</v>
      </c>
    </row>
    <row r="3090" spans="1:21" x14ac:dyDescent="0.35">
      <c r="U3090">
        <v>25.62</v>
      </c>
    </row>
    <row r="3091" spans="1:21" x14ac:dyDescent="0.35">
      <c r="U3091">
        <v>188.1404</v>
      </c>
    </row>
    <row r="3092" spans="1:21" x14ac:dyDescent="0.35">
      <c r="A3092" s="1"/>
      <c r="U3092">
        <v>219.45140000000001</v>
      </c>
    </row>
    <row r="3093" spans="1:21" x14ac:dyDescent="0.35">
      <c r="A3093" s="1"/>
      <c r="U3093">
        <v>129.5865</v>
      </c>
    </row>
    <row r="3094" spans="1:21" x14ac:dyDescent="0.35">
      <c r="A3094" s="1"/>
      <c r="U3094">
        <v>79.891199999999998</v>
      </c>
    </row>
    <row r="3095" spans="1:21" x14ac:dyDescent="0.35">
      <c r="U3095">
        <v>2.7719999999999998</v>
      </c>
    </row>
    <row r="3096" spans="1:21" x14ac:dyDescent="0.35">
      <c r="U3096">
        <v>3.6288</v>
      </c>
    </row>
    <row r="3097" spans="1:21" x14ac:dyDescent="0.35">
      <c r="U3097">
        <v>2.2559999999999998</v>
      </c>
    </row>
    <row r="3098" spans="1:21" x14ac:dyDescent="0.35">
      <c r="U3098">
        <v>-13.5548</v>
      </c>
    </row>
    <row r="3099" spans="1:21" x14ac:dyDescent="0.35">
      <c r="U3099">
        <v>11.592000000000001</v>
      </c>
    </row>
    <row r="3100" spans="1:21" x14ac:dyDescent="0.35">
      <c r="U3100">
        <v>-42.1096</v>
      </c>
    </row>
    <row r="3101" spans="1:21" x14ac:dyDescent="0.35">
      <c r="U3101">
        <v>3.5022000000000002</v>
      </c>
    </row>
    <row r="3102" spans="1:21" x14ac:dyDescent="0.35">
      <c r="U3102">
        <v>9.0882000000000005</v>
      </c>
    </row>
    <row r="3103" spans="1:21" x14ac:dyDescent="0.35">
      <c r="U3103">
        <v>34.758000000000003</v>
      </c>
    </row>
    <row r="3104" spans="1:21" x14ac:dyDescent="0.35">
      <c r="U3104">
        <v>50.825400000000002</v>
      </c>
    </row>
    <row r="3105" spans="1:21" x14ac:dyDescent="0.35">
      <c r="A3105" s="1"/>
      <c r="U3105">
        <v>-9.5017999999999994</v>
      </c>
    </row>
    <row r="3106" spans="1:21" x14ac:dyDescent="0.35">
      <c r="U3106">
        <v>11.555999999999999</v>
      </c>
    </row>
    <row r="3107" spans="1:21" x14ac:dyDescent="0.35">
      <c r="U3107">
        <v>5.6955999999999998</v>
      </c>
    </row>
    <row r="3108" spans="1:21" x14ac:dyDescent="0.35">
      <c r="A3108" s="1"/>
      <c r="U3108">
        <v>26.115600000000001</v>
      </c>
    </row>
    <row r="3109" spans="1:21" x14ac:dyDescent="0.35">
      <c r="U3109">
        <v>10.0878</v>
      </c>
    </row>
    <row r="3110" spans="1:21" x14ac:dyDescent="0.35">
      <c r="U3110">
        <v>4.8587999999999996</v>
      </c>
    </row>
    <row r="3111" spans="1:21" x14ac:dyDescent="0.35">
      <c r="U3111">
        <v>3.7435999999999998</v>
      </c>
    </row>
    <row r="3112" spans="1:21" x14ac:dyDescent="0.35">
      <c r="U3112">
        <v>25.401599999999998</v>
      </c>
    </row>
    <row r="3113" spans="1:21" x14ac:dyDescent="0.35">
      <c r="U3113">
        <v>47.730600000000003</v>
      </c>
    </row>
    <row r="3114" spans="1:21" x14ac:dyDescent="0.35">
      <c r="U3114">
        <v>62.82</v>
      </c>
    </row>
    <row r="3115" spans="1:21" x14ac:dyDescent="0.35">
      <c r="U3115">
        <v>63.872999999999998</v>
      </c>
    </row>
    <row r="3116" spans="1:21" x14ac:dyDescent="0.35">
      <c r="U3116">
        <v>16.993200000000002</v>
      </c>
    </row>
    <row r="3117" spans="1:21" x14ac:dyDescent="0.35">
      <c r="U3117">
        <v>-39.952800000000003</v>
      </c>
    </row>
    <row r="3118" spans="1:21" x14ac:dyDescent="0.35">
      <c r="U3118">
        <v>11.206</v>
      </c>
    </row>
    <row r="3119" spans="1:21" x14ac:dyDescent="0.35">
      <c r="U3119">
        <v>0.1588</v>
      </c>
    </row>
    <row r="3120" spans="1:21" x14ac:dyDescent="0.35">
      <c r="A3120" s="1"/>
      <c r="U3120">
        <v>-182.637</v>
      </c>
    </row>
    <row r="3121" spans="1:21" x14ac:dyDescent="0.35">
      <c r="A3121" s="1"/>
      <c r="U3121">
        <v>31.198</v>
      </c>
    </row>
    <row r="3122" spans="1:21" x14ac:dyDescent="0.35">
      <c r="A3122" s="1"/>
      <c r="U3122">
        <v>7.3007999999999997</v>
      </c>
    </row>
    <row r="3123" spans="1:21" x14ac:dyDescent="0.35">
      <c r="A3123" s="1"/>
      <c r="U3123">
        <v>7.5960000000000001</v>
      </c>
    </row>
    <row r="3124" spans="1:21" x14ac:dyDescent="0.35">
      <c r="A3124" s="1"/>
      <c r="U3124">
        <v>-62.88</v>
      </c>
    </row>
    <row r="3125" spans="1:21" x14ac:dyDescent="0.35">
      <c r="A3125" s="1"/>
      <c r="U3125">
        <v>-3.14</v>
      </c>
    </row>
    <row r="3126" spans="1:21" x14ac:dyDescent="0.35">
      <c r="A3126" s="1"/>
      <c r="U3126">
        <v>51.831200000000003</v>
      </c>
    </row>
    <row r="3127" spans="1:21" x14ac:dyDescent="0.35">
      <c r="A3127" s="1"/>
      <c r="U3127">
        <v>21.142800000000001</v>
      </c>
    </row>
    <row r="3128" spans="1:21" x14ac:dyDescent="0.35">
      <c r="A3128" s="1"/>
      <c r="U3128">
        <v>-47.396799999999999</v>
      </c>
    </row>
    <row r="3129" spans="1:21" x14ac:dyDescent="0.35">
      <c r="A3129" s="1"/>
      <c r="U3129">
        <v>23.086400000000001</v>
      </c>
    </row>
    <row r="3130" spans="1:21" x14ac:dyDescent="0.35">
      <c r="U3130">
        <v>14.671799999999999</v>
      </c>
    </row>
    <row r="3131" spans="1:21" x14ac:dyDescent="0.35">
      <c r="U3131">
        <v>18.117599999999999</v>
      </c>
    </row>
    <row r="3132" spans="1:21" x14ac:dyDescent="0.35">
      <c r="U3132">
        <v>39.5</v>
      </c>
    </row>
    <row r="3133" spans="1:21" x14ac:dyDescent="0.35">
      <c r="U3133">
        <v>70.556399999999996</v>
      </c>
    </row>
    <row r="3134" spans="1:21" x14ac:dyDescent="0.35">
      <c r="U3134">
        <v>6.3743999999999996</v>
      </c>
    </row>
    <row r="3135" spans="1:21" x14ac:dyDescent="0.35">
      <c r="U3135">
        <v>4.4352</v>
      </c>
    </row>
    <row r="3136" spans="1:21" x14ac:dyDescent="0.35">
      <c r="A3136" s="1"/>
      <c r="U3136">
        <v>-45.84</v>
      </c>
    </row>
    <row r="3137" spans="1:21" x14ac:dyDescent="0.35">
      <c r="A3137" s="1"/>
      <c r="U3137">
        <v>-15.590400000000001</v>
      </c>
    </row>
    <row r="3138" spans="1:21" x14ac:dyDescent="0.35">
      <c r="A3138" s="1"/>
      <c r="U3138">
        <v>8.4990000000000006</v>
      </c>
    </row>
    <row r="3139" spans="1:21" x14ac:dyDescent="0.35">
      <c r="A3139" s="1"/>
      <c r="U3139">
        <v>4.4311999999999996</v>
      </c>
    </row>
    <row r="3140" spans="1:21" x14ac:dyDescent="0.35">
      <c r="A3140" s="1"/>
      <c r="U3140">
        <v>-0.55979999999999996</v>
      </c>
    </row>
    <row r="3141" spans="1:21" x14ac:dyDescent="0.35">
      <c r="A3141" s="1"/>
      <c r="U3141">
        <v>-17.7072</v>
      </c>
    </row>
    <row r="3142" spans="1:21" x14ac:dyDescent="0.35">
      <c r="U3142">
        <v>90.8292</v>
      </c>
    </row>
    <row r="3143" spans="1:21" x14ac:dyDescent="0.35">
      <c r="A3143" s="1"/>
      <c r="U3143">
        <v>-336.62720000000002</v>
      </c>
    </row>
    <row r="3144" spans="1:21" x14ac:dyDescent="0.35">
      <c r="U3144">
        <v>35.988</v>
      </c>
    </row>
    <row r="3145" spans="1:21" x14ac:dyDescent="0.35">
      <c r="U3145">
        <v>0.92820000000000003</v>
      </c>
    </row>
    <row r="3146" spans="1:21" x14ac:dyDescent="0.35">
      <c r="A3146" s="1"/>
      <c r="U3146">
        <v>-24.843</v>
      </c>
    </row>
    <row r="3147" spans="1:21" x14ac:dyDescent="0.35">
      <c r="A3147" s="1"/>
      <c r="U3147">
        <v>108.3528</v>
      </c>
    </row>
    <row r="3148" spans="1:21" x14ac:dyDescent="0.35">
      <c r="A3148" s="1"/>
      <c r="U3148">
        <v>7.7679</v>
      </c>
    </row>
    <row r="3149" spans="1:21" x14ac:dyDescent="0.35">
      <c r="U3149">
        <v>10.368</v>
      </c>
    </row>
    <row r="3150" spans="1:21" x14ac:dyDescent="0.35">
      <c r="A3150" s="1"/>
      <c r="U3150">
        <v>15.552</v>
      </c>
    </row>
    <row r="3151" spans="1:21" x14ac:dyDescent="0.35">
      <c r="U3151">
        <v>14.904</v>
      </c>
    </row>
    <row r="3152" spans="1:21" x14ac:dyDescent="0.35">
      <c r="U3152">
        <v>607.60799999999995</v>
      </c>
    </row>
    <row r="3153" spans="1:21" x14ac:dyDescent="0.35">
      <c r="U3153">
        <v>-2639.9911999999999</v>
      </c>
    </row>
    <row r="3154" spans="1:21" x14ac:dyDescent="0.35">
      <c r="U3154">
        <v>-16.998000000000001</v>
      </c>
    </row>
    <row r="3155" spans="1:21" x14ac:dyDescent="0.35">
      <c r="U3155">
        <v>69.001800000000003</v>
      </c>
    </row>
    <row r="3156" spans="1:21" x14ac:dyDescent="0.35">
      <c r="U3156">
        <v>331.19099999999997</v>
      </c>
    </row>
    <row r="3157" spans="1:21" x14ac:dyDescent="0.35">
      <c r="A3157" s="1"/>
      <c r="U3157">
        <v>33.721200000000003</v>
      </c>
    </row>
    <row r="3158" spans="1:21" x14ac:dyDescent="0.35">
      <c r="U3158">
        <v>-75.830399999999997</v>
      </c>
    </row>
    <row r="3159" spans="1:21" x14ac:dyDescent="0.35">
      <c r="U3159">
        <v>11.7</v>
      </c>
    </row>
    <row r="3160" spans="1:21" x14ac:dyDescent="0.35">
      <c r="U3160">
        <v>5.9184999999999999</v>
      </c>
    </row>
    <row r="3161" spans="1:21" x14ac:dyDescent="0.35">
      <c r="U3161">
        <v>-17.996400000000001</v>
      </c>
    </row>
    <row r="3162" spans="1:21" x14ac:dyDescent="0.35">
      <c r="A3162" s="1"/>
      <c r="U3162">
        <v>-8.0289999999999999</v>
      </c>
    </row>
    <row r="3163" spans="1:21" x14ac:dyDescent="0.35">
      <c r="U3163">
        <v>7.3132000000000001</v>
      </c>
    </row>
    <row r="3164" spans="1:21" x14ac:dyDescent="0.35">
      <c r="U3164">
        <v>36.8245</v>
      </c>
    </row>
    <row r="3165" spans="1:21" x14ac:dyDescent="0.35">
      <c r="U3165">
        <v>15.475199999999999</v>
      </c>
    </row>
    <row r="3166" spans="1:21" x14ac:dyDescent="0.35">
      <c r="U3166">
        <v>17.334</v>
      </c>
    </row>
    <row r="3167" spans="1:21" x14ac:dyDescent="0.35">
      <c r="U3167">
        <v>23.9984</v>
      </c>
    </row>
    <row r="3168" spans="1:21" x14ac:dyDescent="0.35">
      <c r="U3168">
        <v>9.4815000000000005</v>
      </c>
    </row>
    <row r="3169" spans="1:21" x14ac:dyDescent="0.35">
      <c r="U3169">
        <v>32.159999999999997</v>
      </c>
    </row>
    <row r="3170" spans="1:21" x14ac:dyDescent="0.35">
      <c r="U3170">
        <v>-24.391999999999999</v>
      </c>
    </row>
    <row r="3171" spans="1:21" x14ac:dyDescent="0.35">
      <c r="U3171">
        <v>19.434999999999999</v>
      </c>
    </row>
    <row r="3172" spans="1:21" x14ac:dyDescent="0.35">
      <c r="U3172">
        <v>11.223599999999999</v>
      </c>
    </row>
    <row r="3173" spans="1:21" x14ac:dyDescent="0.35">
      <c r="U3173">
        <v>-4.7519999999999998</v>
      </c>
    </row>
    <row r="3174" spans="1:21" x14ac:dyDescent="0.35">
      <c r="U3174">
        <v>0</v>
      </c>
    </row>
    <row r="3175" spans="1:21" x14ac:dyDescent="0.35">
      <c r="U3175">
        <v>1.5065999999999999</v>
      </c>
    </row>
    <row r="3176" spans="1:21" x14ac:dyDescent="0.35">
      <c r="A3176" s="1"/>
      <c r="U3176">
        <v>50.9208</v>
      </c>
    </row>
    <row r="3177" spans="1:21" x14ac:dyDescent="0.35">
      <c r="U3177">
        <v>-240.78399999999999</v>
      </c>
    </row>
    <row r="3178" spans="1:21" x14ac:dyDescent="0.35">
      <c r="U3178">
        <v>0.5998</v>
      </c>
    </row>
    <row r="3179" spans="1:21" x14ac:dyDescent="0.35">
      <c r="A3179" s="1"/>
      <c r="U3179">
        <v>9.0047999999999995</v>
      </c>
    </row>
    <row r="3180" spans="1:21" x14ac:dyDescent="0.35">
      <c r="A3180" s="1"/>
      <c r="U3180">
        <v>6.0726000000000004</v>
      </c>
    </row>
    <row r="3181" spans="1:21" x14ac:dyDescent="0.35">
      <c r="A3181" s="1"/>
      <c r="U3181">
        <v>18.190799999999999</v>
      </c>
    </row>
    <row r="3182" spans="1:21" x14ac:dyDescent="0.35">
      <c r="A3182" s="1"/>
      <c r="U3182">
        <v>68.822999999999993</v>
      </c>
    </row>
    <row r="3183" spans="1:21" x14ac:dyDescent="0.35">
      <c r="A3183" s="1"/>
      <c r="U3183">
        <v>4.4344000000000001</v>
      </c>
    </row>
    <row r="3184" spans="1:21" x14ac:dyDescent="0.35">
      <c r="A3184" s="1"/>
      <c r="U3184">
        <v>355.44659999999999</v>
      </c>
    </row>
    <row r="3185" spans="1:21" x14ac:dyDescent="0.35">
      <c r="A3185" s="1"/>
      <c r="U3185">
        <v>473.61059999999998</v>
      </c>
    </row>
    <row r="3186" spans="1:21" x14ac:dyDescent="0.35">
      <c r="A3186" s="1"/>
      <c r="U3186">
        <v>157.87020000000001</v>
      </c>
    </row>
    <row r="3187" spans="1:21" x14ac:dyDescent="0.35">
      <c r="A3187" s="1"/>
      <c r="U3187">
        <v>-44.278199999999998</v>
      </c>
    </row>
    <row r="3188" spans="1:21" x14ac:dyDescent="0.35">
      <c r="A3188" s="1"/>
      <c r="U3188">
        <v>26.9526</v>
      </c>
    </row>
    <row r="3189" spans="1:21" x14ac:dyDescent="0.35">
      <c r="A3189" s="1"/>
      <c r="U3189">
        <v>32.1678</v>
      </c>
    </row>
    <row r="3190" spans="1:21" x14ac:dyDescent="0.35">
      <c r="U3190">
        <v>1.8</v>
      </c>
    </row>
    <row r="3191" spans="1:21" x14ac:dyDescent="0.35">
      <c r="U3191">
        <v>7.5864000000000003</v>
      </c>
    </row>
    <row r="3192" spans="1:21" x14ac:dyDescent="0.35">
      <c r="U3192">
        <v>-3.1680000000000001</v>
      </c>
    </row>
    <row r="3193" spans="1:21" x14ac:dyDescent="0.35">
      <c r="A3193" s="1"/>
      <c r="U3193">
        <v>17.157399999999999</v>
      </c>
    </row>
    <row r="3194" spans="1:21" x14ac:dyDescent="0.35">
      <c r="A3194" s="1"/>
      <c r="U3194">
        <v>-9.5549999999999997</v>
      </c>
    </row>
    <row r="3195" spans="1:21" x14ac:dyDescent="0.35">
      <c r="A3195" s="1"/>
      <c r="U3195">
        <v>-6.0191999999999997</v>
      </c>
    </row>
    <row r="3196" spans="1:21" x14ac:dyDescent="0.35">
      <c r="A3196" s="1"/>
      <c r="U3196">
        <v>10.8864</v>
      </c>
    </row>
    <row r="3197" spans="1:21" x14ac:dyDescent="0.35">
      <c r="A3197" s="1"/>
      <c r="U3197">
        <v>0.2334</v>
      </c>
    </row>
    <row r="3198" spans="1:21" x14ac:dyDescent="0.35">
      <c r="U3198">
        <v>14.085900000000001</v>
      </c>
    </row>
    <row r="3199" spans="1:21" x14ac:dyDescent="0.35">
      <c r="A3199" s="1"/>
      <c r="U3199">
        <v>-2.2440000000000002</v>
      </c>
    </row>
    <row r="3200" spans="1:21" x14ac:dyDescent="0.35">
      <c r="A3200" s="1"/>
      <c r="U3200">
        <v>9.5968</v>
      </c>
    </row>
    <row r="3201" spans="1:21" x14ac:dyDescent="0.35">
      <c r="U3201">
        <v>2.3380000000000001</v>
      </c>
    </row>
    <row r="3202" spans="1:21" x14ac:dyDescent="0.35">
      <c r="U3202">
        <v>3.7307999999999999</v>
      </c>
    </row>
    <row r="3203" spans="1:21" x14ac:dyDescent="0.35">
      <c r="U3203">
        <v>5.7767999999999997</v>
      </c>
    </row>
    <row r="3204" spans="1:21" x14ac:dyDescent="0.35">
      <c r="A3204" s="1"/>
      <c r="U3204">
        <v>60.153599999999997</v>
      </c>
    </row>
    <row r="3205" spans="1:21" x14ac:dyDescent="0.35">
      <c r="A3205" s="1"/>
      <c r="U3205">
        <v>4.2861000000000002</v>
      </c>
    </row>
    <row r="3206" spans="1:21" x14ac:dyDescent="0.35">
      <c r="A3206" s="1"/>
      <c r="U3206">
        <v>11.166399999999999</v>
      </c>
    </row>
    <row r="3207" spans="1:21" x14ac:dyDescent="0.35">
      <c r="A3207" s="1"/>
      <c r="U3207">
        <v>28.007999999999999</v>
      </c>
    </row>
    <row r="3208" spans="1:21" x14ac:dyDescent="0.35">
      <c r="A3208" s="1"/>
      <c r="U3208">
        <v>14.896000000000001</v>
      </c>
    </row>
    <row r="3209" spans="1:21" x14ac:dyDescent="0.35">
      <c r="A3209" s="1"/>
      <c r="U3209">
        <v>18.3264</v>
      </c>
    </row>
    <row r="3210" spans="1:21" x14ac:dyDescent="0.35">
      <c r="A3210" s="1"/>
      <c r="U3210">
        <v>118.983</v>
      </c>
    </row>
    <row r="3211" spans="1:21" x14ac:dyDescent="0.35">
      <c r="A3211" s="1"/>
      <c r="U3211">
        <v>141.72300000000001</v>
      </c>
    </row>
    <row r="3212" spans="1:21" x14ac:dyDescent="0.35">
      <c r="U3212">
        <v>5.0220000000000002</v>
      </c>
    </row>
    <row r="3213" spans="1:21" x14ac:dyDescent="0.35">
      <c r="U3213">
        <v>-18.526199999999999</v>
      </c>
    </row>
    <row r="3214" spans="1:21" x14ac:dyDescent="0.35">
      <c r="U3214">
        <v>58.027200000000001</v>
      </c>
    </row>
    <row r="3215" spans="1:21" x14ac:dyDescent="0.35">
      <c r="U3215">
        <v>0.16919999999999999</v>
      </c>
    </row>
    <row r="3216" spans="1:21" x14ac:dyDescent="0.35">
      <c r="U3216">
        <v>6.5339999999999998</v>
      </c>
    </row>
    <row r="3217" spans="1:21" x14ac:dyDescent="0.35">
      <c r="A3217" s="1"/>
      <c r="U3217">
        <v>35.334600000000002</v>
      </c>
    </row>
    <row r="3218" spans="1:21" x14ac:dyDescent="0.35">
      <c r="U3218">
        <v>52.4895</v>
      </c>
    </row>
    <row r="3219" spans="1:21" x14ac:dyDescent="0.35">
      <c r="A3219" s="1"/>
      <c r="U3219">
        <v>314.27190000000002</v>
      </c>
    </row>
    <row r="3220" spans="1:21" x14ac:dyDescent="0.35">
      <c r="A3220" s="1"/>
      <c r="U3220">
        <v>124.9552</v>
      </c>
    </row>
    <row r="3221" spans="1:21" x14ac:dyDescent="0.35">
      <c r="A3221" s="1"/>
      <c r="U3221">
        <v>45.527999999999999</v>
      </c>
    </row>
    <row r="3222" spans="1:21" x14ac:dyDescent="0.35">
      <c r="A3222" s="1"/>
      <c r="U3222">
        <v>23.004000000000001</v>
      </c>
    </row>
    <row r="3223" spans="1:21" x14ac:dyDescent="0.35">
      <c r="A3223" s="1"/>
      <c r="U3223">
        <v>32.4</v>
      </c>
    </row>
    <row r="3224" spans="1:21" x14ac:dyDescent="0.35">
      <c r="A3224" s="1"/>
      <c r="U3224">
        <v>3.4104000000000001</v>
      </c>
    </row>
    <row r="3225" spans="1:21" x14ac:dyDescent="0.35">
      <c r="A3225" s="1"/>
      <c r="U3225">
        <v>1.46</v>
      </c>
    </row>
    <row r="3226" spans="1:21" x14ac:dyDescent="0.35">
      <c r="A3226" s="1"/>
      <c r="U3226">
        <v>107.46</v>
      </c>
    </row>
    <row r="3227" spans="1:21" x14ac:dyDescent="0.35">
      <c r="A3227" s="1"/>
      <c r="U3227">
        <v>4.6284000000000001</v>
      </c>
    </row>
    <row r="3228" spans="1:21" x14ac:dyDescent="0.35">
      <c r="A3228" s="1"/>
      <c r="U3228">
        <v>-3.2639999999999998</v>
      </c>
    </row>
    <row r="3229" spans="1:21" x14ac:dyDescent="0.35">
      <c r="A3229" s="1"/>
      <c r="U3229">
        <v>20.157900000000001</v>
      </c>
    </row>
    <row r="3230" spans="1:21" x14ac:dyDescent="0.35">
      <c r="A3230" s="1"/>
      <c r="U3230">
        <v>-8.9499999999999996E-2</v>
      </c>
    </row>
    <row r="3231" spans="1:21" x14ac:dyDescent="0.35">
      <c r="A3231" s="1"/>
      <c r="U3231">
        <v>18.766999999999999</v>
      </c>
    </row>
    <row r="3232" spans="1:21" x14ac:dyDescent="0.35">
      <c r="A3232" s="1"/>
      <c r="U3232">
        <v>39.066000000000003</v>
      </c>
    </row>
    <row r="3233" spans="1:21" x14ac:dyDescent="0.35">
      <c r="U3233">
        <v>-44.278199999999998</v>
      </c>
    </row>
    <row r="3234" spans="1:21" x14ac:dyDescent="0.35">
      <c r="U3234">
        <v>-4.7784000000000004</v>
      </c>
    </row>
    <row r="3235" spans="1:21" x14ac:dyDescent="0.35">
      <c r="U3235">
        <v>-7.7291999999999996</v>
      </c>
    </row>
    <row r="3236" spans="1:21" x14ac:dyDescent="0.35">
      <c r="U3236">
        <v>1.3944000000000001</v>
      </c>
    </row>
    <row r="3237" spans="1:21" x14ac:dyDescent="0.35">
      <c r="U3237">
        <v>-15.582599999999999</v>
      </c>
    </row>
    <row r="3238" spans="1:21" x14ac:dyDescent="0.35">
      <c r="A3238" s="1"/>
      <c r="U3238">
        <v>12.5832</v>
      </c>
    </row>
    <row r="3239" spans="1:21" x14ac:dyDescent="0.35">
      <c r="A3239" s="1"/>
      <c r="U3239">
        <v>15.951599999999999</v>
      </c>
    </row>
    <row r="3240" spans="1:21" x14ac:dyDescent="0.35">
      <c r="U3240">
        <v>-77.332999999999998</v>
      </c>
    </row>
    <row r="3241" spans="1:21" x14ac:dyDescent="0.35">
      <c r="U3241">
        <v>46.094999999999999</v>
      </c>
    </row>
    <row r="3242" spans="1:21" x14ac:dyDescent="0.35">
      <c r="U3242">
        <v>-2.8271999999999999</v>
      </c>
    </row>
    <row r="3243" spans="1:21" x14ac:dyDescent="0.35">
      <c r="A3243" s="1"/>
      <c r="U3243">
        <v>14.677</v>
      </c>
    </row>
    <row r="3244" spans="1:21" x14ac:dyDescent="0.35">
      <c r="U3244">
        <v>-22.895600000000002</v>
      </c>
    </row>
    <row r="3245" spans="1:21" x14ac:dyDescent="0.35">
      <c r="A3245" s="1"/>
      <c r="U3245">
        <v>24.727499999999999</v>
      </c>
    </row>
    <row r="3246" spans="1:21" x14ac:dyDescent="0.35">
      <c r="A3246" s="1"/>
      <c r="U3246">
        <v>-18.117599999999999</v>
      </c>
    </row>
    <row r="3247" spans="1:21" x14ac:dyDescent="0.35">
      <c r="A3247" s="1"/>
      <c r="U3247">
        <v>4.9080000000000004</v>
      </c>
    </row>
    <row r="3248" spans="1:21" x14ac:dyDescent="0.35">
      <c r="A3248" s="1"/>
      <c r="U3248">
        <v>38.988</v>
      </c>
    </row>
    <row r="3249" spans="1:21" x14ac:dyDescent="0.35">
      <c r="A3249" s="1"/>
      <c r="U3249">
        <v>5.2896000000000001</v>
      </c>
    </row>
    <row r="3250" spans="1:21" x14ac:dyDescent="0.35">
      <c r="U3250">
        <v>9.9651999999999994</v>
      </c>
    </row>
    <row r="3251" spans="1:21" x14ac:dyDescent="0.35">
      <c r="U3251">
        <v>7.9188000000000001</v>
      </c>
    </row>
    <row r="3252" spans="1:21" x14ac:dyDescent="0.35">
      <c r="U3252">
        <v>11.679500000000001</v>
      </c>
    </row>
    <row r="3253" spans="1:21" x14ac:dyDescent="0.35">
      <c r="U3253">
        <v>5.2773000000000003</v>
      </c>
    </row>
    <row r="3254" spans="1:21" x14ac:dyDescent="0.35">
      <c r="U3254">
        <v>2.2050000000000001</v>
      </c>
    </row>
    <row r="3255" spans="1:21" x14ac:dyDescent="0.35">
      <c r="U3255">
        <v>2.0388000000000002</v>
      </c>
    </row>
    <row r="3256" spans="1:21" x14ac:dyDescent="0.35">
      <c r="A3256" s="1"/>
      <c r="U3256">
        <v>9.4486000000000008</v>
      </c>
    </row>
    <row r="3257" spans="1:21" x14ac:dyDescent="0.35">
      <c r="A3257" s="1"/>
      <c r="U3257">
        <v>6.03</v>
      </c>
    </row>
    <row r="3258" spans="1:21" x14ac:dyDescent="0.35">
      <c r="A3258" s="1"/>
      <c r="U3258">
        <v>1.6704000000000001</v>
      </c>
    </row>
    <row r="3259" spans="1:21" x14ac:dyDescent="0.35">
      <c r="A3259" s="1"/>
      <c r="U3259">
        <v>-29.323799999999999</v>
      </c>
    </row>
    <row r="3260" spans="1:21" x14ac:dyDescent="0.35">
      <c r="A3260" s="1"/>
      <c r="U3260">
        <v>-2.0621999999999998</v>
      </c>
    </row>
    <row r="3261" spans="1:21" x14ac:dyDescent="0.35">
      <c r="U3261">
        <v>-4.7039999999999997</v>
      </c>
    </row>
    <row r="3262" spans="1:21" x14ac:dyDescent="0.35">
      <c r="U3262">
        <v>7.2576000000000001</v>
      </c>
    </row>
    <row r="3263" spans="1:21" x14ac:dyDescent="0.35">
      <c r="U3263">
        <v>7.9984000000000002</v>
      </c>
    </row>
    <row r="3264" spans="1:21" x14ac:dyDescent="0.35">
      <c r="U3264">
        <v>352.29599999999999</v>
      </c>
    </row>
    <row r="3265" spans="1:21" x14ac:dyDescent="0.35">
      <c r="U3265">
        <v>72.432000000000002</v>
      </c>
    </row>
    <row r="3266" spans="1:21" x14ac:dyDescent="0.35">
      <c r="A3266" s="1"/>
      <c r="U3266">
        <v>3.528</v>
      </c>
    </row>
    <row r="3267" spans="1:21" x14ac:dyDescent="0.35">
      <c r="A3267" s="1"/>
      <c r="U3267">
        <v>10.571400000000001</v>
      </c>
    </row>
    <row r="3268" spans="1:21" x14ac:dyDescent="0.35">
      <c r="A3268" s="1"/>
      <c r="U3268">
        <v>67.9833</v>
      </c>
    </row>
    <row r="3269" spans="1:21" x14ac:dyDescent="0.35">
      <c r="U3269">
        <v>33.994999999999997</v>
      </c>
    </row>
    <row r="3270" spans="1:21" x14ac:dyDescent="0.35">
      <c r="U3270">
        <v>12.586</v>
      </c>
    </row>
    <row r="3271" spans="1:21" x14ac:dyDescent="0.35">
      <c r="U3271">
        <v>1.3068</v>
      </c>
    </row>
    <row r="3272" spans="1:21" x14ac:dyDescent="0.35">
      <c r="U3272">
        <v>2.6814</v>
      </c>
    </row>
    <row r="3273" spans="1:21" x14ac:dyDescent="0.35">
      <c r="U3273">
        <v>3.4847999999999999</v>
      </c>
    </row>
    <row r="3274" spans="1:21" x14ac:dyDescent="0.35">
      <c r="A3274" s="1"/>
      <c r="U3274">
        <v>22.940999999999999</v>
      </c>
    </row>
    <row r="3275" spans="1:21" x14ac:dyDescent="0.35">
      <c r="A3275" s="1"/>
      <c r="U3275">
        <v>1049.9849999999999</v>
      </c>
    </row>
    <row r="3276" spans="1:21" x14ac:dyDescent="0.35">
      <c r="A3276" s="1"/>
      <c r="U3276">
        <v>9.1199999999999992</v>
      </c>
    </row>
    <row r="3277" spans="1:21" x14ac:dyDescent="0.35">
      <c r="A3277" s="1"/>
      <c r="U3277">
        <v>9.1674000000000007</v>
      </c>
    </row>
    <row r="3278" spans="1:21" x14ac:dyDescent="0.35">
      <c r="A3278" s="1"/>
      <c r="U3278">
        <v>7.5768000000000004</v>
      </c>
    </row>
    <row r="3279" spans="1:21" x14ac:dyDescent="0.35">
      <c r="A3279" s="1"/>
      <c r="U3279">
        <v>8.4070999999999998</v>
      </c>
    </row>
    <row r="3280" spans="1:21" x14ac:dyDescent="0.35">
      <c r="A3280" s="1"/>
      <c r="U3280">
        <v>6.3503999999999996</v>
      </c>
    </row>
    <row r="3281" spans="1:21" x14ac:dyDescent="0.35">
      <c r="A3281" s="1"/>
      <c r="U3281">
        <v>6.6584000000000003</v>
      </c>
    </row>
    <row r="3282" spans="1:21" x14ac:dyDescent="0.35">
      <c r="A3282" s="1"/>
      <c r="U3282">
        <v>83.281000000000006</v>
      </c>
    </row>
    <row r="3283" spans="1:21" x14ac:dyDescent="0.35">
      <c r="U3283">
        <v>13.195600000000001</v>
      </c>
    </row>
    <row r="3284" spans="1:21" x14ac:dyDescent="0.35">
      <c r="U3284">
        <v>1.6761999999999999</v>
      </c>
    </row>
    <row r="3285" spans="1:21" x14ac:dyDescent="0.35">
      <c r="U3285">
        <v>5.1816000000000004</v>
      </c>
    </row>
    <row r="3286" spans="1:21" x14ac:dyDescent="0.35">
      <c r="A3286" s="1"/>
      <c r="U3286">
        <v>-46.877600000000001</v>
      </c>
    </row>
    <row r="3287" spans="1:21" x14ac:dyDescent="0.35">
      <c r="U3287">
        <v>1.9024000000000001</v>
      </c>
    </row>
    <row r="3288" spans="1:21" x14ac:dyDescent="0.35">
      <c r="U3288">
        <v>3.4085999999999999</v>
      </c>
    </row>
    <row r="3289" spans="1:21" x14ac:dyDescent="0.35">
      <c r="U3289">
        <v>49.437600000000003</v>
      </c>
    </row>
    <row r="3290" spans="1:21" x14ac:dyDescent="0.35">
      <c r="U3290">
        <v>9.8550000000000004</v>
      </c>
    </row>
    <row r="3291" spans="1:21" x14ac:dyDescent="0.35">
      <c r="U3291">
        <v>27.3735</v>
      </c>
    </row>
    <row r="3292" spans="1:21" x14ac:dyDescent="0.35">
      <c r="U3292">
        <v>15.220800000000001</v>
      </c>
    </row>
    <row r="3293" spans="1:21" x14ac:dyDescent="0.35">
      <c r="U3293">
        <v>3.504</v>
      </c>
    </row>
    <row r="3294" spans="1:21" x14ac:dyDescent="0.35">
      <c r="U3294">
        <v>0.1191</v>
      </c>
    </row>
    <row r="3295" spans="1:21" x14ac:dyDescent="0.35">
      <c r="U3295">
        <v>1.1135999999999999</v>
      </c>
    </row>
    <row r="3296" spans="1:21" x14ac:dyDescent="0.35">
      <c r="U3296">
        <v>-52.631999999999998</v>
      </c>
    </row>
    <row r="3297" spans="1:21" x14ac:dyDescent="0.35">
      <c r="A3297" s="1"/>
      <c r="U3297">
        <v>767.20050000000003</v>
      </c>
    </row>
    <row r="3298" spans="1:21" x14ac:dyDescent="0.35">
      <c r="U3298">
        <v>-12.795999999999999</v>
      </c>
    </row>
    <row r="3299" spans="1:21" x14ac:dyDescent="0.35">
      <c r="U3299">
        <v>13.701599999999999</v>
      </c>
    </row>
    <row r="3300" spans="1:21" x14ac:dyDescent="0.35">
      <c r="U3300">
        <v>215.9973</v>
      </c>
    </row>
    <row r="3301" spans="1:21" x14ac:dyDescent="0.35">
      <c r="U3301">
        <v>-40.797600000000003</v>
      </c>
    </row>
    <row r="3302" spans="1:21" x14ac:dyDescent="0.35">
      <c r="U3302">
        <v>-16.318300000000001</v>
      </c>
    </row>
    <row r="3303" spans="1:21" x14ac:dyDescent="0.35">
      <c r="U3303">
        <v>-107.9928</v>
      </c>
    </row>
    <row r="3304" spans="1:21" x14ac:dyDescent="0.35">
      <c r="U3304">
        <v>5.2773000000000003</v>
      </c>
    </row>
    <row r="3305" spans="1:21" x14ac:dyDescent="0.35">
      <c r="U3305">
        <v>-1.4256</v>
      </c>
    </row>
    <row r="3306" spans="1:21" x14ac:dyDescent="0.35">
      <c r="U3306">
        <v>4.7066999999999997</v>
      </c>
    </row>
    <row r="3307" spans="1:21" x14ac:dyDescent="0.35">
      <c r="U3307">
        <v>19.038599999999999</v>
      </c>
    </row>
    <row r="3308" spans="1:21" x14ac:dyDescent="0.35">
      <c r="U3308">
        <v>28.767900000000001</v>
      </c>
    </row>
    <row r="3309" spans="1:21" x14ac:dyDescent="0.35">
      <c r="U3309">
        <v>-3.6576</v>
      </c>
    </row>
    <row r="3310" spans="1:21" x14ac:dyDescent="0.35">
      <c r="U3310">
        <v>14.395200000000001</v>
      </c>
    </row>
    <row r="3311" spans="1:21" x14ac:dyDescent="0.35">
      <c r="A3311" s="1"/>
      <c r="U3311">
        <v>8.8704000000000001</v>
      </c>
    </row>
    <row r="3312" spans="1:21" x14ac:dyDescent="0.35">
      <c r="U3312">
        <v>78.435000000000002</v>
      </c>
    </row>
    <row r="3313" spans="1:21" x14ac:dyDescent="0.35">
      <c r="U3313">
        <v>38.037999999999997</v>
      </c>
    </row>
    <row r="3314" spans="1:21" x14ac:dyDescent="0.35">
      <c r="U3314">
        <v>45.293999999999997</v>
      </c>
    </row>
    <row r="3315" spans="1:21" x14ac:dyDescent="0.35">
      <c r="U3315">
        <v>40.170200000000001</v>
      </c>
    </row>
    <row r="3316" spans="1:21" x14ac:dyDescent="0.35">
      <c r="U3316">
        <v>48.313600000000001</v>
      </c>
    </row>
    <row r="3317" spans="1:21" x14ac:dyDescent="0.35">
      <c r="U3317">
        <v>4.8518999999999997</v>
      </c>
    </row>
    <row r="3318" spans="1:21" x14ac:dyDescent="0.35">
      <c r="A3318" s="1"/>
      <c r="U3318">
        <v>-427.45</v>
      </c>
    </row>
    <row r="3319" spans="1:21" x14ac:dyDescent="0.35">
      <c r="A3319" s="1"/>
      <c r="U3319">
        <v>48.964500000000001</v>
      </c>
    </row>
    <row r="3320" spans="1:21" x14ac:dyDescent="0.35">
      <c r="A3320" s="1"/>
      <c r="U3320">
        <v>4.2336</v>
      </c>
    </row>
    <row r="3321" spans="1:21" x14ac:dyDescent="0.35">
      <c r="U3321">
        <v>3.8073000000000001</v>
      </c>
    </row>
    <row r="3322" spans="1:21" x14ac:dyDescent="0.35">
      <c r="U3322">
        <v>74.573999999999998</v>
      </c>
    </row>
    <row r="3323" spans="1:21" x14ac:dyDescent="0.35">
      <c r="U3323">
        <v>9.0719999999999992</v>
      </c>
    </row>
    <row r="3324" spans="1:21" x14ac:dyDescent="0.35">
      <c r="U3324">
        <v>20.681999999999999</v>
      </c>
    </row>
    <row r="3325" spans="1:21" x14ac:dyDescent="0.35">
      <c r="U3325">
        <v>50.239800000000002</v>
      </c>
    </row>
    <row r="3326" spans="1:21" x14ac:dyDescent="0.35">
      <c r="A3326" s="1"/>
      <c r="U3326">
        <v>-1480.0335</v>
      </c>
    </row>
    <row r="3327" spans="1:21" x14ac:dyDescent="0.35">
      <c r="A3327" s="1"/>
      <c r="U3327">
        <v>-1.9743999999999999</v>
      </c>
    </row>
    <row r="3328" spans="1:21" x14ac:dyDescent="0.35">
      <c r="A3328" s="1"/>
      <c r="U3328">
        <v>6.7560000000000002</v>
      </c>
    </row>
    <row r="3329" spans="1:21" x14ac:dyDescent="0.35">
      <c r="A3329" s="1"/>
      <c r="U3329">
        <v>7.8734999999999999</v>
      </c>
    </row>
    <row r="3330" spans="1:21" x14ac:dyDescent="0.35">
      <c r="A3330" s="1"/>
      <c r="U3330">
        <v>95.096800000000002</v>
      </c>
    </row>
    <row r="3331" spans="1:21" x14ac:dyDescent="0.35">
      <c r="A3331" s="1"/>
      <c r="U3331">
        <v>16.704000000000001</v>
      </c>
    </row>
    <row r="3332" spans="1:21" x14ac:dyDescent="0.35">
      <c r="A3332" s="1"/>
      <c r="U3332">
        <v>15.073499999999999</v>
      </c>
    </row>
    <row r="3333" spans="1:21" x14ac:dyDescent="0.35">
      <c r="U3333">
        <v>28.497</v>
      </c>
    </row>
    <row r="3334" spans="1:21" x14ac:dyDescent="0.35">
      <c r="U3334">
        <v>19.754999999999999</v>
      </c>
    </row>
    <row r="3335" spans="1:21" x14ac:dyDescent="0.35">
      <c r="U3335">
        <v>-1.3208</v>
      </c>
    </row>
    <row r="3336" spans="1:21" x14ac:dyDescent="0.35">
      <c r="U3336">
        <v>4.9648000000000003</v>
      </c>
    </row>
    <row r="3337" spans="1:21" x14ac:dyDescent="0.35">
      <c r="U3337">
        <v>37.797199999999997</v>
      </c>
    </row>
    <row r="3338" spans="1:21" x14ac:dyDescent="0.35">
      <c r="U3338">
        <v>10.393599999999999</v>
      </c>
    </row>
    <row r="3339" spans="1:21" x14ac:dyDescent="0.35">
      <c r="U3339">
        <v>28.436399999999999</v>
      </c>
    </row>
    <row r="3340" spans="1:21" x14ac:dyDescent="0.35">
      <c r="U3340">
        <v>42.464700000000001</v>
      </c>
    </row>
    <row r="3341" spans="1:21" x14ac:dyDescent="0.35">
      <c r="U3341">
        <v>54.950400000000002</v>
      </c>
    </row>
    <row r="3342" spans="1:21" x14ac:dyDescent="0.35">
      <c r="U3342">
        <v>24.84</v>
      </c>
    </row>
    <row r="3343" spans="1:21" x14ac:dyDescent="0.35">
      <c r="U3343">
        <v>60.255299999999998</v>
      </c>
    </row>
    <row r="3344" spans="1:21" x14ac:dyDescent="0.35">
      <c r="U3344">
        <v>20.966999999999999</v>
      </c>
    </row>
    <row r="3345" spans="1:21" x14ac:dyDescent="0.35">
      <c r="U3345">
        <v>28.785599999999999</v>
      </c>
    </row>
    <row r="3346" spans="1:21" x14ac:dyDescent="0.35">
      <c r="U3346">
        <v>36.692999999999998</v>
      </c>
    </row>
    <row r="3347" spans="1:21" x14ac:dyDescent="0.35">
      <c r="U3347">
        <v>5.2560000000000002</v>
      </c>
    </row>
    <row r="3348" spans="1:21" x14ac:dyDescent="0.35">
      <c r="U3348">
        <v>13.92</v>
      </c>
    </row>
    <row r="3349" spans="1:21" x14ac:dyDescent="0.35">
      <c r="U3349">
        <v>13.208</v>
      </c>
    </row>
    <row r="3350" spans="1:21" x14ac:dyDescent="0.35">
      <c r="A3350" s="1"/>
      <c r="U3350">
        <v>-25.648</v>
      </c>
    </row>
    <row r="3351" spans="1:21" x14ac:dyDescent="0.35">
      <c r="U3351">
        <v>5.6955999999999998</v>
      </c>
    </row>
    <row r="3352" spans="1:21" x14ac:dyDescent="0.35">
      <c r="U3352">
        <v>18.893699999999999</v>
      </c>
    </row>
    <row r="3353" spans="1:21" x14ac:dyDescent="0.35">
      <c r="U3353">
        <v>20.517600000000002</v>
      </c>
    </row>
    <row r="3354" spans="1:21" x14ac:dyDescent="0.35">
      <c r="U3354">
        <v>31.494</v>
      </c>
    </row>
    <row r="3355" spans="1:21" x14ac:dyDescent="0.35">
      <c r="U3355">
        <v>93.594800000000006</v>
      </c>
    </row>
    <row r="3356" spans="1:21" x14ac:dyDescent="0.35">
      <c r="U3356">
        <v>-4.032</v>
      </c>
    </row>
    <row r="3357" spans="1:21" x14ac:dyDescent="0.35">
      <c r="U3357">
        <v>9.6047999999999991</v>
      </c>
    </row>
    <row r="3358" spans="1:21" x14ac:dyDescent="0.35">
      <c r="U3358">
        <v>1.8288</v>
      </c>
    </row>
    <row r="3359" spans="1:21" x14ac:dyDescent="0.35">
      <c r="A3359" s="1"/>
      <c r="U3359">
        <v>26.465399999999999</v>
      </c>
    </row>
    <row r="3360" spans="1:21" x14ac:dyDescent="0.35">
      <c r="A3360" s="1"/>
      <c r="U3360">
        <v>-5.2931999999999997</v>
      </c>
    </row>
    <row r="3361" spans="1:21" x14ac:dyDescent="0.35">
      <c r="A3361" s="1"/>
      <c r="U3361">
        <v>-3.2719999999999998</v>
      </c>
    </row>
    <row r="3362" spans="1:21" x14ac:dyDescent="0.35">
      <c r="A3362" s="1"/>
      <c r="U3362">
        <v>14.306800000000001</v>
      </c>
    </row>
    <row r="3363" spans="1:21" x14ac:dyDescent="0.35">
      <c r="A3363" s="1"/>
      <c r="U3363">
        <v>11.995200000000001</v>
      </c>
    </row>
    <row r="3364" spans="1:21" x14ac:dyDescent="0.35">
      <c r="U3364">
        <v>9.3312000000000008</v>
      </c>
    </row>
    <row r="3365" spans="1:21" x14ac:dyDescent="0.35">
      <c r="U3365">
        <v>18.940000000000001</v>
      </c>
    </row>
    <row r="3366" spans="1:21" x14ac:dyDescent="0.35">
      <c r="U3366">
        <v>-3.8208000000000002</v>
      </c>
    </row>
    <row r="3367" spans="1:21" x14ac:dyDescent="0.35">
      <c r="U3367">
        <v>3.4196</v>
      </c>
    </row>
    <row r="3368" spans="1:21" x14ac:dyDescent="0.35">
      <c r="A3368" s="1"/>
      <c r="U3368">
        <v>3.6288</v>
      </c>
    </row>
    <row r="3369" spans="1:21" x14ac:dyDescent="0.35">
      <c r="A3369" s="1"/>
      <c r="U3369">
        <v>4.4850000000000003</v>
      </c>
    </row>
    <row r="3370" spans="1:21" x14ac:dyDescent="0.35">
      <c r="U3370">
        <v>41.168399999999998</v>
      </c>
    </row>
    <row r="3371" spans="1:21" x14ac:dyDescent="0.35">
      <c r="U3371">
        <v>23.116800000000001</v>
      </c>
    </row>
    <row r="3372" spans="1:21" x14ac:dyDescent="0.35">
      <c r="U3372">
        <v>244.6155</v>
      </c>
    </row>
    <row r="3373" spans="1:21" x14ac:dyDescent="0.35">
      <c r="U3373">
        <v>9.0383999999999993</v>
      </c>
    </row>
    <row r="3374" spans="1:21" x14ac:dyDescent="0.35">
      <c r="U3374">
        <v>48.287999999999997</v>
      </c>
    </row>
    <row r="3375" spans="1:21" x14ac:dyDescent="0.35">
      <c r="A3375" s="1"/>
      <c r="U3375">
        <v>11.375999999999999</v>
      </c>
    </row>
    <row r="3376" spans="1:21" x14ac:dyDescent="0.35">
      <c r="A3376" s="1"/>
      <c r="U3376">
        <v>8.0980000000000008</v>
      </c>
    </row>
    <row r="3377" spans="1:21" x14ac:dyDescent="0.35">
      <c r="A3377" s="1"/>
      <c r="U3377">
        <v>10.3896</v>
      </c>
    </row>
    <row r="3378" spans="1:21" x14ac:dyDescent="0.35">
      <c r="A3378" s="1"/>
      <c r="U3378">
        <v>68.333200000000005</v>
      </c>
    </row>
    <row r="3379" spans="1:21" x14ac:dyDescent="0.35">
      <c r="A3379" s="1"/>
      <c r="U3379">
        <v>6.9794999999999998</v>
      </c>
    </row>
    <row r="3380" spans="1:21" x14ac:dyDescent="0.35">
      <c r="U3380">
        <v>-22.041599999999999</v>
      </c>
    </row>
    <row r="3381" spans="1:21" x14ac:dyDescent="0.35">
      <c r="U3381">
        <v>3.21</v>
      </c>
    </row>
    <row r="3382" spans="1:21" x14ac:dyDescent="0.35">
      <c r="U3382">
        <v>7.2144000000000004</v>
      </c>
    </row>
    <row r="3383" spans="1:21" x14ac:dyDescent="0.35">
      <c r="U3383">
        <v>0.97740000000000005</v>
      </c>
    </row>
    <row r="3384" spans="1:21" x14ac:dyDescent="0.35">
      <c r="A3384" s="1"/>
      <c r="U3384">
        <v>8.7905999999999995</v>
      </c>
    </row>
    <row r="3385" spans="1:21" x14ac:dyDescent="0.35">
      <c r="A3385" s="1"/>
      <c r="U3385">
        <v>29.880199999999999</v>
      </c>
    </row>
    <row r="3386" spans="1:21" x14ac:dyDescent="0.35">
      <c r="A3386" s="1"/>
      <c r="U3386">
        <v>539.92499999999995</v>
      </c>
    </row>
    <row r="3387" spans="1:21" x14ac:dyDescent="0.35">
      <c r="A3387" s="1"/>
      <c r="U3387">
        <v>65.325599999999994</v>
      </c>
    </row>
    <row r="3388" spans="1:21" x14ac:dyDescent="0.35">
      <c r="A3388" s="1"/>
      <c r="U3388">
        <v>5.9175000000000004</v>
      </c>
    </row>
    <row r="3389" spans="1:21" x14ac:dyDescent="0.35">
      <c r="A3389" s="1"/>
      <c r="U3389">
        <v>16.678799999999999</v>
      </c>
    </row>
    <row r="3390" spans="1:21" x14ac:dyDescent="0.35">
      <c r="A3390" s="1"/>
      <c r="U3390">
        <v>-33.636000000000003</v>
      </c>
    </row>
    <row r="3391" spans="1:21" x14ac:dyDescent="0.35">
      <c r="A3391" s="1"/>
      <c r="U3391">
        <v>-36.111600000000003</v>
      </c>
    </row>
    <row r="3392" spans="1:21" x14ac:dyDescent="0.35">
      <c r="U3392">
        <v>2.14</v>
      </c>
    </row>
    <row r="3393" spans="1:21" x14ac:dyDescent="0.35">
      <c r="A3393" s="1"/>
      <c r="U3393">
        <v>68.197999999999993</v>
      </c>
    </row>
    <row r="3394" spans="1:21" x14ac:dyDescent="0.35">
      <c r="A3394" s="1"/>
      <c r="U3394">
        <v>-43.833599999999997</v>
      </c>
    </row>
    <row r="3395" spans="1:21" x14ac:dyDescent="0.35">
      <c r="U3395">
        <v>-11.0848</v>
      </c>
    </row>
    <row r="3396" spans="1:21" x14ac:dyDescent="0.35">
      <c r="A3396" s="1"/>
      <c r="U3396">
        <v>15.012</v>
      </c>
    </row>
    <row r="3397" spans="1:21" x14ac:dyDescent="0.35">
      <c r="A3397" s="1"/>
      <c r="U3397">
        <v>13.317600000000001</v>
      </c>
    </row>
    <row r="3398" spans="1:21" x14ac:dyDescent="0.35">
      <c r="A3398" s="1"/>
      <c r="U3398">
        <v>78.195400000000006</v>
      </c>
    </row>
    <row r="3399" spans="1:21" x14ac:dyDescent="0.35">
      <c r="A3399" s="1"/>
      <c r="U3399">
        <v>12.441599999999999</v>
      </c>
    </row>
    <row r="3400" spans="1:21" x14ac:dyDescent="0.35">
      <c r="U3400">
        <v>9.9872999999999994</v>
      </c>
    </row>
    <row r="3401" spans="1:21" x14ac:dyDescent="0.35">
      <c r="U3401">
        <v>301.96800000000002</v>
      </c>
    </row>
    <row r="3402" spans="1:21" x14ac:dyDescent="0.35">
      <c r="U3402">
        <v>9.6974999999999998</v>
      </c>
    </row>
    <row r="3403" spans="1:21" x14ac:dyDescent="0.35">
      <c r="U3403">
        <v>1.4742</v>
      </c>
    </row>
    <row r="3404" spans="1:21" x14ac:dyDescent="0.35">
      <c r="A3404" s="1"/>
      <c r="U3404">
        <v>-8.9152000000000005</v>
      </c>
    </row>
    <row r="3405" spans="1:21" x14ac:dyDescent="0.35">
      <c r="U3405">
        <v>-52.339199999999998</v>
      </c>
    </row>
    <row r="3406" spans="1:21" x14ac:dyDescent="0.35">
      <c r="U3406">
        <v>3.8940000000000001</v>
      </c>
    </row>
    <row r="3407" spans="1:21" x14ac:dyDescent="0.35">
      <c r="U3407">
        <v>-12.0588</v>
      </c>
    </row>
    <row r="3408" spans="1:21" x14ac:dyDescent="0.35">
      <c r="U3408">
        <v>-12.0588</v>
      </c>
    </row>
    <row r="3409" spans="1:21" x14ac:dyDescent="0.35">
      <c r="U3409">
        <v>-5.2416</v>
      </c>
    </row>
    <row r="3410" spans="1:21" x14ac:dyDescent="0.35">
      <c r="U3410">
        <v>7.8175999999999997</v>
      </c>
    </row>
    <row r="3411" spans="1:21" x14ac:dyDescent="0.35">
      <c r="U3411">
        <v>3.6288</v>
      </c>
    </row>
    <row r="3412" spans="1:21" x14ac:dyDescent="0.35">
      <c r="U3412">
        <v>30.263400000000001</v>
      </c>
    </row>
    <row r="3413" spans="1:21" x14ac:dyDescent="0.35">
      <c r="U3413">
        <v>88.394800000000004</v>
      </c>
    </row>
    <row r="3414" spans="1:21" x14ac:dyDescent="0.35">
      <c r="U3414">
        <v>3.1751999999999998</v>
      </c>
    </row>
    <row r="3415" spans="1:21" x14ac:dyDescent="0.35">
      <c r="U3415">
        <v>37.9848</v>
      </c>
    </row>
    <row r="3416" spans="1:21" x14ac:dyDescent="0.35">
      <c r="U3416">
        <v>15.808</v>
      </c>
    </row>
    <row r="3417" spans="1:21" x14ac:dyDescent="0.35">
      <c r="A3417" s="1"/>
      <c r="U3417">
        <v>0.65159999999999996</v>
      </c>
    </row>
    <row r="3418" spans="1:21" x14ac:dyDescent="0.35">
      <c r="A3418" s="1"/>
      <c r="U3418">
        <v>3.8822000000000001</v>
      </c>
    </row>
    <row r="3419" spans="1:21" x14ac:dyDescent="0.35">
      <c r="U3419">
        <v>3.2669999999999999</v>
      </c>
    </row>
    <row r="3420" spans="1:21" x14ac:dyDescent="0.35">
      <c r="U3420">
        <v>0.73</v>
      </c>
    </row>
    <row r="3421" spans="1:21" x14ac:dyDescent="0.35">
      <c r="A3421" s="1"/>
      <c r="U3421">
        <v>60.392000000000003</v>
      </c>
    </row>
    <row r="3422" spans="1:21" x14ac:dyDescent="0.35">
      <c r="U3422">
        <v>78.671999999999997</v>
      </c>
    </row>
    <row r="3423" spans="1:21" x14ac:dyDescent="0.35">
      <c r="U3423">
        <v>84.051199999999994</v>
      </c>
    </row>
    <row r="3424" spans="1:21" x14ac:dyDescent="0.35">
      <c r="U3424">
        <v>7.8959999999999999</v>
      </c>
    </row>
    <row r="3425" spans="1:21" x14ac:dyDescent="0.35">
      <c r="U3425">
        <v>7.3840000000000003</v>
      </c>
    </row>
    <row r="3426" spans="1:21" x14ac:dyDescent="0.35">
      <c r="U3426">
        <v>41.88</v>
      </c>
    </row>
    <row r="3427" spans="1:21" x14ac:dyDescent="0.35">
      <c r="U3427">
        <v>6.8579999999999997</v>
      </c>
    </row>
    <row r="3428" spans="1:21" x14ac:dyDescent="0.35">
      <c r="U3428">
        <v>394.26799999999997</v>
      </c>
    </row>
    <row r="3429" spans="1:21" x14ac:dyDescent="0.35">
      <c r="A3429" s="1"/>
      <c r="U3429">
        <v>11.102399999999999</v>
      </c>
    </row>
    <row r="3430" spans="1:21" x14ac:dyDescent="0.35">
      <c r="A3430" s="1"/>
      <c r="U3430">
        <v>-103.98820000000001</v>
      </c>
    </row>
    <row r="3431" spans="1:21" x14ac:dyDescent="0.35">
      <c r="A3431" s="1"/>
      <c r="U3431">
        <v>11.223000000000001</v>
      </c>
    </row>
    <row r="3432" spans="1:21" x14ac:dyDescent="0.35">
      <c r="A3432" s="1"/>
      <c r="U3432">
        <v>8.6390999999999991</v>
      </c>
    </row>
    <row r="3433" spans="1:21" x14ac:dyDescent="0.35">
      <c r="A3433" s="1"/>
      <c r="U3433">
        <v>15.468</v>
      </c>
    </row>
    <row r="3434" spans="1:21" x14ac:dyDescent="0.35">
      <c r="A3434" s="1"/>
      <c r="U3434">
        <v>28.857600000000001</v>
      </c>
    </row>
    <row r="3435" spans="1:21" x14ac:dyDescent="0.35">
      <c r="A3435" s="1"/>
      <c r="U3435">
        <v>8.3754000000000008</v>
      </c>
    </row>
    <row r="3436" spans="1:21" x14ac:dyDescent="0.35">
      <c r="A3436" s="1"/>
      <c r="U3436">
        <v>5.4287999999999998</v>
      </c>
    </row>
    <row r="3437" spans="1:21" x14ac:dyDescent="0.35">
      <c r="U3437">
        <v>-22.62</v>
      </c>
    </row>
    <row r="3438" spans="1:21" x14ac:dyDescent="0.35">
      <c r="U3438">
        <v>-12.751200000000001</v>
      </c>
    </row>
    <row r="3439" spans="1:21" x14ac:dyDescent="0.35">
      <c r="U3439">
        <v>-8.5007999999999999</v>
      </c>
    </row>
    <row r="3440" spans="1:21" x14ac:dyDescent="0.35">
      <c r="U3440">
        <v>-68.130200000000002</v>
      </c>
    </row>
    <row r="3441" spans="1:21" x14ac:dyDescent="0.35">
      <c r="U3441">
        <v>4.0644</v>
      </c>
    </row>
    <row r="3442" spans="1:21" x14ac:dyDescent="0.35">
      <c r="U3442">
        <v>1.5602</v>
      </c>
    </row>
    <row r="3443" spans="1:21" x14ac:dyDescent="0.35">
      <c r="A3443" s="1"/>
      <c r="U3443">
        <v>49.014000000000003</v>
      </c>
    </row>
    <row r="3444" spans="1:21" x14ac:dyDescent="0.35">
      <c r="U3444">
        <v>8.3699999999999992</v>
      </c>
    </row>
    <row r="3445" spans="1:21" x14ac:dyDescent="0.35">
      <c r="U3445">
        <v>626.18499999999995</v>
      </c>
    </row>
    <row r="3446" spans="1:21" x14ac:dyDescent="0.35">
      <c r="U3446">
        <v>-16.956800000000001</v>
      </c>
    </row>
    <row r="3447" spans="1:21" x14ac:dyDescent="0.35">
      <c r="A3447" s="1"/>
      <c r="U3447">
        <v>5.0830000000000002</v>
      </c>
    </row>
    <row r="3448" spans="1:21" x14ac:dyDescent="0.35">
      <c r="A3448" s="1"/>
      <c r="U3448">
        <v>33.313600000000001</v>
      </c>
    </row>
    <row r="3449" spans="1:21" x14ac:dyDescent="0.35">
      <c r="A3449" s="1"/>
      <c r="U3449">
        <v>1.0904</v>
      </c>
    </row>
    <row r="3450" spans="1:21" x14ac:dyDescent="0.35">
      <c r="A3450" s="1"/>
      <c r="U3450">
        <v>8.8607999999999993</v>
      </c>
    </row>
    <row r="3451" spans="1:21" x14ac:dyDescent="0.35">
      <c r="A3451" s="1"/>
      <c r="U3451">
        <v>24.359500000000001</v>
      </c>
    </row>
    <row r="3452" spans="1:21" x14ac:dyDescent="0.35">
      <c r="A3452" s="1"/>
      <c r="U3452">
        <v>4.1916000000000002</v>
      </c>
    </row>
    <row r="3453" spans="1:21" x14ac:dyDescent="0.35">
      <c r="A3453" s="1"/>
      <c r="U3453">
        <v>1.9698</v>
      </c>
    </row>
    <row r="3454" spans="1:21" x14ac:dyDescent="0.35">
      <c r="U3454">
        <v>29.495000000000001</v>
      </c>
    </row>
    <row r="3455" spans="1:21" x14ac:dyDescent="0.35">
      <c r="A3455" s="1"/>
      <c r="U3455">
        <v>27.011199999999999</v>
      </c>
    </row>
    <row r="3456" spans="1:21" x14ac:dyDescent="0.35">
      <c r="A3456" s="1"/>
      <c r="U3456">
        <v>0.83850000000000002</v>
      </c>
    </row>
    <row r="3457" spans="1:21" x14ac:dyDescent="0.35">
      <c r="U3457">
        <v>5.5674000000000001</v>
      </c>
    </row>
    <row r="3458" spans="1:21" x14ac:dyDescent="0.35">
      <c r="U3458">
        <v>19.793399999999998</v>
      </c>
    </row>
    <row r="3459" spans="1:21" x14ac:dyDescent="0.35">
      <c r="U3459">
        <v>2.2511999999999999</v>
      </c>
    </row>
    <row r="3460" spans="1:21" x14ac:dyDescent="0.35">
      <c r="U3460">
        <v>-2.7551999999999999</v>
      </c>
    </row>
    <row r="3461" spans="1:21" x14ac:dyDescent="0.35">
      <c r="U3461">
        <v>-412.61540000000002</v>
      </c>
    </row>
    <row r="3462" spans="1:21" x14ac:dyDescent="0.35">
      <c r="U3462">
        <v>14.395200000000001</v>
      </c>
    </row>
    <row r="3463" spans="1:21" x14ac:dyDescent="0.35">
      <c r="A3463" s="1"/>
      <c r="U3463">
        <v>55.436399999999999</v>
      </c>
    </row>
    <row r="3464" spans="1:21" x14ac:dyDescent="0.35">
      <c r="U3464">
        <v>74.565399999999997</v>
      </c>
    </row>
    <row r="3465" spans="1:21" x14ac:dyDescent="0.35">
      <c r="U3465">
        <v>1.651</v>
      </c>
    </row>
    <row r="3466" spans="1:21" x14ac:dyDescent="0.35">
      <c r="A3466" s="1"/>
      <c r="U3466">
        <v>7.1988000000000003</v>
      </c>
    </row>
    <row r="3467" spans="1:21" x14ac:dyDescent="0.35">
      <c r="A3467" s="1"/>
      <c r="U3467">
        <v>16.1096</v>
      </c>
    </row>
    <row r="3468" spans="1:21" x14ac:dyDescent="0.35">
      <c r="A3468" s="1"/>
      <c r="U3468">
        <v>83.250799999999998</v>
      </c>
    </row>
    <row r="3469" spans="1:21" x14ac:dyDescent="0.35">
      <c r="A3469" s="1"/>
      <c r="U3469">
        <v>125.46899999999999</v>
      </c>
    </row>
    <row r="3470" spans="1:21" x14ac:dyDescent="0.35">
      <c r="U3470">
        <v>58.687199999999997</v>
      </c>
    </row>
    <row r="3471" spans="1:21" x14ac:dyDescent="0.35">
      <c r="A3471" s="1"/>
      <c r="U3471">
        <v>16.183800000000002</v>
      </c>
    </row>
    <row r="3472" spans="1:21" x14ac:dyDescent="0.35">
      <c r="A3472" s="1"/>
      <c r="U3472">
        <v>4.3524000000000003</v>
      </c>
    </row>
    <row r="3473" spans="1:21" x14ac:dyDescent="0.35">
      <c r="A3473" s="1"/>
      <c r="U3473">
        <v>3.5255999999999998</v>
      </c>
    </row>
    <row r="3474" spans="1:21" x14ac:dyDescent="0.35">
      <c r="A3474" s="1"/>
      <c r="U3474">
        <v>3.0133999999999999</v>
      </c>
    </row>
    <row r="3475" spans="1:21" x14ac:dyDescent="0.35">
      <c r="A3475" s="1"/>
      <c r="U3475">
        <v>47.0548</v>
      </c>
    </row>
    <row r="3476" spans="1:21" x14ac:dyDescent="0.35">
      <c r="A3476" s="1"/>
      <c r="U3476">
        <v>42.991399999999999</v>
      </c>
    </row>
    <row r="3477" spans="1:21" x14ac:dyDescent="0.35">
      <c r="U3477">
        <v>15.378</v>
      </c>
    </row>
    <row r="3478" spans="1:21" x14ac:dyDescent="0.35">
      <c r="U3478">
        <v>69.92</v>
      </c>
    </row>
    <row r="3479" spans="1:21" x14ac:dyDescent="0.35">
      <c r="U3479">
        <v>18.504000000000001</v>
      </c>
    </row>
    <row r="3480" spans="1:21" x14ac:dyDescent="0.35">
      <c r="A3480" s="1"/>
      <c r="U3480">
        <v>2.4824000000000002</v>
      </c>
    </row>
    <row r="3481" spans="1:21" x14ac:dyDescent="0.35">
      <c r="A3481" s="1"/>
      <c r="U3481">
        <v>21.7728</v>
      </c>
    </row>
    <row r="3482" spans="1:21" x14ac:dyDescent="0.35">
      <c r="A3482" s="1"/>
      <c r="U3482">
        <v>-195.47880000000001</v>
      </c>
    </row>
    <row r="3483" spans="1:21" x14ac:dyDescent="0.35">
      <c r="A3483" s="1"/>
      <c r="U3483">
        <v>2.7776000000000001</v>
      </c>
    </row>
    <row r="3484" spans="1:21" x14ac:dyDescent="0.35">
      <c r="U3484">
        <v>168.18549999999999</v>
      </c>
    </row>
    <row r="3485" spans="1:21" x14ac:dyDescent="0.35">
      <c r="U3485">
        <v>12.521599999999999</v>
      </c>
    </row>
    <row r="3486" spans="1:21" x14ac:dyDescent="0.35">
      <c r="U3486">
        <v>300.73500000000001</v>
      </c>
    </row>
    <row r="3487" spans="1:21" x14ac:dyDescent="0.35">
      <c r="U3487">
        <v>3.5640000000000001</v>
      </c>
    </row>
    <row r="3488" spans="1:21" x14ac:dyDescent="0.35">
      <c r="U3488">
        <v>2.7143999999999999</v>
      </c>
    </row>
    <row r="3489" spans="1:21" x14ac:dyDescent="0.35">
      <c r="A3489" s="1"/>
      <c r="U3489">
        <v>-29.436800000000002</v>
      </c>
    </row>
    <row r="3490" spans="1:21" x14ac:dyDescent="0.35">
      <c r="A3490" s="1"/>
      <c r="U3490">
        <v>-5.8346</v>
      </c>
    </row>
    <row r="3491" spans="1:21" x14ac:dyDescent="0.35">
      <c r="A3491" s="1"/>
      <c r="U3491">
        <v>-92.799599999999998</v>
      </c>
    </row>
    <row r="3492" spans="1:21" x14ac:dyDescent="0.35">
      <c r="A3492" s="1"/>
      <c r="U3492">
        <v>6.0025000000000004</v>
      </c>
    </row>
    <row r="3493" spans="1:21" x14ac:dyDescent="0.35">
      <c r="A3493" s="1"/>
      <c r="U3493">
        <v>48.994199999999999</v>
      </c>
    </row>
    <row r="3494" spans="1:21" x14ac:dyDescent="0.35">
      <c r="A3494" s="1"/>
      <c r="U3494">
        <v>3.7692000000000001</v>
      </c>
    </row>
    <row r="3495" spans="1:21" x14ac:dyDescent="0.35">
      <c r="U3495">
        <v>12.96</v>
      </c>
    </row>
    <row r="3496" spans="1:21" x14ac:dyDescent="0.35">
      <c r="U3496">
        <v>275.47800000000001</v>
      </c>
    </row>
    <row r="3497" spans="1:21" x14ac:dyDescent="0.35">
      <c r="U3497">
        <v>181.17599999999999</v>
      </c>
    </row>
    <row r="3498" spans="1:21" x14ac:dyDescent="0.35">
      <c r="A3498" s="1"/>
      <c r="U3498">
        <v>12.8256</v>
      </c>
    </row>
    <row r="3499" spans="1:21" x14ac:dyDescent="0.35">
      <c r="A3499" s="1"/>
      <c r="U3499">
        <v>136.61760000000001</v>
      </c>
    </row>
    <row r="3500" spans="1:21" x14ac:dyDescent="0.35">
      <c r="A3500" s="1"/>
      <c r="U3500">
        <v>5.3339999999999996</v>
      </c>
    </row>
    <row r="3501" spans="1:21" x14ac:dyDescent="0.35">
      <c r="U3501">
        <v>71.389799999999994</v>
      </c>
    </row>
    <row r="3502" spans="1:21" x14ac:dyDescent="0.35">
      <c r="U3502">
        <v>30.211200000000002</v>
      </c>
    </row>
    <row r="3503" spans="1:21" x14ac:dyDescent="0.35">
      <c r="U3503">
        <v>7.7759999999999998</v>
      </c>
    </row>
    <row r="3504" spans="1:21" x14ac:dyDescent="0.35">
      <c r="A3504" s="1"/>
      <c r="U3504">
        <v>3.6288</v>
      </c>
    </row>
    <row r="3505" spans="1:21" x14ac:dyDescent="0.35">
      <c r="A3505" s="1"/>
      <c r="U3505">
        <v>20.343900000000001</v>
      </c>
    </row>
    <row r="3506" spans="1:21" x14ac:dyDescent="0.35">
      <c r="U3506">
        <v>117.0104</v>
      </c>
    </row>
    <row r="3507" spans="1:21" x14ac:dyDescent="0.35">
      <c r="U3507">
        <v>20.1584</v>
      </c>
    </row>
    <row r="3508" spans="1:21" x14ac:dyDescent="0.35">
      <c r="U3508">
        <v>-5.0880000000000001</v>
      </c>
    </row>
    <row r="3509" spans="1:21" x14ac:dyDescent="0.35">
      <c r="U3509">
        <v>-19.874400000000001</v>
      </c>
    </row>
    <row r="3510" spans="1:21" x14ac:dyDescent="0.35">
      <c r="U3510">
        <v>5.4432</v>
      </c>
    </row>
    <row r="3511" spans="1:21" x14ac:dyDescent="0.35">
      <c r="U3511">
        <v>4.0768000000000004</v>
      </c>
    </row>
    <row r="3512" spans="1:21" x14ac:dyDescent="0.35">
      <c r="U3512">
        <v>-97.72</v>
      </c>
    </row>
    <row r="3513" spans="1:21" x14ac:dyDescent="0.35">
      <c r="U3513">
        <v>-127.372</v>
      </c>
    </row>
    <row r="3514" spans="1:21" x14ac:dyDescent="0.35">
      <c r="A3514" s="1"/>
      <c r="U3514">
        <v>-117.88200000000001</v>
      </c>
    </row>
    <row r="3515" spans="1:21" x14ac:dyDescent="0.35">
      <c r="A3515" s="1"/>
      <c r="U3515">
        <v>5.55</v>
      </c>
    </row>
    <row r="3516" spans="1:21" x14ac:dyDescent="0.35">
      <c r="A3516" s="1"/>
      <c r="U3516">
        <v>0.86399999999999999</v>
      </c>
    </row>
    <row r="3517" spans="1:21" x14ac:dyDescent="0.35">
      <c r="U3517">
        <v>8.6189999999999998</v>
      </c>
    </row>
    <row r="3518" spans="1:21" x14ac:dyDescent="0.35">
      <c r="A3518" s="1"/>
      <c r="U3518">
        <v>9.6300000000000008</v>
      </c>
    </row>
    <row r="3519" spans="1:21" x14ac:dyDescent="0.35">
      <c r="A3519" s="1"/>
      <c r="U3519">
        <v>4.4783999999999997</v>
      </c>
    </row>
    <row r="3520" spans="1:21" x14ac:dyDescent="0.35">
      <c r="A3520" s="1"/>
      <c r="U3520">
        <v>64.072800000000001</v>
      </c>
    </row>
    <row r="3521" spans="1:21" x14ac:dyDescent="0.35">
      <c r="U3521">
        <v>-525.64049999999997</v>
      </c>
    </row>
    <row r="3522" spans="1:21" x14ac:dyDescent="0.35">
      <c r="A3522" s="1"/>
      <c r="U3522">
        <v>4.3308</v>
      </c>
    </row>
    <row r="3523" spans="1:21" x14ac:dyDescent="0.35">
      <c r="U3523">
        <v>19.825399999999998</v>
      </c>
    </row>
    <row r="3524" spans="1:21" x14ac:dyDescent="0.35">
      <c r="U3524">
        <v>109.3338</v>
      </c>
    </row>
    <row r="3525" spans="1:21" x14ac:dyDescent="0.35">
      <c r="A3525" s="1"/>
      <c r="U3525">
        <v>29</v>
      </c>
    </row>
    <row r="3526" spans="1:21" x14ac:dyDescent="0.35">
      <c r="U3526">
        <v>49.316400000000002</v>
      </c>
    </row>
    <row r="3527" spans="1:21" x14ac:dyDescent="0.35">
      <c r="A3527" s="1"/>
      <c r="U3527">
        <v>257.9871</v>
      </c>
    </row>
    <row r="3528" spans="1:21" x14ac:dyDescent="0.35">
      <c r="A3528" s="1"/>
      <c r="U3528">
        <v>0.77939999999999998</v>
      </c>
    </row>
    <row r="3529" spans="1:21" x14ac:dyDescent="0.35">
      <c r="A3529" s="1"/>
      <c r="U3529">
        <v>22.0032</v>
      </c>
    </row>
    <row r="3530" spans="1:21" x14ac:dyDescent="0.35">
      <c r="U3530">
        <v>-9.56</v>
      </c>
    </row>
    <row r="3531" spans="1:21" x14ac:dyDescent="0.35">
      <c r="U3531">
        <v>10.896000000000001</v>
      </c>
    </row>
    <row r="3532" spans="1:21" x14ac:dyDescent="0.35">
      <c r="U3532">
        <v>6.2060000000000004</v>
      </c>
    </row>
    <row r="3533" spans="1:21" x14ac:dyDescent="0.35">
      <c r="U3533">
        <v>15.372</v>
      </c>
    </row>
    <row r="3534" spans="1:21" x14ac:dyDescent="0.35">
      <c r="U3534">
        <v>97.1892</v>
      </c>
    </row>
    <row r="3535" spans="1:21" x14ac:dyDescent="0.35">
      <c r="U3535">
        <v>3.8048000000000002</v>
      </c>
    </row>
    <row r="3536" spans="1:21" x14ac:dyDescent="0.35">
      <c r="U3536">
        <v>3.5474999999999999</v>
      </c>
    </row>
    <row r="3537" spans="1:21" x14ac:dyDescent="0.35">
      <c r="U3537">
        <v>3.6021999999999998</v>
      </c>
    </row>
    <row r="3538" spans="1:21" x14ac:dyDescent="0.35">
      <c r="U3538">
        <v>0.40739999999999998</v>
      </c>
    </row>
    <row r="3539" spans="1:21" x14ac:dyDescent="0.35">
      <c r="A3539" s="1"/>
      <c r="U3539">
        <v>14.984999999999999</v>
      </c>
    </row>
    <row r="3540" spans="1:21" x14ac:dyDescent="0.35">
      <c r="A3540" s="1"/>
      <c r="U3540">
        <v>4.5359999999999996</v>
      </c>
    </row>
    <row r="3541" spans="1:21" x14ac:dyDescent="0.35">
      <c r="A3541" s="1"/>
      <c r="U3541">
        <v>9.4990000000000006</v>
      </c>
    </row>
    <row r="3542" spans="1:21" x14ac:dyDescent="0.35">
      <c r="A3542" s="1"/>
      <c r="U3542">
        <v>21.7728</v>
      </c>
    </row>
    <row r="3543" spans="1:21" x14ac:dyDescent="0.35">
      <c r="U3543">
        <v>1.6055999999999999</v>
      </c>
    </row>
    <row r="3544" spans="1:21" x14ac:dyDescent="0.35">
      <c r="U3544">
        <v>-7.0979999999999999</v>
      </c>
    </row>
    <row r="3545" spans="1:21" x14ac:dyDescent="0.35">
      <c r="U3545">
        <v>0.3674</v>
      </c>
    </row>
    <row r="3546" spans="1:21" x14ac:dyDescent="0.35">
      <c r="U3546">
        <v>10.393599999999999</v>
      </c>
    </row>
    <row r="3547" spans="1:21" x14ac:dyDescent="0.35">
      <c r="U3547">
        <v>-74.745599999999996</v>
      </c>
    </row>
    <row r="3548" spans="1:21" x14ac:dyDescent="0.35">
      <c r="U3548">
        <v>4.2392000000000003</v>
      </c>
    </row>
    <row r="3549" spans="1:21" x14ac:dyDescent="0.35">
      <c r="U3549">
        <v>10.518000000000001</v>
      </c>
    </row>
    <row r="3550" spans="1:21" x14ac:dyDescent="0.35">
      <c r="U3550">
        <v>9.1638000000000002</v>
      </c>
    </row>
    <row r="3551" spans="1:21" x14ac:dyDescent="0.35">
      <c r="U3551">
        <v>14.4</v>
      </c>
    </row>
    <row r="3552" spans="1:21" x14ac:dyDescent="0.35">
      <c r="U3552">
        <v>15.934799999999999</v>
      </c>
    </row>
    <row r="3553" spans="1:21" x14ac:dyDescent="0.35">
      <c r="U3553">
        <v>-36.176400000000001</v>
      </c>
    </row>
    <row r="3554" spans="1:21" x14ac:dyDescent="0.35">
      <c r="U3554">
        <v>60.955199999999998</v>
      </c>
    </row>
    <row r="3555" spans="1:21" x14ac:dyDescent="0.35">
      <c r="U3555">
        <v>-5.9808000000000003</v>
      </c>
    </row>
    <row r="3556" spans="1:21" x14ac:dyDescent="0.35">
      <c r="U3556">
        <v>85.903999999999996</v>
      </c>
    </row>
    <row r="3557" spans="1:21" x14ac:dyDescent="0.35">
      <c r="U3557">
        <v>37.796999999999997</v>
      </c>
    </row>
    <row r="3558" spans="1:21" x14ac:dyDescent="0.35">
      <c r="A3558" s="1"/>
      <c r="U3558">
        <v>21.7728</v>
      </c>
    </row>
    <row r="3559" spans="1:21" x14ac:dyDescent="0.35">
      <c r="A3559" s="1"/>
      <c r="U3559">
        <v>3.6714000000000002</v>
      </c>
    </row>
    <row r="3560" spans="1:21" x14ac:dyDescent="0.35">
      <c r="A3560" s="1"/>
      <c r="U3560">
        <v>7.6272000000000002</v>
      </c>
    </row>
    <row r="3561" spans="1:21" x14ac:dyDescent="0.35">
      <c r="A3561" s="1"/>
      <c r="U3561">
        <v>145.13399999999999</v>
      </c>
    </row>
    <row r="3562" spans="1:21" x14ac:dyDescent="0.35">
      <c r="A3562" s="1"/>
      <c r="U3562">
        <v>0.61919999999999997</v>
      </c>
    </row>
    <row r="3563" spans="1:21" x14ac:dyDescent="0.35">
      <c r="A3563" s="1"/>
      <c r="U3563">
        <v>-20.448</v>
      </c>
    </row>
    <row r="3564" spans="1:21" x14ac:dyDescent="0.35">
      <c r="A3564" s="1"/>
      <c r="U3564">
        <v>-3.0575999999999999</v>
      </c>
    </row>
    <row r="3565" spans="1:21" x14ac:dyDescent="0.35">
      <c r="A3565" s="1"/>
      <c r="U3565">
        <v>3.7440000000000002</v>
      </c>
    </row>
    <row r="3566" spans="1:21" x14ac:dyDescent="0.35">
      <c r="A3566" s="1"/>
      <c r="U3566">
        <v>6.2207999999999997</v>
      </c>
    </row>
    <row r="3567" spans="1:21" x14ac:dyDescent="0.35">
      <c r="A3567" s="1"/>
      <c r="U3567">
        <v>7.9200000000000007E-2</v>
      </c>
    </row>
    <row r="3568" spans="1:21" x14ac:dyDescent="0.35">
      <c r="A3568" s="1"/>
      <c r="U3568">
        <v>757.41120000000001</v>
      </c>
    </row>
    <row r="3569" spans="1:21" x14ac:dyDescent="0.35">
      <c r="A3569" s="1"/>
      <c r="U3569">
        <v>-12.006399999999999</v>
      </c>
    </row>
    <row r="3570" spans="1:21" x14ac:dyDescent="0.35">
      <c r="A3570" s="1"/>
      <c r="U3570">
        <v>26.391200000000001</v>
      </c>
    </row>
    <row r="3571" spans="1:21" x14ac:dyDescent="0.35">
      <c r="A3571" s="1"/>
      <c r="U3571">
        <v>209.58</v>
      </c>
    </row>
    <row r="3572" spans="1:21" x14ac:dyDescent="0.35">
      <c r="A3572" s="1"/>
      <c r="U3572">
        <v>742.63199999999995</v>
      </c>
    </row>
    <row r="3573" spans="1:21" x14ac:dyDescent="0.35">
      <c r="A3573" s="1"/>
      <c r="U3573">
        <v>2.6972999999999998</v>
      </c>
    </row>
    <row r="3574" spans="1:21" x14ac:dyDescent="0.35">
      <c r="U3574">
        <v>1.8144</v>
      </c>
    </row>
    <row r="3575" spans="1:21" x14ac:dyDescent="0.35">
      <c r="A3575" s="1"/>
      <c r="U3575">
        <v>5.4896000000000003</v>
      </c>
    </row>
    <row r="3576" spans="1:21" x14ac:dyDescent="0.35">
      <c r="A3576" s="1"/>
      <c r="U3576">
        <v>26.2</v>
      </c>
    </row>
    <row r="3577" spans="1:21" x14ac:dyDescent="0.35">
      <c r="U3577">
        <v>4.8924000000000003</v>
      </c>
    </row>
    <row r="3578" spans="1:21" x14ac:dyDescent="0.35">
      <c r="A3578" s="1"/>
      <c r="U3578">
        <v>1.5548</v>
      </c>
    </row>
    <row r="3579" spans="1:21" x14ac:dyDescent="0.35">
      <c r="A3579" s="1"/>
      <c r="U3579">
        <v>2.3176999999999999</v>
      </c>
    </row>
    <row r="3580" spans="1:21" x14ac:dyDescent="0.35">
      <c r="U3580">
        <v>0.31559999999999999</v>
      </c>
    </row>
    <row r="3581" spans="1:21" x14ac:dyDescent="0.35">
      <c r="U3581">
        <v>32.094999999999999</v>
      </c>
    </row>
    <row r="3582" spans="1:21" x14ac:dyDescent="0.35">
      <c r="U3582">
        <v>388.81279999999998</v>
      </c>
    </row>
    <row r="3583" spans="1:21" x14ac:dyDescent="0.35">
      <c r="A3583" s="1"/>
      <c r="U3583">
        <v>50.328000000000003</v>
      </c>
    </row>
    <row r="3584" spans="1:21" x14ac:dyDescent="0.35">
      <c r="A3584" s="1"/>
      <c r="U3584">
        <v>1.5209999999999999</v>
      </c>
    </row>
    <row r="3585" spans="1:21" x14ac:dyDescent="0.35">
      <c r="A3585" s="1"/>
      <c r="U3585">
        <v>200.49</v>
      </c>
    </row>
    <row r="3586" spans="1:21" x14ac:dyDescent="0.35">
      <c r="A3586" s="1"/>
      <c r="U3586">
        <v>32.633200000000002</v>
      </c>
    </row>
    <row r="3587" spans="1:21" x14ac:dyDescent="0.35">
      <c r="A3587" s="1"/>
      <c r="U3587">
        <v>1.2005999999999999</v>
      </c>
    </row>
    <row r="3588" spans="1:21" x14ac:dyDescent="0.35">
      <c r="A3588" s="1"/>
      <c r="U3588">
        <v>1.6688000000000001</v>
      </c>
    </row>
    <row r="3589" spans="1:21" x14ac:dyDescent="0.35">
      <c r="U3589">
        <v>-253.43369999999999</v>
      </c>
    </row>
    <row r="3590" spans="1:21" x14ac:dyDescent="0.35">
      <c r="U3590">
        <v>33.312399999999997</v>
      </c>
    </row>
    <row r="3591" spans="1:21" x14ac:dyDescent="0.35">
      <c r="U3591">
        <v>1.4112</v>
      </c>
    </row>
    <row r="3592" spans="1:21" x14ac:dyDescent="0.35">
      <c r="U3592">
        <v>375.42959999999999</v>
      </c>
    </row>
    <row r="3593" spans="1:21" x14ac:dyDescent="0.35">
      <c r="U3593">
        <v>0.36499999999999999</v>
      </c>
    </row>
    <row r="3594" spans="1:21" x14ac:dyDescent="0.35">
      <c r="A3594" s="1"/>
      <c r="U3594">
        <v>120.9468</v>
      </c>
    </row>
    <row r="3595" spans="1:21" x14ac:dyDescent="0.35">
      <c r="A3595" s="1"/>
      <c r="U3595">
        <v>-17.942399999999999</v>
      </c>
    </row>
    <row r="3596" spans="1:21" x14ac:dyDescent="0.35">
      <c r="A3596" s="1"/>
      <c r="U3596">
        <v>3.7519999999999998</v>
      </c>
    </row>
    <row r="3597" spans="1:21" x14ac:dyDescent="0.35">
      <c r="A3597" s="1"/>
      <c r="U3597">
        <v>0.4264</v>
      </c>
    </row>
    <row r="3598" spans="1:21" x14ac:dyDescent="0.35">
      <c r="A3598" s="1"/>
      <c r="U3598">
        <v>5.4432</v>
      </c>
    </row>
    <row r="3599" spans="1:21" x14ac:dyDescent="0.35">
      <c r="A3599" s="1"/>
      <c r="U3599">
        <v>-4.8528000000000002</v>
      </c>
    </row>
    <row r="3600" spans="1:21" x14ac:dyDescent="0.35">
      <c r="A3600" s="1"/>
      <c r="U3600">
        <v>5.0232000000000001</v>
      </c>
    </row>
    <row r="3601" spans="1:21" x14ac:dyDescent="0.35">
      <c r="A3601" s="1"/>
      <c r="U3601">
        <v>-31.6204</v>
      </c>
    </row>
    <row r="3602" spans="1:21" x14ac:dyDescent="0.35">
      <c r="U3602">
        <v>64.789199999999994</v>
      </c>
    </row>
    <row r="3603" spans="1:21" x14ac:dyDescent="0.35">
      <c r="U3603">
        <v>3.89</v>
      </c>
    </row>
    <row r="3604" spans="1:21" x14ac:dyDescent="0.35">
      <c r="U3604">
        <v>-93.99</v>
      </c>
    </row>
    <row r="3605" spans="1:21" x14ac:dyDescent="0.35">
      <c r="U3605">
        <v>133.15199999999999</v>
      </c>
    </row>
    <row r="3606" spans="1:21" x14ac:dyDescent="0.35">
      <c r="U3606">
        <v>8.5543999999999993</v>
      </c>
    </row>
    <row r="3607" spans="1:21" x14ac:dyDescent="0.35">
      <c r="U3607">
        <v>31.252800000000001</v>
      </c>
    </row>
    <row r="3608" spans="1:21" x14ac:dyDescent="0.35">
      <c r="A3608" s="1"/>
      <c r="U3608">
        <v>13.4964</v>
      </c>
    </row>
    <row r="3609" spans="1:21" x14ac:dyDescent="0.35">
      <c r="U3609">
        <v>47.061</v>
      </c>
    </row>
    <row r="3610" spans="1:21" x14ac:dyDescent="0.35">
      <c r="U3610">
        <v>2.5055999999999998</v>
      </c>
    </row>
    <row r="3611" spans="1:21" x14ac:dyDescent="0.35">
      <c r="U3611">
        <v>2.0322</v>
      </c>
    </row>
    <row r="3612" spans="1:21" x14ac:dyDescent="0.35">
      <c r="U3612">
        <v>-37.733199999999997</v>
      </c>
    </row>
    <row r="3613" spans="1:21" x14ac:dyDescent="0.35">
      <c r="U3613">
        <v>16.794599999999999</v>
      </c>
    </row>
    <row r="3614" spans="1:21" x14ac:dyDescent="0.35">
      <c r="A3614" s="1"/>
      <c r="U3614">
        <v>5.5511999999999997</v>
      </c>
    </row>
    <row r="3615" spans="1:21" x14ac:dyDescent="0.35">
      <c r="A3615" s="1"/>
      <c r="U3615">
        <v>10.5754</v>
      </c>
    </row>
    <row r="3616" spans="1:21" x14ac:dyDescent="0.35">
      <c r="U3616">
        <v>-71.811599999999999</v>
      </c>
    </row>
    <row r="3617" spans="1:21" x14ac:dyDescent="0.35">
      <c r="U3617">
        <v>8.7384000000000004</v>
      </c>
    </row>
    <row r="3618" spans="1:21" x14ac:dyDescent="0.35">
      <c r="A3618" s="1"/>
      <c r="U3618">
        <v>-7.3254999999999999</v>
      </c>
    </row>
    <row r="3619" spans="1:21" x14ac:dyDescent="0.35">
      <c r="A3619" s="1"/>
      <c r="U3619">
        <v>152.495</v>
      </c>
    </row>
    <row r="3620" spans="1:21" x14ac:dyDescent="0.35">
      <c r="A3620" s="1"/>
      <c r="U3620">
        <v>1.7375</v>
      </c>
    </row>
    <row r="3621" spans="1:21" x14ac:dyDescent="0.35">
      <c r="A3621" s="1"/>
      <c r="U3621">
        <v>65.355000000000004</v>
      </c>
    </row>
    <row r="3622" spans="1:21" x14ac:dyDescent="0.35">
      <c r="U3622">
        <v>4.5872999999999999</v>
      </c>
    </row>
    <row r="3623" spans="1:21" x14ac:dyDescent="0.35">
      <c r="U3623">
        <v>5.5944000000000003</v>
      </c>
    </row>
    <row r="3624" spans="1:21" x14ac:dyDescent="0.35">
      <c r="U3624">
        <v>52.688000000000002</v>
      </c>
    </row>
    <row r="3625" spans="1:21" x14ac:dyDescent="0.35">
      <c r="U3625">
        <v>3.4367999999999999</v>
      </c>
    </row>
    <row r="3626" spans="1:21" x14ac:dyDescent="0.35">
      <c r="U3626">
        <v>42.588000000000001</v>
      </c>
    </row>
    <row r="3627" spans="1:21" x14ac:dyDescent="0.35">
      <c r="U3627">
        <v>1.0207999999999999</v>
      </c>
    </row>
    <row r="3628" spans="1:21" x14ac:dyDescent="0.35">
      <c r="U3628">
        <v>1.395</v>
      </c>
    </row>
    <row r="3629" spans="1:21" x14ac:dyDescent="0.35">
      <c r="U3629">
        <v>10.896000000000001</v>
      </c>
    </row>
    <row r="3630" spans="1:21" x14ac:dyDescent="0.35">
      <c r="A3630" s="1"/>
      <c r="U3630">
        <v>643.98249999999996</v>
      </c>
    </row>
    <row r="3631" spans="1:21" x14ac:dyDescent="0.35">
      <c r="U3631">
        <v>9.8010000000000002</v>
      </c>
    </row>
    <row r="3632" spans="1:21" x14ac:dyDescent="0.35">
      <c r="U3632">
        <v>23.977799999999998</v>
      </c>
    </row>
    <row r="3633" spans="1:21" x14ac:dyDescent="0.35">
      <c r="A3633" s="1"/>
      <c r="U3633">
        <v>19.465599999999998</v>
      </c>
    </row>
    <row r="3634" spans="1:21" x14ac:dyDescent="0.35">
      <c r="A3634" s="1"/>
      <c r="U3634">
        <v>45.806399999999996</v>
      </c>
    </row>
    <row r="3635" spans="1:21" x14ac:dyDescent="0.35">
      <c r="A3635" s="1"/>
      <c r="U3635">
        <v>3.3408000000000002</v>
      </c>
    </row>
    <row r="3636" spans="1:21" x14ac:dyDescent="0.35">
      <c r="A3636" s="1"/>
      <c r="U3636">
        <v>-9.7902000000000005</v>
      </c>
    </row>
    <row r="3637" spans="1:21" x14ac:dyDescent="0.35">
      <c r="A3637" s="1"/>
      <c r="U3637">
        <v>32.468400000000003</v>
      </c>
    </row>
    <row r="3638" spans="1:21" x14ac:dyDescent="0.35">
      <c r="A3638" s="1"/>
      <c r="U3638">
        <v>7.5087000000000002</v>
      </c>
    </row>
    <row r="3639" spans="1:21" x14ac:dyDescent="0.35">
      <c r="A3639" s="1"/>
      <c r="U3639">
        <v>29.302</v>
      </c>
    </row>
    <row r="3640" spans="1:21" x14ac:dyDescent="0.35">
      <c r="A3640" s="1"/>
      <c r="U3640">
        <v>29.657599999999999</v>
      </c>
    </row>
    <row r="3641" spans="1:21" x14ac:dyDescent="0.35">
      <c r="A3641" s="1"/>
      <c r="U3641">
        <v>1.6761999999999999</v>
      </c>
    </row>
    <row r="3642" spans="1:21" x14ac:dyDescent="0.35">
      <c r="A3642" s="1"/>
      <c r="U3642">
        <v>-29.0745</v>
      </c>
    </row>
    <row r="3643" spans="1:21" x14ac:dyDescent="0.35">
      <c r="A3643" s="1"/>
      <c r="U3643">
        <v>-46.591999999999999</v>
      </c>
    </row>
    <row r="3644" spans="1:21" x14ac:dyDescent="0.35">
      <c r="U3644">
        <v>152.495</v>
      </c>
    </row>
    <row r="3645" spans="1:21" x14ac:dyDescent="0.35">
      <c r="U3645">
        <v>12.298</v>
      </c>
    </row>
    <row r="3646" spans="1:21" x14ac:dyDescent="0.35">
      <c r="U3646">
        <v>1.1564000000000001</v>
      </c>
    </row>
    <row r="3647" spans="1:21" x14ac:dyDescent="0.35">
      <c r="U3647">
        <v>50.414000000000001</v>
      </c>
    </row>
    <row r="3648" spans="1:21" x14ac:dyDescent="0.35">
      <c r="U3648">
        <v>3.1751999999999998</v>
      </c>
    </row>
    <row r="3649" spans="1:21" x14ac:dyDescent="0.35">
      <c r="U3649">
        <v>4.5007999999999999</v>
      </c>
    </row>
    <row r="3650" spans="1:21" x14ac:dyDescent="0.35">
      <c r="U3650">
        <v>-2.0621999999999998</v>
      </c>
    </row>
    <row r="3651" spans="1:21" x14ac:dyDescent="0.35">
      <c r="U3651">
        <v>18.5976</v>
      </c>
    </row>
    <row r="3652" spans="1:21" x14ac:dyDescent="0.35">
      <c r="A3652" s="1"/>
      <c r="U3652">
        <v>41.951999999999998</v>
      </c>
    </row>
    <row r="3653" spans="1:21" x14ac:dyDescent="0.35">
      <c r="A3653" s="1"/>
      <c r="U3653">
        <v>12.492000000000001</v>
      </c>
    </row>
    <row r="3654" spans="1:21" x14ac:dyDescent="0.35">
      <c r="A3654" s="1"/>
      <c r="U3654">
        <v>15.511200000000001</v>
      </c>
    </row>
    <row r="3655" spans="1:21" x14ac:dyDescent="0.35">
      <c r="A3655" s="1"/>
      <c r="U3655">
        <v>7.0217999999999998</v>
      </c>
    </row>
    <row r="3656" spans="1:21" x14ac:dyDescent="0.35">
      <c r="U3656">
        <v>166.06979999999999</v>
      </c>
    </row>
    <row r="3657" spans="1:21" x14ac:dyDescent="0.35">
      <c r="U3657">
        <v>-21.294</v>
      </c>
    </row>
    <row r="3658" spans="1:21" x14ac:dyDescent="0.35">
      <c r="A3658" s="1"/>
      <c r="U3658">
        <v>1.7055</v>
      </c>
    </row>
    <row r="3659" spans="1:21" x14ac:dyDescent="0.35">
      <c r="A3659" s="1"/>
      <c r="U3659">
        <v>2.9321999999999999</v>
      </c>
    </row>
    <row r="3660" spans="1:21" x14ac:dyDescent="0.35">
      <c r="A3660" s="1"/>
      <c r="U3660">
        <v>3.86</v>
      </c>
    </row>
    <row r="3661" spans="1:21" x14ac:dyDescent="0.35">
      <c r="A3661" s="1"/>
      <c r="U3661">
        <v>1.4418</v>
      </c>
    </row>
    <row r="3662" spans="1:21" x14ac:dyDescent="0.35">
      <c r="U3662">
        <v>4.2249999999999996</v>
      </c>
    </row>
    <row r="3663" spans="1:21" x14ac:dyDescent="0.35">
      <c r="U3663">
        <v>94.492500000000007</v>
      </c>
    </row>
    <row r="3664" spans="1:21" x14ac:dyDescent="0.35">
      <c r="A3664" s="1"/>
      <c r="U3664">
        <v>93.203999999999994</v>
      </c>
    </row>
    <row r="3665" spans="1:21" x14ac:dyDescent="0.35">
      <c r="A3665" s="1"/>
      <c r="U3665">
        <v>11.543200000000001</v>
      </c>
    </row>
    <row r="3666" spans="1:21" x14ac:dyDescent="0.35">
      <c r="A3666" s="1"/>
      <c r="U3666">
        <v>9.0635999999999992</v>
      </c>
    </row>
    <row r="3667" spans="1:21" x14ac:dyDescent="0.35">
      <c r="A3667" s="1"/>
      <c r="U3667">
        <v>-4.5191999999999997</v>
      </c>
    </row>
    <row r="3668" spans="1:21" x14ac:dyDescent="0.35">
      <c r="A3668" s="1"/>
      <c r="U3668">
        <v>19.754999999999999</v>
      </c>
    </row>
    <row r="3669" spans="1:21" x14ac:dyDescent="0.35">
      <c r="A3669" s="1"/>
      <c r="U3669">
        <v>-2.6025</v>
      </c>
    </row>
    <row r="3670" spans="1:21" x14ac:dyDescent="0.35">
      <c r="A3670" s="1"/>
      <c r="U3670">
        <v>-18.186</v>
      </c>
    </row>
    <row r="3671" spans="1:21" x14ac:dyDescent="0.35">
      <c r="A3671" s="1"/>
      <c r="U3671">
        <v>3.7440000000000002</v>
      </c>
    </row>
    <row r="3672" spans="1:21" x14ac:dyDescent="0.35">
      <c r="A3672" s="1"/>
      <c r="U3672">
        <v>3.6288</v>
      </c>
    </row>
    <row r="3673" spans="1:21" x14ac:dyDescent="0.35">
      <c r="A3673" s="1"/>
      <c r="U3673">
        <v>2.9304000000000001</v>
      </c>
    </row>
    <row r="3674" spans="1:21" x14ac:dyDescent="0.35">
      <c r="A3674" s="1"/>
      <c r="U3674">
        <v>3.2161</v>
      </c>
    </row>
    <row r="3675" spans="1:21" x14ac:dyDescent="0.35">
      <c r="A3675" s="1"/>
      <c r="U3675">
        <v>-100.92</v>
      </c>
    </row>
    <row r="3676" spans="1:21" x14ac:dyDescent="0.35">
      <c r="A3676" s="1"/>
      <c r="U3676">
        <v>-30.933199999999999</v>
      </c>
    </row>
    <row r="3677" spans="1:21" x14ac:dyDescent="0.35">
      <c r="A3677" s="1"/>
      <c r="U3677">
        <v>16.183800000000002</v>
      </c>
    </row>
    <row r="3678" spans="1:21" x14ac:dyDescent="0.35">
      <c r="A3678" s="1"/>
      <c r="U3678">
        <v>14.671799999999999</v>
      </c>
    </row>
    <row r="3679" spans="1:21" x14ac:dyDescent="0.35">
      <c r="A3679" s="1"/>
      <c r="U3679">
        <v>5.056</v>
      </c>
    </row>
    <row r="3680" spans="1:21" x14ac:dyDescent="0.35">
      <c r="A3680" s="1"/>
      <c r="U3680">
        <v>209.23650000000001</v>
      </c>
    </row>
    <row r="3681" spans="1:21" x14ac:dyDescent="0.35">
      <c r="A3681" s="1"/>
      <c r="U3681">
        <v>20.015599999999999</v>
      </c>
    </row>
    <row r="3682" spans="1:21" x14ac:dyDescent="0.35">
      <c r="A3682" s="1"/>
      <c r="U3682">
        <v>5.6993999999999998</v>
      </c>
    </row>
    <row r="3683" spans="1:21" x14ac:dyDescent="0.35">
      <c r="A3683" s="1"/>
      <c r="U3683">
        <v>42.045000000000002</v>
      </c>
    </row>
    <row r="3684" spans="1:21" x14ac:dyDescent="0.35">
      <c r="A3684" s="1"/>
      <c r="U3684">
        <v>32.537599999999998</v>
      </c>
    </row>
    <row r="3685" spans="1:21" x14ac:dyDescent="0.35">
      <c r="A3685" s="1"/>
      <c r="U3685">
        <v>70.545599999999993</v>
      </c>
    </row>
    <row r="3686" spans="1:21" x14ac:dyDescent="0.35">
      <c r="A3686" s="1"/>
      <c r="U3686">
        <v>21.403199999999998</v>
      </c>
    </row>
    <row r="3687" spans="1:21" x14ac:dyDescent="0.35">
      <c r="A3687" s="1"/>
      <c r="U3687">
        <v>28.480899999999998</v>
      </c>
    </row>
    <row r="3688" spans="1:21" x14ac:dyDescent="0.35">
      <c r="U3688">
        <v>3.2471999999999999</v>
      </c>
    </row>
    <row r="3689" spans="1:21" x14ac:dyDescent="0.35">
      <c r="U3689">
        <v>-2.2450000000000001</v>
      </c>
    </row>
    <row r="3690" spans="1:21" x14ac:dyDescent="0.35">
      <c r="A3690" s="1"/>
      <c r="U3690">
        <v>7.92</v>
      </c>
    </row>
    <row r="3691" spans="1:21" x14ac:dyDescent="0.35">
      <c r="A3691" s="1"/>
      <c r="U3691">
        <v>15.920999999999999</v>
      </c>
    </row>
    <row r="3692" spans="1:21" x14ac:dyDescent="0.35">
      <c r="U3692">
        <v>-45.995399999999997</v>
      </c>
    </row>
    <row r="3693" spans="1:21" x14ac:dyDescent="0.35">
      <c r="U3693">
        <v>164.99700000000001</v>
      </c>
    </row>
    <row r="3694" spans="1:21" x14ac:dyDescent="0.35">
      <c r="U3694">
        <v>30.786000000000001</v>
      </c>
    </row>
    <row r="3695" spans="1:21" x14ac:dyDescent="0.35">
      <c r="U3695">
        <v>3.6783999999999999</v>
      </c>
    </row>
    <row r="3696" spans="1:21" x14ac:dyDescent="0.35">
      <c r="U3696">
        <v>116.48</v>
      </c>
    </row>
    <row r="3697" spans="1:21" x14ac:dyDescent="0.35">
      <c r="U3697">
        <v>32.604599999999998</v>
      </c>
    </row>
    <row r="3698" spans="1:21" x14ac:dyDescent="0.35">
      <c r="U3698">
        <v>14.2758</v>
      </c>
    </row>
    <row r="3699" spans="1:21" x14ac:dyDescent="0.35">
      <c r="U3699">
        <v>22.7136</v>
      </c>
    </row>
    <row r="3700" spans="1:21" x14ac:dyDescent="0.35">
      <c r="U3700">
        <v>5.9550000000000001</v>
      </c>
    </row>
    <row r="3701" spans="1:21" x14ac:dyDescent="0.35">
      <c r="U3701">
        <v>70.502799999999993</v>
      </c>
    </row>
    <row r="3702" spans="1:21" x14ac:dyDescent="0.35">
      <c r="U3702">
        <v>6.8273999999999999</v>
      </c>
    </row>
    <row r="3703" spans="1:21" x14ac:dyDescent="0.35">
      <c r="A3703" s="1"/>
      <c r="U3703">
        <v>3.7919999999999998</v>
      </c>
    </row>
    <row r="3704" spans="1:21" x14ac:dyDescent="0.35">
      <c r="U3704">
        <v>6.9383999999999997</v>
      </c>
    </row>
    <row r="3705" spans="1:21" x14ac:dyDescent="0.35">
      <c r="U3705">
        <v>8.8043999999999993</v>
      </c>
    </row>
    <row r="3706" spans="1:21" x14ac:dyDescent="0.35">
      <c r="U3706">
        <v>314.98950000000002</v>
      </c>
    </row>
    <row r="3707" spans="1:21" x14ac:dyDescent="0.35">
      <c r="U3707">
        <v>15.552</v>
      </c>
    </row>
    <row r="3708" spans="1:21" x14ac:dyDescent="0.35">
      <c r="U3708">
        <v>6.5537999999999998</v>
      </c>
    </row>
    <row r="3709" spans="1:21" x14ac:dyDescent="0.35">
      <c r="U3709">
        <v>-2.5472000000000001</v>
      </c>
    </row>
    <row r="3710" spans="1:21" x14ac:dyDescent="0.35">
      <c r="U3710">
        <v>-87.148799999999994</v>
      </c>
    </row>
    <row r="3711" spans="1:21" x14ac:dyDescent="0.35">
      <c r="U3711">
        <v>1.6632</v>
      </c>
    </row>
    <row r="3712" spans="1:21" x14ac:dyDescent="0.35">
      <c r="U3712">
        <v>6.3780000000000001</v>
      </c>
    </row>
    <row r="3713" spans="1:21" x14ac:dyDescent="0.35">
      <c r="U3713">
        <v>100.4255</v>
      </c>
    </row>
    <row r="3714" spans="1:21" x14ac:dyDescent="0.35">
      <c r="U3714">
        <v>3.4620000000000002</v>
      </c>
    </row>
    <row r="3715" spans="1:21" x14ac:dyDescent="0.35">
      <c r="U3715">
        <v>34.146000000000001</v>
      </c>
    </row>
    <row r="3716" spans="1:21" x14ac:dyDescent="0.35">
      <c r="A3716" s="1"/>
      <c r="U3716">
        <v>21.012799999999999</v>
      </c>
    </row>
    <row r="3717" spans="1:21" x14ac:dyDescent="0.35">
      <c r="A3717" s="1"/>
      <c r="U3717">
        <v>45.293999999999997</v>
      </c>
    </row>
    <row r="3718" spans="1:21" x14ac:dyDescent="0.35">
      <c r="U3718">
        <v>1.1775</v>
      </c>
    </row>
    <row r="3719" spans="1:21" x14ac:dyDescent="0.35">
      <c r="U3719">
        <v>0.1512</v>
      </c>
    </row>
    <row r="3720" spans="1:21" x14ac:dyDescent="0.35">
      <c r="U3720">
        <v>107.4785</v>
      </c>
    </row>
    <row r="3721" spans="1:21" x14ac:dyDescent="0.35">
      <c r="U3721">
        <v>12.358000000000001</v>
      </c>
    </row>
    <row r="3722" spans="1:21" x14ac:dyDescent="0.35">
      <c r="U3722">
        <v>7.3788</v>
      </c>
    </row>
    <row r="3723" spans="1:21" x14ac:dyDescent="0.35">
      <c r="U3723">
        <v>6.9390000000000001</v>
      </c>
    </row>
    <row r="3724" spans="1:21" x14ac:dyDescent="0.35">
      <c r="U3724">
        <v>2.2320000000000002</v>
      </c>
    </row>
    <row r="3725" spans="1:21" x14ac:dyDescent="0.35">
      <c r="U3725">
        <v>-459.98750000000001</v>
      </c>
    </row>
    <row r="3726" spans="1:21" x14ac:dyDescent="0.35">
      <c r="A3726" s="1"/>
      <c r="U3726">
        <v>2.2050000000000001</v>
      </c>
    </row>
    <row r="3727" spans="1:21" x14ac:dyDescent="0.35">
      <c r="U3727">
        <v>3.51</v>
      </c>
    </row>
    <row r="3728" spans="1:21" x14ac:dyDescent="0.35">
      <c r="A3728" s="1"/>
      <c r="U3728">
        <v>93.698800000000006</v>
      </c>
    </row>
    <row r="3729" spans="1:21" x14ac:dyDescent="0.35">
      <c r="A3729" s="1"/>
      <c r="U3729">
        <v>2.79</v>
      </c>
    </row>
    <row r="3730" spans="1:21" x14ac:dyDescent="0.35">
      <c r="A3730" s="1"/>
      <c r="U3730">
        <v>6.8723999999999998</v>
      </c>
    </row>
    <row r="3731" spans="1:21" x14ac:dyDescent="0.35">
      <c r="U3731">
        <v>7.9724000000000004</v>
      </c>
    </row>
    <row r="3732" spans="1:21" x14ac:dyDescent="0.35">
      <c r="U3732">
        <v>0</v>
      </c>
    </row>
    <row r="3733" spans="1:21" x14ac:dyDescent="0.35">
      <c r="U3733">
        <v>129.9974</v>
      </c>
    </row>
    <row r="3734" spans="1:21" x14ac:dyDescent="0.35">
      <c r="U3734">
        <v>327.58179999999999</v>
      </c>
    </row>
    <row r="3735" spans="1:21" x14ac:dyDescent="0.35">
      <c r="U3735">
        <v>31.889199999999999</v>
      </c>
    </row>
    <row r="3736" spans="1:21" x14ac:dyDescent="0.35">
      <c r="A3736" s="1"/>
      <c r="U3736">
        <v>12.1348</v>
      </c>
    </row>
    <row r="3737" spans="1:21" x14ac:dyDescent="0.35">
      <c r="A3737" s="1"/>
      <c r="U3737">
        <v>16.553100000000001</v>
      </c>
    </row>
    <row r="3738" spans="1:21" x14ac:dyDescent="0.35">
      <c r="U3738">
        <v>62.3904</v>
      </c>
    </row>
    <row r="3739" spans="1:21" x14ac:dyDescent="0.35">
      <c r="U3739">
        <v>15.944599999999999</v>
      </c>
    </row>
    <row r="3740" spans="1:21" x14ac:dyDescent="0.35">
      <c r="A3740" s="1"/>
      <c r="U3740">
        <v>3.052</v>
      </c>
    </row>
    <row r="3741" spans="1:21" x14ac:dyDescent="0.35">
      <c r="A3741" s="1"/>
      <c r="U3741">
        <v>25.191600000000001</v>
      </c>
    </row>
    <row r="3742" spans="1:21" x14ac:dyDescent="0.35">
      <c r="A3742" s="1"/>
      <c r="U3742">
        <v>23.395399999999999</v>
      </c>
    </row>
    <row r="3743" spans="1:21" x14ac:dyDescent="0.35">
      <c r="U3743">
        <v>7.5991999999999997</v>
      </c>
    </row>
    <row r="3744" spans="1:21" x14ac:dyDescent="0.35">
      <c r="U3744">
        <v>28.857600000000001</v>
      </c>
    </row>
    <row r="3745" spans="1:21" x14ac:dyDescent="0.35">
      <c r="U3745">
        <v>17.337599999999998</v>
      </c>
    </row>
    <row r="3746" spans="1:21" x14ac:dyDescent="0.35">
      <c r="U3746">
        <v>3.7919999999999998</v>
      </c>
    </row>
    <row r="3747" spans="1:21" x14ac:dyDescent="0.35">
      <c r="U3747">
        <v>34.292499999999997</v>
      </c>
    </row>
    <row r="3748" spans="1:21" x14ac:dyDescent="0.35">
      <c r="U3748">
        <v>81.173400000000001</v>
      </c>
    </row>
    <row r="3749" spans="1:21" x14ac:dyDescent="0.35">
      <c r="U3749">
        <v>99.23</v>
      </c>
    </row>
    <row r="3750" spans="1:21" x14ac:dyDescent="0.35">
      <c r="U3750">
        <v>96.575999999999993</v>
      </c>
    </row>
    <row r="3751" spans="1:21" x14ac:dyDescent="0.35">
      <c r="U3751">
        <v>329.99400000000003</v>
      </c>
    </row>
    <row r="3752" spans="1:21" x14ac:dyDescent="0.35">
      <c r="U3752">
        <v>8.2360000000000007</v>
      </c>
    </row>
    <row r="3753" spans="1:21" x14ac:dyDescent="0.35">
      <c r="U3753">
        <v>23.027999999999999</v>
      </c>
    </row>
    <row r="3754" spans="1:21" x14ac:dyDescent="0.35">
      <c r="U3754">
        <v>56.977200000000003</v>
      </c>
    </row>
    <row r="3755" spans="1:21" x14ac:dyDescent="0.35">
      <c r="U3755">
        <v>294.54880000000003</v>
      </c>
    </row>
    <row r="3756" spans="1:21" x14ac:dyDescent="0.35">
      <c r="U3756">
        <v>17.745000000000001</v>
      </c>
    </row>
    <row r="3757" spans="1:21" x14ac:dyDescent="0.35">
      <c r="A3757" s="1"/>
      <c r="U3757">
        <v>15.5092</v>
      </c>
    </row>
    <row r="3758" spans="1:21" x14ac:dyDescent="0.35">
      <c r="A3758" s="1"/>
      <c r="U3758">
        <v>-56.343000000000004</v>
      </c>
    </row>
    <row r="3759" spans="1:21" x14ac:dyDescent="0.35">
      <c r="U3759">
        <v>8.3328000000000007</v>
      </c>
    </row>
    <row r="3760" spans="1:21" x14ac:dyDescent="0.35">
      <c r="U3760">
        <v>5.4896000000000003</v>
      </c>
    </row>
    <row r="3761" spans="1:21" x14ac:dyDescent="0.35">
      <c r="U3761">
        <v>5.07</v>
      </c>
    </row>
    <row r="3762" spans="1:21" x14ac:dyDescent="0.35">
      <c r="U3762">
        <v>10.247999999999999</v>
      </c>
    </row>
    <row r="3763" spans="1:21" x14ac:dyDescent="0.35">
      <c r="A3763" s="1"/>
      <c r="U3763">
        <v>42.048000000000002</v>
      </c>
    </row>
    <row r="3764" spans="1:21" x14ac:dyDescent="0.35">
      <c r="U3764">
        <v>24.196000000000002</v>
      </c>
    </row>
    <row r="3765" spans="1:21" x14ac:dyDescent="0.35">
      <c r="U3765">
        <v>4.1748000000000003</v>
      </c>
    </row>
    <row r="3766" spans="1:21" x14ac:dyDescent="0.35">
      <c r="U3766">
        <v>-3.0396000000000001</v>
      </c>
    </row>
    <row r="3767" spans="1:21" x14ac:dyDescent="0.35">
      <c r="U3767">
        <v>-1.4196</v>
      </c>
    </row>
    <row r="3768" spans="1:21" x14ac:dyDescent="0.35">
      <c r="U3768">
        <v>0.504</v>
      </c>
    </row>
    <row r="3769" spans="1:21" x14ac:dyDescent="0.35">
      <c r="A3769" s="1"/>
      <c r="U3769">
        <v>11.996</v>
      </c>
    </row>
    <row r="3770" spans="1:21" x14ac:dyDescent="0.35">
      <c r="U3770">
        <v>101.3832</v>
      </c>
    </row>
    <row r="3771" spans="1:21" x14ac:dyDescent="0.35">
      <c r="U3771">
        <v>0.66959999999999997</v>
      </c>
    </row>
    <row r="3772" spans="1:21" x14ac:dyDescent="0.35">
      <c r="U3772">
        <v>-325.572</v>
      </c>
    </row>
    <row r="3773" spans="1:21" x14ac:dyDescent="0.35">
      <c r="A3773" s="1"/>
      <c r="U3773">
        <v>-19.5624</v>
      </c>
    </row>
    <row r="3774" spans="1:21" x14ac:dyDescent="0.35">
      <c r="A3774" s="1"/>
      <c r="U3774">
        <v>22.647600000000001</v>
      </c>
    </row>
    <row r="3775" spans="1:21" x14ac:dyDescent="0.35">
      <c r="A3775" s="1"/>
      <c r="U3775">
        <v>2.3328000000000002</v>
      </c>
    </row>
    <row r="3776" spans="1:21" x14ac:dyDescent="0.35">
      <c r="A3776" s="1"/>
      <c r="U3776">
        <v>81.594899999999996</v>
      </c>
    </row>
    <row r="3777" spans="1:21" x14ac:dyDescent="0.35">
      <c r="A3777" s="1"/>
      <c r="U3777">
        <v>3.6288</v>
      </c>
    </row>
    <row r="3778" spans="1:21" x14ac:dyDescent="0.35">
      <c r="A3778" s="1"/>
      <c r="U3778">
        <v>41.993000000000002</v>
      </c>
    </row>
    <row r="3779" spans="1:21" x14ac:dyDescent="0.35">
      <c r="A3779" s="1"/>
      <c r="U3779">
        <v>106.5408</v>
      </c>
    </row>
    <row r="3780" spans="1:21" x14ac:dyDescent="0.35">
      <c r="U3780">
        <v>8.9969999999999999</v>
      </c>
    </row>
    <row r="3781" spans="1:21" x14ac:dyDescent="0.35">
      <c r="U3781">
        <v>18.211200000000002</v>
      </c>
    </row>
    <row r="3782" spans="1:21" x14ac:dyDescent="0.35">
      <c r="U3782">
        <v>10.958399999999999</v>
      </c>
    </row>
    <row r="3783" spans="1:21" x14ac:dyDescent="0.35">
      <c r="A3783" s="1"/>
      <c r="U3783">
        <v>40.497300000000003</v>
      </c>
    </row>
    <row r="3784" spans="1:21" x14ac:dyDescent="0.35">
      <c r="U3784">
        <v>3.339</v>
      </c>
    </row>
    <row r="3785" spans="1:21" x14ac:dyDescent="0.35">
      <c r="U3785">
        <v>-63.005600000000001</v>
      </c>
    </row>
    <row r="3786" spans="1:21" x14ac:dyDescent="0.35">
      <c r="U3786">
        <v>8.2848000000000006</v>
      </c>
    </row>
    <row r="3787" spans="1:21" x14ac:dyDescent="0.35">
      <c r="U3787">
        <v>-2.61</v>
      </c>
    </row>
    <row r="3788" spans="1:21" x14ac:dyDescent="0.35">
      <c r="U3788">
        <v>282.20920000000001</v>
      </c>
    </row>
    <row r="3789" spans="1:21" x14ac:dyDescent="0.35">
      <c r="A3789" s="1"/>
      <c r="U3789">
        <v>1.0268999999999999</v>
      </c>
    </row>
    <row r="3790" spans="1:21" x14ac:dyDescent="0.35">
      <c r="A3790" s="1"/>
      <c r="U3790">
        <v>7.0172999999999996</v>
      </c>
    </row>
    <row r="3791" spans="1:21" x14ac:dyDescent="0.35">
      <c r="U3791">
        <v>9.0054999999999996</v>
      </c>
    </row>
    <row r="3792" spans="1:21" x14ac:dyDescent="0.35">
      <c r="A3792" s="1"/>
      <c r="U3792">
        <v>67.86</v>
      </c>
    </row>
    <row r="3793" spans="1:21" x14ac:dyDescent="0.35">
      <c r="U3793">
        <v>-3.3879000000000001</v>
      </c>
    </row>
    <row r="3794" spans="1:21" x14ac:dyDescent="0.35">
      <c r="U3794">
        <v>2.2044000000000001</v>
      </c>
    </row>
    <row r="3795" spans="1:21" x14ac:dyDescent="0.35">
      <c r="U3795">
        <v>12.511799999999999</v>
      </c>
    </row>
    <row r="3796" spans="1:21" x14ac:dyDescent="0.35">
      <c r="U3796">
        <v>14.307499999999999</v>
      </c>
    </row>
    <row r="3797" spans="1:21" x14ac:dyDescent="0.35">
      <c r="U3797">
        <v>-16.649999999999999</v>
      </c>
    </row>
    <row r="3798" spans="1:21" x14ac:dyDescent="0.35">
      <c r="U3798">
        <v>12.0252</v>
      </c>
    </row>
    <row r="3799" spans="1:21" x14ac:dyDescent="0.35">
      <c r="U3799">
        <v>88.073999999999998</v>
      </c>
    </row>
    <row r="3800" spans="1:21" x14ac:dyDescent="0.35">
      <c r="A3800" s="1"/>
      <c r="U3800">
        <v>-192.04679999999999</v>
      </c>
    </row>
    <row r="3801" spans="1:21" x14ac:dyDescent="0.35">
      <c r="A3801" s="1"/>
      <c r="U3801">
        <v>118.9965</v>
      </c>
    </row>
    <row r="3802" spans="1:21" x14ac:dyDescent="0.35">
      <c r="U3802">
        <v>10.2592</v>
      </c>
    </row>
    <row r="3803" spans="1:21" x14ac:dyDescent="0.35">
      <c r="U3803">
        <v>5.9598000000000004</v>
      </c>
    </row>
    <row r="3804" spans="1:21" x14ac:dyDescent="0.35">
      <c r="U3804">
        <v>33.721200000000003</v>
      </c>
    </row>
    <row r="3805" spans="1:21" x14ac:dyDescent="0.35">
      <c r="U3805">
        <v>1.4363999999999999</v>
      </c>
    </row>
    <row r="3806" spans="1:21" x14ac:dyDescent="0.35">
      <c r="U3806">
        <v>13.128</v>
      </c>
    </row>
    <row r="3807" spans="1:21" x14ac:dyDescent="0.35">
      <c r="U3807">
        <v>14.682</v>
      </c>
    </row>
    <row r="3808" spans="1:21" x14ac:dyDescent="0.35">
      <c r="A3808" s="1"/>
      <c r="U3808">
        <v>1.323</v>
      </c>
    </row>
    <row r="3809" spans="1:21" x14ac:dyDescent="0.35">
      <c r="A3809" s="1"/>
      <c r="U3809">
        <v>-4.0157999999999996</v>
      </c>
    </row>
    <row r="3810" spans="1:21" x14ac:dyDescent="0.35">
      <c r="A3810" s="1"/>
      <c r="U3810">
        <v>-3.7296</v>
      </c>
    </row>
    <row r="3811" spans="1:21" x14ac:dyDescent="0.35">
      <c r="A3811" s="1"/>
      <c r="U3811">
        <v>-72.039000000000001</v>
      </c>
    </row>
    <row r="3812" spans="1:21" x14ac:dyDescent="0.35">
      <c r="A3812" s="1"/>
      <c r="U3812">
        <v>10.0792</v>
      </c>
    </row>
    <row r="3813" spans="1:21" x14ac:dyDescent="0.35">
      <c r="A3813" s="1"/>
      <c r="U3813">
        <v>16.440300000000001</v>
      </c>
    </row>
    <row r="3814" spans="1:21" x14ac:dyDescent="0.35">
      <c r="A3814" s="1"/>
      <c r="U3814">
        <v>11.7782</v>
      </c>
    </row>
    <row r="3815" spans="1:21" x14ac:dyDescent="0.35">
      <c r="A3815" s="1"/>
      <c r="U3815">
        <v>6.4428000000000001</v>
      </c>
    </row>
    <row r="3816" spans="1:21" x14ac:dyDescent="0.35">
      <c r="A3816" s="1"/>
      <c r="U3816">
        <v>51.497500000000002</v>
      </c>
    </row>
    <row r="3817" spans="1:21" x14ac:dyDescent="0.35">
      <c r="A3817" s="1"/>
      <c r="U3817">
        <v>4.9950000000000001</v>
      </c>
    </row>
    <row r="3818" spans="1:21" x14ac:dyDescent="0.35">
      <c r="U3818">
        <v>200.49</v>
      </c>
    </row>
    <row r="3819" spans="1:21" x14ac:dyDescent="0.35">
      <c r="U3819">
        <v>0</v>
      </c>
    </row>
    <row r="3820" spans="1:21" x14ac:dyDescent="0.35">
      <c r="U3820">
        <v>306.48939999999999</v>
      </c>
    </row>
    <row r="3821" spans="1:21" x14ac:dyDescent="0.35">
      <c r="A3821" s="1"/>
      <c r="U3821">
        <v>4.3254000000000001</v>
      </c>
    </row>
    <row r="3822" spans="1:21" x14ac:dyDescent="0.35">
      <c r="A3822" s="1"/>
      <c r="U3822">
        <v>-15.717599999999999</v>
      </c>
    </row>
    <row r="3823" spans="1:21" x14ac:dyDescent="0.35">
      <c r="A3823" s="1"/>
      <c r="U3823">
        <v>8.9206000000000003</v>
      </c>
    </row>
    <row r="3824" spans="1:21" x14ac:dyDescent="0.35">
      <c r="A3824" s="1"/>
      <c r="U3824">
        <v>6.1559999999999997</v>
      </c>
    </row>
    <row r="3825" spans="1:21" x14ac:dyDescent="0.35">
      <c r="U3825">
        <v>257.71199999999999</v>
      </c>
    </row>
    <row r="3826" spans="1:21" x14ac:dyDescent="0.35">
      <c r="U3826">
        <v>329.99400000000003</v>
      </c>
    </row>
    <row r="3827" spans="1:21" x14ac:dyDescent="0.35">
      <c r="U3827">
        <v>4.5359999999999996</v>
      </c>
    </row>
    <row r="3828" spans="1:21" x14ac:dyDescent="0.35">
      <c r="A3828" s="1"/>
      <c r="U3828">
        <v>10.744</v>
      </c>
    </row>
    <row r="3829" spans="1:21" x14ac:dyDescent="0.35">
      <c r="A3829" s="1"/>
      <c r="U3829">
        <v>423.00850000000003</v>
      </c>
    </row>
    <row r="3830" spans="1:21" x14ac:dyDescent="0.35">
      <c r="A3830" s="1"/>
      <c r="U3830">
        <v>7.4592000000000001</v>
      </c>
    </row>
    <row r="3831" spans="1:21" x14ac:dyDescent="0.35">
      <c r="A3831" s="1"/>
      <c r="U3831">
        <v>119.2</v>
      </c>
    </row>
    <row r="3832" spans="1:21" x14ac:dyDescent="0.35">
      <c r="A3832" s="1"/>
      <c r="U3832">
        <v>18.4604</v>
      </c>
    </row>
    <row r="3833" spans="1:21" x14ac:dyDescent="0.35">
      <c r="U3833">
        <v>26.649000000000001</v>
      </c>
    </row>
    <row r="3834" spans="1:21" x14ac:dyDescent="0.35">
      <c r="U3834">
        <v>9.3811999999999998</v>
      </c>
    </row>
    <row r="3835" spans="1:21" x14ac:dyDescent="0.35">
      <c r="U3835">
        <v>-209.994</v>
      </c>
    </row>
    <row r="3836" spans="1:21" x14ac:dyDescent="0.35">
      <c r="U3836">
        <v>-34.9176</v>
      </c>
    </row>
    <row r="3837" spans="1:21" x14ac:dyDescent="0.35">
      <c r="A3837" s="1"/>
      <c r="U3837">
        <v>0.82879999999999998</v>
      </c>
    </row>
    <row r="3838" spans="1:21" x14ac:dyDescent="0.35">
      <c r="A3838" s="1"/>
      <c r="U3838">
        <v>6.8903999999999996</v>
      </c>
    </row>
    <row r="3839" spans="1:21" x14ac:dyDescent="0.35">
      <c r="U3839">
        <v>113.998</v>
      </c>
    </row>
    <row r="3840" spans="1:21" x14ac:dyDescent="0.35">
      <c r="U3840">
        <v>-109.5822</v>
      </c>
    </row>
    <row r="3841" spans="1:21" x14ac:dyDescent="0.35">
      <c r="U3841">
        <v>36.182699999999997</v>
      </c>
    </row>
    <row r="3842" spans="1:21" x14ac:dyDescent="0.35">
      <c r="U3842">
        <v>70.097700000000003</v>
      </c>
    </row>
    <row r="3843" spans="1:21" x14ac:dyDescent="0.35">
      <c r="A3843" s="1"/>
      <c r="U3843">
        <v>10.647</v>
      </c>
    </row>
    <row r="3844" spans="1:21" x14ac:dyDescent="0.35">
      <c r="U3844">
        <v>2.2450000000000001</v>
      </c>
    </row>
    <row r="3845" spans="1:21" x14ac:dyDescent="0.35">
      <c r="U3845">
        <v>6.2799999999999995E-2</v>
      </c>
    </row>
    <row r="3846" spans="1:21" x14ac:dyDescent="0.35">
      <c r="U3846">
        <v>14.4222</v>
      </c>
    </row>
    <row r="3847" spans="1:21" x14ac:dyDescent="0.35">
      <c r="U3847">
        <v>-36.293999999999997</v>
      </c>
    </row>
    <row r="3848" spans="1:21" x14ac:dyDescent="0.35">
      <c r="U3848">
        <v>38.177999999999997</v>
      </c>
    </row>
    <row r="3849" spans="1:21" x14ac:dyDescent="0.35">
      <c r="U3849">
        <v>0</v>
      </c>
    </row>
    <row r="3850" spans="1:21" x14ac:dyDescent="0.35">
      <c r="U3850">
        <v>318.30160000000001</v>
      </c>
    </row>
    <row r="3851" spans="1:21" x14ac:dyDescent="0.35">
      <c r="U3851">
        <v>15.378</v>
      </c>
    </row>
    <row r="3852" spans="1:21" x14ac:dyDescent="0.35">
      <c r="A3852" s="1"/>
      <c r="U3852">
        <v>40.401200000000003</v>
      </c>
    </row>
    <row r="3853" spans="1:21" x14ac:dyDescent="0.35">
      <c r="U3853">
        <v>14.500999999999999</v>
      </c>
    </row>
    <row r="3854" spans="1:21" x14ac:dyDescent="0.35">
      <c r="U3854">
        <v>-53.708799999999997</v>
      </c>
    </row>
    <row r="3855" spans="1:21" x14ac:dyDescent="0.35">
      <c r="A3855" s="1"/>
      <c r="U3855">
        <v>2.1779999999999999</v>
      </c>
    </row>
    <row r="3856" spans="1:21" x14ac:dyDescent="0.35">
      <c r="A3856" s="1"/>
      <c r="U3856">
        <v>0</v>
      </c>
    </row>
    <row r="3857" spans="1:21" x14ac:dyDescent="0.35">
      <c r="U3857">
        <v>-6.2370000000000001</v>
      </c>
    </row>
    <row r="3858" spans="1:21" x14ac:dyDescent="0.35">
      <c r="U3858">
        <v>51.497500000000002</v>
      </c>
    </row>
    <row r="3859" spans="1:21" x14ac:dyDescent="0.35">
      <c r="U3859">
        <v>0.89880000000000004</v>
      </c>
    </row>
    <row r="3860" spans="1:21" x14ac:dyDescent="0.35">
      <c r="U3860">
        <v>89.588800000000006</v>
      </c>
    </row>
    <row r="3861" spans="1:21" x14ac:dyDescent="0.35">
      <c r="U3861">
        <v>-269.33760000000001</v>
      </c>
    </row>
    <row r="3862" spans="1:21" x14ac:dyDescent="0.35">
      <c r="U3862">
        <v>10.9193</v>
      </c>
    </row>
    <row r="3863" spans="1:21" x14ac:dyDescent="0.35">
      <c r="A3863" s="1"/>
      <c r="U3863">
        <v>14.563800000000001</v>
      </c>
    </row>
    <row r="3864" spans="1:21" x14ac:dyDescent="0.35">
      <c r="A3864" s="1"/>
      <c r="U3864">
        <v>3.9498000000000002</v>
      </c>
    </row>
    <row r="3865" spans="1:21" x14ac:dyDescent="0.35">
      <c r="U3865">
        <v>2.7664</v>
      </c>
    </row>
    <row r="3866" spans="1:21" x14ac:dyDescent="0.35">
      <c r="U3866">
        <v>-182.352</v>
      </c>
    </row>
    <row r="3867" spans="1:21" x14ac:dyDescent="0.35">
      <c r="U3867">
        <v>38.08</v>
      </c>
    </row>
    <row r="3868" spans="1:21" x14ac:dyDescent="0.35">
      <c r="U3868">
        <v>55.922400000000003</v>
      </c>
    </row>
    <row r="3869" spans="1:21" x14ac:dyDescent="0.35">
      <c r="U3869">
        <v>63.7776</v>
      </c>
    </row>
    <row r="3870" spans="1:21" x14ac:dyDescent="0.35">
      <c r="U3870">
        <v>27.088200000000001</v>
      </c>
    </row>
    <row r="3871" spans="1:21" x14ac:dyDescent="0.35">
      <c r="U3871">
        <v>16.7972</v>
      </c>
    </row>
    <row r="3872" spans="1:21" x14ac:dyDescent="0.35">
      <c r="U3872">
        <v>5.6643999999999997</v>
      </c>
    </row>
    <row r="3873" spans="1:21" x14ac:dyDescent="0.35">
      <c r="U3873">
        <v>5.6639999999999997</v>
      </c>
    </row>
    <row r="3874" spans="1:21" x14ac:dyDescent="0.35">
      <c r="U3874">
        <v>42.117600000000003</v>
      </c>
    </row>
    <row r="3875" spans="1:21" x14ac:dyDescent="0.35">
      <c r="A3875" s="1"/>
      <c r="U3875">
        <v>7.6284000000000001</v>
      </c>
    </row>
    <row r="3876" spans="1:21" x14ac:dyDescent="0.35">
      <c r="A3876" s="1"/>
      <c r="U3876">
        <v>-63.109200000000001</v>
      </c>
    </row>
    <row r="3877" spans="1:21" x14ac:dyDescent="0.35">
      <c r="A3877" s="1"/>
      <c r="U3877">
        <v>6.7990000000000004</v>
      </c>
    </row>
    <row r="3878" spans="1:21" x14ac:dyDescent="0.35">
      <c r="A3878" s="1"/>
      <c r="U3878">
        <v>3.21</v>
      </c>
    </row>
    <row r="3879" spans="1:21" x14ac:dyDescent="0.35">
      <c r="U3879">
        <v>-26.733000000000001</v>
      </c>
    </row>
    <row r="3880" spans="1:21" x14ac:dyDescent="0.35">
      <c r="A3880" s="1"/>
      <c r="U3880">
        <v>3.7223999999999999</v>
      </c>
    </row>
    <row r="3881" spans="1:21" x14ac:dyDescent="0.35">
      <c r="A3881" s="1"/>
      <c r="U3881">
        <v>3.9072</v>
      </c>
    </row>
    <row r="3882" spans="1:21" x14ac:dyDescent="0.35">
      <c r="U3882">
        <v>2.99</v>
      </c>
    </row>
    <row r="3883" spans="1:21" x14ac:dyDescent="0.35">
      <c r="U3883">
        <v>-19.5624</v>
      </c>
    </row>
    <row r="3884" spans="1:21" x14ac:dyDescent="0.35">
      <c r="U3884">
        <v>-36.470399999999998</v>
      </c>
    </row>
    <row r="3885" spans="1:21" x14ac:dyDescent="0.35">
      <c r="U3885">
        <v>11.070399999999999</v>
      </c>
    </row>
    <row r="3886" spans="1:21" x14ac:dyDescent="0.35">
      <c r="A3886" s="1"/>
      <c r="U3886">
        <v>0.38219999999999998</v>
      </c>
    </row>
    <row r="3887" spans="1:21" x14ac:dyDescent="0.35">
      <c r="U3887">
        <v>-20.617599999999999</v>
      </c>
    </row>
    <row r="3888" spans="1:21" x14ac:dyDescent="0.35">
      <c r="A3888" s="1"/>
      <c r="U3888">
        <v>37.758000000000003</v>
      </c>
    </row>
    <row r="3889" spans="1:21" x14ac:dyDescent="0.35">
      <c r="A3889" s="1"/>
      <c r="U3889">
        <v>2.6536</v>
      </c>
    </row>
    <row r="3890" spans="1:21" x14ac:dyDescent="0.35">
      <c r="A3890" s="1"/>
      <c r="U3890">
        <v>67.191599999999994</v>
      </c>
    </row>
    <row r="3891" spans="1:21" x14ac:dyDescent="0.35">
      <c r="A3891" s="1"/>
      <c r="U3891">
        <v>107.08199999999999</v>
      </c>
    </row>
    <row r="3892" spans="1:21" x14ac:dyDescent="0.35">
      <c r="U3892">
        <v>217.767</v>
      </c>
    </row>
    <row r="3893" spans="1:21" x14ac:dyDescent="0.35">
      <c r="U3893">
        <v>210.59399999999999</v>
      </c>
    </row>
    <row r="3894" spans="1:21" x14ac:dyDescent="0.35">
      <c r="U3894">
        <v>190.37280000000001</v>
      </c>
    </row>
    <row r="3895" spans="1:21" x14ac:dyDescent="0.35">
      <c r="A3895" s="1"/>
      <c r="U3895">
        <v>48.990200000000002</v>
      </c>
    </row>
    <row r="3896" spans="1:21" x14ac:dyDescent="0.35">
      <c r="U3896">
        <v>-16.466999999999999</v>
      </c>
    </row>
    <row r="3897" spans="1:21" x14ac:dyDescent="0.35">
      <c r="A3897" s="1"/>
      <c r="U3897">
        <v>18.093</v>
      </c>
    </row>
    <row r="3898" spans="1:21" x14ac:dyDescent="0.35">
      <c r="A3898" s="1"/>
      <c r="U3898">
        <v>1.2432000000000001</v>
      </c>
    </row>
    <row r="3899" spans="1:21" x14ac:dyDescent="0.35">
      <c r="A3899" s="1"/>
      <c r="U3899">
        <v>5.4432</v>
      </c>
    </row>
    <row r="3900" spans="1:21" x14ac:dyDescent="0.35">
      <c r="U3900">
        <v>0.82879999999999998</v>
      </c>
    </row>
    <row r="3901" spans="1:21" x14ac:dyDescent="0.35">
      <c r="A3901" s="1"/>
      <c r="U3901">
        <v>25.596800000000002</v>
      </c>
    </row>
    <row r="3902" spans="1:21" x14ac:dyDescent="0.35">
      <c r="A3902" s="1"/>
      <c r="U3902">
        <v>3.6288</v>
      </c>
    </row>
    <row r="3903" spans="1:21" x14ac:dyDescent="0.35">
      <c r="U3903">
        <v>-1.1996</v>
      </c>
    </row>
    <row r="3904" spans="1:21" x14ac:dyDescent="0.35">
      <c r="A3904" s="1"/>
      <c r="U3904">
        <v>75.6952</v>
      </c>
    </row>
    <row r="3905" spans="1:21" x14ac:dyDescent="0.35">
      <c r="A3905" s="1"/>
      <c r="U3905">
        <v>18.396000000000001</v>
      </c>
    </row>
    <row r="3906" spans="1:21" x14ac:dyDescent="0.35">
      <c r="A3906" s="1"/>
      <c r="U3906">
        <v>21.142800000000001</v>
      </c>
    </row>
    <row r="3907" spans="1:21" x14ac:dyDescent="0.35">
      <c r="A3907" s="1"/>
      <c r="U3907">
        <v>-6.952</v>
      </c>
    </row>
    <row r="3908" spans="1:21" x14ac:dyDescent="0.35">
      <c r="A3908" s="1"/>
      <c r="U3908">
        <v>-68.391999999999996</v>
      </c>
    </row>
    <row r="3909" spans="1:21" x14ac:dyDescent="0.35">
      <c r="A3909" s="1"/>
      <c r="U3909">
        <v>-3.2174999999999998</v>
      </c>
    </row>
    <row r="3910" spans="1:21" x14ac:dyDescent="0.35">
      <c r="A3910" s="1"/>
      <c r="U3910">
        <v>-9.7972000000000001</v>
      </c>
    </row>
    <row r="3911" spans="1:21" x14ac:dyDescent="0.35">
      <c r="A3911" s="1"/>
      <c r="U3911">
        <v>2.37</v>
      </c>
    </row>
    <row r="3912" spans="1:21" x14ac:dyDescent="0.35">
      <c r="A3912" s="1"/>
      <c r="U3912">
        <v>-211.47</v>
      </c>
    </row>
    <row r="3913" spans="1:21" x14ac:dyDescent="0.35">
      <c r="A3913" s="1"/>
      <c r="U3913">
        <v>52.917299999999997</v>
      </c>
    </row>
    <row r="3914" spans="1:21" x14ac:dyDescent="0.35">
      <c r="U3914">
        <v>9.3312000000000008</v>
      </c>
    </row>
    <row r="3915" spans="1:21" x14ac:dyDescent="0.35">
      <c r="U3915">
        <v>3.2406000000000001</v>
      </c>
    </row>
    <row r="3916" spans="1:21" x14ac:dyDescent="0.35">
      <c r="U3916">
        <v>-448.89600000000002</v>
      </c>
    </row>
    <row r="3917" spans="1:21" x14ac:dyDescent="0.35">
      <c r="U3917">
        <v>10.098000000000001</v>
      </c>
    </row>
    <row r="3918" spans="1:21" x14ac:dyDescent="0.35">
      <c r="U3918">
        <v>5.2312000000000003</v>
      </c>
    </row>
    <row r="3919" spans="1:21" x14ac:dyDescent="0.35">
      <c r="U3919">
        <v>-6.1247999999999996</v>
      </c>
    </row>
    <row r="3920" spans="1:21" x14ac:dyDescent="0.35">
      <c r="U3920">
        <v>-42.896700000000003</v>
      </c>
    </row>
    <row r="3921" spans="1:21" x14ac:dyDescent="0.35">
      <c r="A3921" s="1"/>
      <c r="U3921">
        <v>16.653600000000001</v>
      </c>
    </row>
    <row r="3922" spans="1:21" x14ac:dyDescent="0.35">
      <c r="A3922" s="1"/>
      <c r="U3922">
        <v>30.700800000000001</v>
      </c>
    </row>
    <row r="3923" spans="1:21" x14ac:dyDescent="0.35">
      <c r="U3923">
        <v>35.997599999999998</v>
      </c>
    </row>
    <row r="3924" spans="1:21" x14ac:dyDescent="0.35">
      <c r="U3924">
        <v>7.92</v>
      </c>
    </row>
    <row r="3925" spans="1:21" x14ac:dyDescent="0.35">
      <c r="U3925">
        <v>9.3520000000000003</v>
      </c>
    </row>
    <row r="3926" spans="1:21" x14ac:dyDescent="0.35">
      <c r="U3926">
        <v>1.2112000000000001</v>
      </c>
    </row>
    <row r="3927" spans="1:21" x14ac:dyDescent="0.35">
      <c r="U3927">
        <v>16.220400000000001</v>
      </c>
    </row>
    <row r="3928" spans="1:21" x14ac:dyDescent="0.35">
      <c r="U3928">
        <v>13.4292</v>
      </c>
    </row>
    <row r="3929" spans="1:21" x14ac:dyDescent="0.35">
      <c r="U3929">
        <v>46.3185</v>
      </c>
    </row>
    <row r="3930" spans="1:21" x14ac:dyDescent="0.35">
      <c r="U3930">
        <v>-14.196</v>
      </c>
    </row>
    <row r="3931" spans="1:21" x14ac:dyDescent="0.35">
      <c r="U3931">
        <v>1.8792</v>
      </c>
    </row>
    <row r="3932" spans="1:21" x14ac:dyDescent="0.35">
      <c r="U3932">
        <v>16.373699999999999</v>
      </c>
    </row>
    <row r="3933" spans="1:21" x14ac:dyDescent="0.35">
      <c r="U3933">
        <v>1.6415999999999999</v>
      </c>
    </row>
    <row r="3934" spans="1:21" x14ac:dyDescent="0.35">
      <c r="U3934">
        <v>13.195600000000001</v>
      </c>
    </row>
    <row r="3935" spans="1:21" x14ac:dyDescent="0.35">
      <c r="A3935" s="1"/>
      <c r="U3935">
        <v>2.726</v>
      </c>
    </row>
    <row r="3936" spans="1:21" x14ac:dyDescent="0.35">
      <c r="A3936" s="1"/>
      <c r="U3936">
        <v>37</v>
      </c>
    </row>
    <row r="3937" spans="1:21" x14ac:dyDescent="0.35">
      <c r="A3937" s="1"/>
      <c r="U3937">
        <v>12.599</v>
      </c>
    </row>
    <row r="3938" spans="1:21" x14ac:dyDescent="0.35">
      <c r="U3938">
        <v>9.3444000000000003</v>
      </c>
    </row>
    <row r="3939" spans="1:21" x14ac:dyDescent="0.35">
      <c r="U3939">
        <v>9.8658000000000001</v>
      </c>
    </row>
    <row r="3940" spans="1:21" x14ac:dyDescent="0.35">
      <c r="U3940">
        <v>-25.3764</v>
      </c>
    </row>
    <row r="3941" spans="1:21" x14ac:dyDescent="0.35">
      <c r="A3941" s="1"/>
      <c r="U3941">
        <v>356.22500000000002</v>
      </c>
    </row>
    <row r="3942" spans="1:21" x14ac:dyDescent="0.35">
      <c r="U3942">
        <v>6.2607999999999997</v>
      </c>
    </row>
    <row r="3943" spans="1:21" x14ac:dyDescent="0.35">
      <c r="U3943">
        <v>1.0286999999999999</v>
      </c>
    </row>
    <row r="3944" spans="1:21" x14ac:dyDescent="0.35">
      <c r="U3944">
        <v>9.0719999999999992</v>
      </c>
    </row>
    <row r="3945" spans="1:21" x14ac:dyDescent="0.35">
      <c r="U3945">
        <v>16.703399999999998</v>
      </c>
    </row>
    <row r="3946" spans="1:21" x14ac:dyDescent="0.35">
      <c r="U3946">
        <v>8.4966000000000008</v>
      </c>
    </row>
    <row r="3947" spans="1:21" x14ac:dyDescent="0.35">
      <c r="U3947">
        <v>15.5344</v>
      </c>
    </row>
    <row r="3948" spans="1:21" x14ac:dyDescent="0.35">
      <c r="U3948">
        <v>-0.66239999999999999</v>
      </c>
    </row>
    <row r="3949" spans="1:21" x14ac:dyDescent="0.35">
      <c r="U3949">
        <v>1.0347999999999999</v>
      </c>
    </row>
    <row r="3950" spans="1:21" x14ac:dyDescent="0.35">
      <c r="U3950">
        <v>15.8756</v>
      </c>
    </row>
    <row r="3951" spans="1:21" x14ac:dyDescent="0.35">
      <c r="U3951">
        <v>6.6311999999999998</v>
      </c>
    </row>
    <row r="3952" spans="1:21" x14ac:dyDescent="0.35">
      <c r="U3952">
        <v>-18.222000000000001</v>
      </c>
    </row>
    <row r="3953" spans="1:21" x14ac:dyDescent="0.35">
      <c r="U3953">
        <v>6.0368000000000004</v>
      </c>
    </row>
    <row r="3954" spans="1:21" x14ac:dyDescent="0.35">
      <c r="A3954" s="1"/>
      <c r="U3954">
        <v>13.9986</v>
      </c>
    </row>
    <row r="3955" spans="1:21" x14ac:dyDescent="0.35">
      <c r="U3955">
        <v>5.8419999999999996</v>
      </c>
    </row>
    <row r="3956" spans="1:21" x14ac:dyDescent="0.35">
      <c r="A3956" s="1"/>
      <c r="U3956">
        <v>2.3521000000000001</v>
      </c>
    </row>
    <row r="3957" spans="1:21" x14ac:dyDescent="0.35">
      <c r="A3957" s="1"/>
      <c r="U3957">
        <v>23.808</v>
      </c>
    </row>
    <row r="3958" spans="1:21" x14ac:dyDescent="0.35">
      <c r="U3958">
        <v>6.4206000000000003</v>
      </c>
    </row>
    <row r="3959" spans="1:21" x14ac:dyDescent="0.35">
      <c r="U3959">
        <v>-8.6456999999999997</v>
      </c>
    </row>
    <row r="3960" spans="1:21" x14ac:dyDescent="0.35">
      <c r="U3960">
        <v>0.33360000000000001</v>
      </c>
    </row>
    <row r="3961" spans="1:21" x14ac:dyDescent="0.35">
      <c r="U3961">
        <v>14.547000000000001</v>
      </c>
    </row>
    <row r="3962" spans="1:21" x14ac:dyDescent="0.35">
      <c r="U3962">
        <v>17.608799999999999</v>
      </c>
    </row>
    <row r="3963" spans="1:21" x14ac:dyDescent="0.35">
      <c r="U3963">
        <v>44.984999999999999</v>
      </c>
    </row>
    <row r="3964" spans="1:21" x14ac:dyDescent="0.35">
      <c r="U3964">
        <v>3.4668000000000001</v>
      </c>
    </row>
    <row r="3965" spans="1:21" x14ac:dyDescent="0.35">
      <c r="U3965">
        <v>12.0609</v>
      </c>
    </row>
    <row r="3966" spans="1:21" x14ac:dyDescent="0.35">
      <c r="U3966">
        <v>0.88560000000000005</v>
      </c>
    </row>
    <row r="3967" spans="1:21" x14ac:dyDescent="0.35">
      <c r="A3967" s="1"/>
      <c r="U3967">
        <v>0.88560000000000005</v>
      </c>
    </row>
    <row r="3968" spans="1:21" x14ac:dyDescent="0.35">
      <c r="A3968" s="1"/>
      <c r="U3968">
        <v>22.8904</v>
      </c>
    </row>
    <row r="3969" spans="1:21" x14ac:dyDescent="0.35">
      <c r="U3969">
        <v>-32.508000000000003</v>
      </c>
    </row>
    <row r="3970" spans="1:21" x14ac:dyDescent="0.35">
      <c r="A3970" s="1"/>
      <c r="U3970">
        <v>-9.1647999999999996</v>
      </c>
    </row>
    <row r="3971" spans="1:21" x14ac:dyDescent="0.35">
      <c r="A3971" s="1"/>
      <c r="U3971">
        <v>13.2</v>
      </c>
    </row>
    <row r="3972" spans="1:21" x14ac:dyDescent="0.35">
      <c r="U3972">
        <v>24.219000000000001</v>
      </c>
    </row>
    <row r="3973" spans="1:21" x14ac:dyDescent="0.35">
      <c r="U3973">
        <v>20.633600000000001</v>
      </c>
    </row>
    <row r="3974" spans="1:21" x14ac:dyDescent="0.35">
      <c r="U3974">
        <v>6.74</v>
      </c>
    </row>
    <row r="3975" spans="1:21" x14ac:dyDescent="0.35">
      <c r="U3975">
        <v>9.3125</v>
      </c>
    </row>
    <row r="3976" spans="1:21" x14ac:dyDescent="0.35">
      <c r="U3976">
        <v>124.2</v>
      </c>
    </row>
    <row r="3977" spans="1:21" x14ac:dyDescent="0.35">
      <c r="U3977">
        <v>14.981400000000001</v>
      </c>
    </row>
    <row r="3978" spans="1:21" x14ac:dyDescent="0.35">
      <c r="U3978">
        <v>11.1776</v>
      </c>
    </row>
    <row r="3979" spans="1:21" x14ac:dyDescent="0.35">
      <c r="A3979" s="1"/>
      <c r="U3979">
        <v>4.1124000000000001</v>
      </c>
    </row>
    <row r="3980" spans="1:21" x14ac:dyDescent="0.35">
      <c r="A3980" s="1"/>
      <c r="U3980">
        <v>-20.136199999999999</v>
      </c>
    </row>
    <row r="3981" spans="1:21" x14ac:dyDescent="0.35">
      <c r="U3981">
        <v>-19.549199999999999</v>
      </c>
    </row>
    <row r="3982" spans="1:21" x14ac:dyDescent="0.35">
      <c r="U3982">
        <v>15.8256</v>
      </c>
    </row>
    <row r="3983" spans="1:21" x14ac:dyDescent="0.35">
      <c r="U3983">
        <v>9.7911000000000001</v>
      </c>
    </row>
    <row r="3984" spans="1:21" x14ac:dyDescent="0.35">
      <c r="A3984" s="1"/>
      <c r="U3984">
        <v>-3.5996000000000001</v>
      </c>
    </row>
    <row r="3985" spans="1:21" x14ac:dyDescent="0.35">
      <c r="A3985" s="1"/>
      <c r="U3985">
        <v>944.98649999999998</v>
      </c>
    </row>
    <row r="3986" spans="1:21" x14ac:dyDescent="0.35">
      <c r="A3986" s="1"/>
      <c r="U3986">
        <v>24.47</v>
      </c>
    </row>
    <row r="3987" spans="1:21" x14ac:dyDescent="0.35">
      <c r="U3987">
        <v>24.235199999999999</v>
      </c>
    </row>
    <row r="3988" spans="1:21" x14ac:dyDescent="0.35">
      <c r="A3988" s="1"/>
      <c r="U3988">
        <v>621.97439999999995</v>
      </c>
    </row>
    <row r="3989" spans="1:21" x14ac:dyDescent="0.35">
      <c r="A3989" s="1"/>
      <c r="U3989">
        <v>10.487500000000001</v>
      </c>
    </row>
    <row r="3990" spans="1:21" x14ac:dyDescent="0.35">
      <c r="U3990">
        <v>13.846</v>
      </c>
    </row>
    <row r="3991" spans="1:21" x14ac:dyDescent="0.35">
      <c r="U3991">
        <v>20.1248</v>
      </c>
    </row>
    <row r="3992" spans="1:21" x14ac:dyDescent="0.35">
      <c r="A3992" s="1"/>
      <c r="U3992">
        <v>-64.427400000000006</v>
      </c>
    </row>
    <row r="3993" spans="1:21" x14ac:dyDescent="0.35">
      <c r="A3993" s="1"/>
      <c r="U3993">
        <v>14.299200000000001</v>
      </c>
    </row>
    <row r="3994" spans="1:21" x14ac:dyDescent="0.35">
      <c r="A3994" s="1"/>
      <c r="U3994">
        <v>4.6547999999999998</v>
      </c>
    </row>
    <row r="3995" spans="1:21" x14ac:dyDescent="0.35">
      <c r="A3995" s="1"/>
      <c r="U3995">
        <v>10.794</v>
      </c>
    </row>
    <row r="3996" spans="1:21" x14ac:dyDescent="0.35">
      <c r="A3996" s="1"/>
      <c r="U3996">
        <v>97.458600000000004</v>
      </c>
    </row>
    <row r="3997" spans="1:21" x14ac:dyDescent="0.35">
      <c r="A3997" s="1"/>
      <c r="U3997">
        <v>189.40459999999999</v>
      </c>
    </row>
    <row r="3998" spans="1:21" x14ac:dyDescent="0.35">
      <c r="A3998" s="1"/>
      <c r="U3998">
        <v>223.28550000000001</v>
      </c>
    </row>
    <row r="3999" spans="1:21" x14ac:dyDescent="0.35">
      <c r="A3999" s="1"/>
      <c r="U3999">
        <v>4.4939999999999998</v>
      </c>
    </row>
    <row r="4000" spans="1:21" x14ac:dyDescent="0.35">
      <c r="A4000" s="1"/>
      <c r="U4000">
        <v>82.077600000000004</v>
      </c>
    </row>
    <row r="4001" spans="1:21" x14ac:dyDescent="0.35">
      <c r="U4001">
        <v>5.798</v>
      </c>
    </row>
    <row r="4002" spans="1:21" x14ac:dyDescent="0.35">
      <c r="A4002" s="1"/>
      <c r="U4002">
        <v>19.041</v>
      </c>
    </row>
    <row r="4003" spans="1:21" x14ac:dyDescent="0.35">
      <c r="A4003" s="1"/>
      <c r="U4003">
        <v>58.65</v>
      </c>
    </row>
    <row r="4004" spans="1:21" x14ac:dyDescent="0.35">
      <c r="A4004" s="1"/>
      <c r="U4004">
        <v>-127.5792</v>
      </c>
    </row>
    <row r="4005" spans="1:21" x14ac:dyDescent="0.35">
      <c r="A4005" s="1"/>
      <c r="U4005">
        <v>33.589500000000001</v>
      </c>
    </row>
    <row r="4006" spans="1:21" x14ac:dyDescent="0.35">
      <c r="A4006" s="1"/>
      <c r="U4006">
        <v>11.895</v>
      </c>
    </row>
    <row r="4007" spans="1:21" x14ac:dyDescent="0.35">
      <c r="A4007" s="1"/>
      <c r="U4007">
        <v>0.49840000000000001</v>
      </c>
    </row>
    <row r="4008" spans="1:21" x14ac:dyDescent="0.35">
      <c r="A4008" s="1"/>
      <c r="U4008">
        <v>12.441599999999999</v>
      </c>
    </row>
    <row r="4009" spans="1:21" x14ac:dyDescent="0.35">
      <c r="A4009" s="1"/>
      <c r="U4009">
        <v>21.407399999999999</v>
      </c>
    </row>
    <row r="4010" spans="1:21" x14ac:dyDescent="0.35">
      <c r="U4010">
        <v>0.59919999999999995</v>
      </c>
    </row>
    <row r="4011" spans="1:21" x14ac:dyDescent="0.35">
      <c r="A4011" s="1"/>
      <c r="U4011">
        <v>199.26060000000001</v>
      </c>
    </row>
    <row r="4012" spans="1:21" x14ac:dyDescent="0.35">
      <c r="U4012">
        <v>2.64</v>
      </c>
    </row>
    <row r="4013" spans="1:21" x14ac:dyDescent="0.35">
      <c r="U4013">
        <v>3.9296000000000002</v>
      </c>
    </row>
    <row r="4014" spans="1:21" x14ac:dyDescent="0.35">
      <c r="U4014">
        <v>4.9648000000000003</v>
      </c>
    </row>
    <row r="4015" spans="1:21" x14ac:dyDescent="0.35">
      <c r="U4015">
        <v>152.0232</v>
      </c>
    </row>
    <row r="4016" spans="1:21" x14ac:dyDescent="0.35">
      <c r="U4016">
        <v>4.2336</v>
      </c>
    </row>
    <row r="4017" spans="1:21" x14ac:dyDescent="0.35">
      <c r="U4017">
        <v>94.962000000000003</v>
      </c>
    </row>
    <row r="4018" spans="1:21" x14ac:dyDescent="0.35">
      <c r="U4018">
        <v>9.6300000000000008</v>
      </c>
    </row>
    <row r="4019" spans="1:21" x14ac:dyDescent="0.35">
      <c r="U4019">
        <v>48.94</v>
      </c>
    </row>
    <row r="4020" spans="1:21" x14ac:dyDescent="0.35">
      <c r="U4020">
        <v>47.862900000000003</v>
      </c>
    </row>
    <row r="4021" spans="1:21" x14ac:dyDescent="0.35">
      <c r="U4021">
        <v>6.7236000000000002</v>
      </c>
    </row>
    <row r="4022" spans="1:21" x14ac:dyDescent="0.35">
      <c r="U4022">
        <v>-4.8587999999999996</v>
      </c>
    </row>
    <row r="4023" spans="1:21" x14ac:dyDescent="0.35">
      <c r="U4023">
        <v>-15.1767</v>
      </c>
    </row>
    <row r="4024" spans="1:21" x14ac:dyDescent="0.35">
      <c r="U4024">
        <v>0</v>
      </c>
    </row>
    <row r="4025" spans="1:21" x14ac:dyDescent="0.35">
      <c r="U4025">
        <v>6.5490000000000004</v>
      </c>
    </row>
    <row r="4026" spans="1:21" x14ac:dyDescent="0.35">
      <c r="U4026">
        <v>34.741999999999997</v>
      </c>
    </row>
    <row r="4027" spans="1:21" x14ac:dyDescent="0.35">
      <c r="A4027" s="1"/>
      <c r="U4027">
        <v>10.0116</v>
      </c>
    </row>
    <row r="4028" spans="1:21" x14ac:dyDescent="0.35">
      <c r="A4028" s="1"/>
      <c r="U4028">
        <v>2.87</v>
      </c>
    </row>
    <row r="4029" spans="1:21" x14ac:dyDescent="0.35">
      <c r="A4029" s="1"/>
      <c r="U4029">
        <v>13.438599999999999</v>
      </c>
    </row>
    <row r="4030" spans="1:21" x14ac:dyDescent="0.35">
      <c r="A4030" s="1"/>
      <c r="U4030">
        <v>-22.512</v>
      </c>
    </row>
    <row r="4031" spans="1:21" x14ac:dyDescent="0.35">
      <c r="U4031">
        <v>239.98500000000001</v>
      </c>
    </row>
    <row r="4032" spans="1:21" x14ac:dyDescent="0.35">
      <c r="U4032">
        <v>60.5488</v>
      </c>
    </row>
    <row r="4033" spans="1:21" x14ac:dyDescent="0.35">
      <c r="U4033">
        <v>66.326400000000007</v>
      </c>
    </row>
    <row r="4034" spans="1:21" x14ac:dyDescent="0.35">
      <c r="U4034">
        <v>14.651</v>
      </c>
    </row>
    <row r="4035" spans="1:21" x14ac:dyDescent="0.35">
      <c r="U4035">
        <v>21</v>
      </c>
    </row>
    <row r="4036" spans="1:21" x14ac:dyDescent="0.35">
      <c r="A4036" s="1"/>
      <c r="U4036">
        <v>-14.331300000000001</v>
      </c>
    </row>
    <row r="4037" spans="1:21" x14ac:dyDescent="0.35">
      <c r="A4037" s="1"/>
      <c r="U4037">
        <v>76.790400000000005</v>
      </c>
    </row>
    <row r="4038" spans="1:21" x14ac:dyDescent="0.35">
      <c r="U4038">
        <v>1.5509999999999999</v>
      </c>
    </row>
    <row r="4039" spans="1:21" x14ac:dyDescent="0.35">
      <c r="U4039">
        <v>8.2170000000000005</v>
      </c>
    </row>
    <row r="4040" spans="1:21" x14ac:dyDescent="0.35">
      <c r="U4040">
        <v>9.5039999999999996</v>
      </c>
    </row>
    <row r="4041" spans="1:21" x14ac:dyDescent="0.35">
      <c r="U4041">
        <v>287.98200000000003</v>
      </c>
    </row>
    <row r="4042" spans="1:21" x14ac:dyDescent="0.35">
      <c r="U4042">
        <v>4.6643999999999997</v>
      </c>
    </row>
    <row r="4043" spans="1:21" x14ac:dyDescent="0.35">
      <c r="U4043">
        <v>19.197600000000001</v>
      </c>
    </row>
    <row r="4044" spans="1:21" x14ac:dyDescent="0.35">
      <c r="U4044">
        <v>126.3942</v>
      </c>
    </row>
    <row r="4045" spans="1:21" x14ac:dyDescent="0.35">
      <c r="U4045">
        <v>23.990400000000001</v>
      </c>
    </row>
    <row r="4046" spans="1:21" x14ac:dyDescent="0.35">
      <c r="U4046">
        <v>57.357999999999997</v>
      </c>
    </row>
    <row r="4047" spans="1:21" x14ac:dyDescent="0.35">
      <c r="A4047" s="1"/>
      <c r="U4047">
        <v>-13.734</v>
      </c>
    </row>
    <row r="4048" spans="1:21" x14ac:dyDescent="0.35">
      <c r="U4048">
        <v>-62.379199999999997</v>
      </c>
    </row>
    <row r="4049" spans="1:21" x14ac:dyDescent="0.35">
      <c r="U4049">
        <v>39.6312</v>
      </c>
    </row>
    <row r="4050" spans="1:21" x14ac:dyDescent="0.35">
      <c r="U4050">
        <v>191.96799999999999</v>
      </c>
    </row>
    <row r="4051" spans="1:21" x14ac:dyDescent="0.35">
      <c r="U4051">
        <v>49.804200000000002</v>
      </c>
    </row>
    <row r="4052" spans="1:21" x14ac:dyDescent="0.35">
      <c r="U4052">
        <v>32.633200000000002</v>
      </c>
    </row>
    <row r="4053" spans="1:21" x14ac:dyDescent="0.35">
      <c r="U4053">
        <v>1.4783999999999999</v>
      </c>
    </row>
    <row r="4054" spans="1:21" x14ac:dyDescent="0.35">
      <c r="U4054">
        <v>-81.854399999999998</v>
      </c>
    </row>
    <row r="4055" spans="1:21" x14ac:dyDescent="0.35">
      <c r="U4055">
        <v>18.018000000000001</v>
      </c>
    </row>
    <row r="4056" spans="1:21" x14ac:dyDescent="0.35">
      <c r="U4056">
        <v>6.8015999999999996</v>
      </c>
    </row>
    <row r="4057" spans="1:21" x14ac:dyDescent="0.35">
      <c r="U4057">
        <v>-337.80599999999998</v>
      </c>
    </row>
    <row r="4058" spans="1:21" x14ac:dyDescent="0.35">
      <c r="U4058">
        <v>-20.152799999999999</v>
      </c>
    </row>
    <row r="4059" spans="1:21" x14ac:dyDescent="0.35">
      <c r="U4059">
        <v>-8.0775000000000006</v>
      </c>
    </row>
    <row r="4060" spans="1:21" x14ac:dyDescent="0.35">
      <c r="U4060">
        <v>-15.4581</v>
      </c>
    </row>
    <row r="4061" spans="1:21" x14ac:dyDescent="0.35">
      <c r="U4061">
        <v>35.76</v>
      </c>
    </row>
    <row r="4062" spans="1:21" x14ac:dyDescent="0.35">
      <c r="A4062" s="1"/>
      <c r="U4062">
        <v>17.8794</v>
      </c>
    </row>
    <row r="4063" spans="1:21" x14ac:dyDescent="0.35">
      <c r="U4063">
        <v>7.8224999999999998</v>
      </c>
    </row>
    <row r="4064" spans="1:21" x14ac:dyDescent="0.35">
      <c r="A4064" s="1"/>
      <c r="U4064">
        <v>7.4984999999999999</v>
      </c>
    </row>
    <row r="4065" spans="1:21" x14ac:dyDescent="0.35">
      <c r="U4065">
        <v>1.7514000000000001</v>
      </c>
    </row>
    <row r="4066" spans="1:21" x14ac:dyDescent="0.35">
      <c r="U4066">
        <v>0.34920000000000001</v>
      </c>
    </row>
    <row r="4067" spans="1:21" x14ac:dyDescent="0.35">
      <c r="A4067" s="1"/>
      <c r="U4067">
        <v>1.41</v>
      </c>
    </row>
    <row r="4068" spans="1:21" x14ac:dyDescent="0.35">
      <c r="A4068" s="1"/>
      <c r="U4068">
        <v>0.89880000000000004</v>
      </c>
    </row>
    <row r="4069" spans="1:21" x14ac:dyDescent="0.35">
      <c r="A4069" s="1"/>
      <c r="U4069">
        <v>15.537599999999999</v>
      </c>
    </row>
    <row r="4070" spans="1:21" x14ac:dyDescent="0.35">
      <c r="A4070" s="1"/>
      <c r="U4070">
        <v>110.1195</v>
      </c>
    </row>
    <row r="4071" spans="1:21" x14ac:dyDescent="0.35">
      <c r="U4071">
        <v>-21.681000000000001</v>
      </c>
    </row>
    <row r="4072" spans="1:21" x14ac:dyDescent="0.35">
      <c r="U4072">
        <v>-16.5396</v>
      </c>
    </row>
    <row r="4073" spans="1:21" x14ac:dyDescent="0.35">
      <c r="U4073">
        <v>-52.890799999999999</v>
      </c>
    </row>
    <row r="4074" spans="1:21" x14ac:dyDescent="0.35">
      <c r="A4074" s="1"/>
      <c r="U4074">
        <v>449.99099999999999</v>
      </c>
    </row>
    <row r="4075" spans="1:21" x14ac:dyDescent="0.35">
      <c r="U4075">
        <v>213.70439999999999</v>
      </c>
    </row>
    <row r="4076" spans="1:21" x14ac:dyDescent="0.35">
      <c r="U4076">
        <v>55.015999999999998</v>
      </c>
    </row>
    <row r="4077" spans="1:21" x14ac:dyDescent="0.35">
      <c r="U4077">
        <v>0</v>
      </c>
    </row>
    <row r="4078" spans="1:21" x14ac:dyDescent="0.35">
      <c r="U4078">
        <v>3.3088000000000002</v>
      </c>
    </row>
    <row r="4079" spans="1:21" x14ac:dyDescent="0.35">
      <c r="U4079">
        <v>0.2016</v>
      </c>
    </row>
    <row r="4080" spans="1:21" x14ac:dyDescent="0.35">
      <c r="U4080">
        <v>56.977200000000003</v>
      </c>
    </row>
    <row r="4081" spans="1:21" x14ac:dyDescent="0.35">
      <c r="U4081">
        <v>4.7976000000000001</v>
      </c>
    </row>
    <row r="4082" spans="1:21" x14ac:dyDescent="0.35">
      <c r="U4082">
        <v>22.518000000000001</v>
      </c>
    </row>
    <row r="4083" spans="1:21" x14ac:dyDescent="0.35">
      <c r="U4083">
        <v>-3.5154000000000001</v>
      </c>
    </row>
    <row r="4084" spans="1:21" x14ac:dyDescent="0.35">
      <c r="U4084">
        <v>-320.23950000000002</v>
      </c>
    </row>
    <row r="4085" spans="1:21" x14ac:dyDescent="0.35">
      <c r="U4085">
        <v>3.21</v>
      </c>
    </row>
    <row r="4086" spans="1:21" x14ac:dyDescent="0.35">
      <c r="A4086" s="1"/>
      <c r="U4086">
        <v>-6.0236999999999998</v>
      </c>
    </row>
    <row r="4087" spans="1:21" x14ac:dyDescent="0.35">
      <c r="A4087" s="1"/>
      <c r="U4087">
        <v>30.238399999999999</v>
      </c>
    </row>
    <row r="4088" spans="1:21" x14ac:dyDescent="0.35">
      <c r="A4088" s="1"/>
      <c r="U4088">
        <v>7.0712999999999999</v>
      </c>
    </row>
    <row r="4089" spans="1:21" x14ac:dyDescent="0.35">
      <c r="A4089" s="1"/>
      <c r="U4089">
        <v>3.9771000000000001</v>
      </c>
    </row>
    <row r="4090" spans="1:21" x14ac:dyDescent="0.35">
      <c r="U4090">
        <v>172.48140000000001</v>
      </c>
    </row>
    <row r="4091" spans="1:21" x14ac:dyDescent="0.35">
      <c r="A4091" s="1"/>
      <c r="U4091">
        <v>9.9359999999999999</v>
      </c>
    </row>
    <row r="4092" spans="1:21" x14ac:dyDescent="0.35">
      <c r="A4092" s="1"/>
      <c r="U4092">
        <v>3.2850000000000001</v>
      </c>
    </row>
    <row r="4093" spans="1:21" x14ac:dyDescent="0.35">
      <c r="A4093" s="1"/>
      <c r="U4093">
        <v>4.6643999999999997</v>
      </c>
    </row>
    <row r="4094" spans="1:21" x14ac:dyDescent="0.35">
      <c r="U4094">
        <v>-55.256</v>
      </c>
    </row>
    <row r="4095" spans="1:21" x14ac:dyDescent="0.35">
      <c r="U4095">
        <v>1416.8</v>
      </c>
    </row>
    <row r="4096" spans="1:21" x14ac:dyDescent="0.35">
      <c r="U4096">
        <v>18.390799999999999</v>
      </c>
    </row>
    <row r="4097" spans="1:21" x14ac:dyDescent="0.35">
      <c r="U4097">
        <v>170.51130000000001</v>
      </c>
    </row>
    <row r="4098" spans="1:21" x14ac:dyDescent="0.35">
      <c r="U4098">
        <v>15.552</v>
      </c>
    </row>
    <row r="4099" spans="1:21" x14ac:dyDescent="0.35">
      <c r="U4099">
        <v>16.196000000000002</v>
      </c>
    </row>
    <row r="4100" spans="1:21" x14ac:dyDescent="0.35">
      <c r="U4100">
        <v>4630.4754999999996</v>
      </c>
    </row>
    <row r="4101" spans="1:21" x14ac:dyDescent="0.35">
      <c r="U4101">
        <v>6.47</v>
      </c>
    </row>
    <row r="4102" spans="1:21" x14ac:dyDescent="0.35">
      <c r="U4102">
        <v>-5.2072000000000003</v>
      </c>
    </row>
    <row r="4103" spans="1:21" x14ac:dyDescent="0.35">
      <c r="U4103">
        <v>-1.1100000000000001</v>
      </c>
    </row>
    <row r="4104" spans="1:21" x14ac:dyDescent="0.35">
      <c r="U4104">
        <v>47.507199999999997</v>
      </c>
    </row>
    <row r="4105" spans="1:21" x14ac:dyDescent="0.35">
      <c r="U4105">
        <v>7.0048000000000004</v>
      </c>
    </row>
    <row r="4106" spans="1:21" x14ac:dyDescent="0.35">
      <c r="A4106" s="1"/>
      <c r="U4106">
        <v>17.9955</v>
      </c>
    </row>
    <row r="4107" spans="1:21" x14ac:dyDescent="0.35">
      <c r="A4107" s="1"/>
      <c r="U4107">
        <v>4.6440000000000001</v>
      </c>
    </row>
    <row r="4108" spans="1:21" x14ac:dyDescent="0.35">
      <c r="U4108">
        <v>-6.8992000000000004</v>
      </c>
    </row>
    <row r="4109" spans="1:21" x14ac:dyDescent="0.35">
      <c r="A4109" s="1"/>
      <c r="U4109">
        <v>0.2792</v>
      </c>
    </row>
    <row r="4110" spans="1:21" x14ac:dyDescent="0.35">
      <c r="A4110" s="1"/>
      <c r="U4110">
        <v>-14.1639</v>
      </c>
    </row>
    <row r="4111" spans="1:21" x14ac:dyDescent="0.35">
      <c r="U4111">
        <v>19.974599999999999</v>
      </c>
    </row>
    <row r="4112" spans="1:21" x14ac:dyDescent="0.35">
      <c r="U4112">
        <v>20.927399999999999</v>
      </c>
    </row>
    <row r="4113" spans="1:21" x14ac:dyDescent="0.35">
      <c r="U4113">
        <v>8.4966000000000008</v>
      </c>
    </row>
    <row r="4114" spans="1:21" x14ac:dyDescent="0.35">
      <c r="U4114">
        <v>0.95120000000000005</v>
      </c>
    </row>
    <row r="4115" spans="1:21" x14ac:dyDescent="0.35">
      <c r="A4115" s="1"/>
      <c r="U4115">
        <v>2.9889000000000001</v>
      </c>
    </row>
    <row r="4116" spans="1:21" x14ac:dyDescent="0.35">
      <c r="A4116" s="1"/>
      <c r="U4116">
        <v>13.857900000000001</v>
      </c>
    </row>
    <row r="4117" spans="1:21" x14ac:dyDescent="0.35">
      <c r="U4117">
        <v>381.23750000000001</v>
      </c>
    </row>
    <row r="4118" spans="1:21" x14ac:dyDescent="0.35">
      <c r="U4118">
        <v>0.99</v>
      </c>
    </row>
    <row r="4119" spans="1:21" x14ac:dyDescent="0.35">
      <c r="U4119">
        <v>9.3312000000000008</v>
      </c>
    </row>
    <row r="4120" spans="1:21" x14ac:dyDescent="0.35">
      <c r="U4120">
        <v>54.583199999999998</v>
      </c>
    </row>
    <row r="4121" spans="1:21" x14ac:dyDescent="0.35">
      <c r="U4121">
        <v>29.702400000000001</v>
      </c>
    </row>
    <row r="4122" spans="1:21" x14ac:dyDescent="0.35">
      <c r="A4122" s="1"/>
      <c r="U4122">
        <v>-1.4279999999999999</v>
      </c>
    </row>
    <row r="4123" spans="1:21" x14ac:dyDescent="0.35">
      <c r="A4123" s="1"/>
      <c r="U4123">
        <v>16.847999999999999</v>
      </c>
    </row>
    <row r="4124" spans="1:21" x14ac:dyDescent="0.35">
      <c r="A4124" s="1"/>
      <c r="U4124">
        <v>17.667300000000001</v>
      </c>
    </row>
    <row r="4125" spans="1:21" x14ac:dyDescent="0.35">
      <c r="A4125" s="1"/>
      <c r="U4125">
        <v>9.4366000000000003</v>
      </c>
    </row>
    <row r="4126" spans="1:21" x14ac:dyDescent="0.35">
      <c r="A4126" s="1"/>
      <c r="U4126">
        <v>9.6957000000000004</v>
      </c>
    </row>
    <row r="4127" spans="1:21" x14ac:dyDescent="0.35">
      <c r="U4127">
        <v>-2.2757999999999998</v>
      </c>
    </row>
    <row r="4128" spans="1:21" x14ac:dyDescent="0.35">
      <c r="A4128" s="1"/>
      <c r="U4128">
        <v>18.037800000000001</v>
      </c>
    </row>
    <row r="4129" spans="1:21" x14ac:dyDescent="0.35">
      <c r="U4129">
        <v>7.5762</v>
      </c>
    </row>
    <row r="4130" spans="1:21" x14ac:dyDescent="0.35">
      <c r="U4130">
        <v>-944.99459999999999</v>
      </c>
    </row>
    <row r="4131" spans="1:21" x14ac:dyDescent="0.35">
      <c r="U4131">
        <v>21.251200000000001</v>
      </c>
    </row>
    <row r="4132" spans="1:21" x14ac:dyDescent="0.35">
      <c r="U4132">
        <v>-23.891999999999999</v>
      </c>
    </row>
    <row r="4133" spans="1:21" x14ac:dyDescent="0.35">
      <c r="A4133" s="1"/>
      <c r="U4133">
        <v>4.0338000000000003</v>
      </c>
    </row>
    <row r="4134" spans="1:21" x14ac:dyDescent="0.35">
      <c r="A4134" s="1"/>
      <c r="U4134">
        <v>5.6375999999999999</v>
      </c>
    </row>
    <row r="4135" spans="1:21" x14ac:dyDescent="0.35">
      <c r="A4135" s="1"/>
      <c r="U4135">
        <v>21.6</v>
      </c>
    </row>
    <row r="4136" spans="1:21" x14ac:dyDescent="0.35">
      <c r="A4136" s="1"/>
      <c r="U4136">
        <v>90.287099999999995</v>
      </c>
    </row>
    <row r="4137" spans="1:21" x14ac:dyDescent="0.35">
      <c r="A4137" s="1"/>
      <c r="U4137">
        <v>42.045000000000002</v>
      </c>
    </row>
    <row r="4138" spans="1:21" x14ac:dyDescent="0.35">
      <c r="A4138" s="1"/>
      <c r="U4138">
        <v>204.76820000000001</v>
      </c>
    </row>
    <row r="4139" spans="1:21" x14ac:dyDescent="0.35">
      <c r="U4139">
        <v>12.53</v>
      </c>
    </row>
    <row r="4140" spans="1:21" x14ac:dyDescent="0.35">
      <c r="U4140">
        <v>-10.385999999999999</v>
      </c>
    </row>
    <row r="4141" spans="1:21" x14ac:dyDescent="0.35">
      <c r="A4141" s="1"/>
      <c r="U4141">
        <v>2.3370000000000002</v>
      </c>
    </row>
    <row r="4142" spans="1:21" x14ac:dyDescent="0.35">
      <c r="A4142" s="1"/>
      <c r="U4142">
        <v>13.846</v>
      </c>
    </row>
    <row r="4143" spans="1:21" x14ac:dyDescent="0.35">
      <c r="U4143">
        <v>8.6940000000000008</v>
      </c>
    </row>
    <row r="4144" spans="1:21" x14ac:dyDescent="0.35">
      <c r="U4144">
        <v>26.4132</v>
      </c>
    </row>
    <row r="4145" spans="1:21" x14ac:dyDescent="0.35">
      <c r="U4145">
        <v>5.7329999999999997</v>
      </c>
    </row>
    <row r="4146" spans="1:21" x14ac:dyDescent="0.35">
      <c r="U4146">
        <v>2.3814000000000002</v>
      </c>
    </row>
    <row r="4147" spans="1:21" x14ac:dyDescent="0.35">
      <c r="U4147">
        <v>-13.588200000000001</v>
      </c>
    </row>
    <row r="4148" spans="1:21" x14ac:dyDescent="0.35">
      <c r="U4148">
        <v>64.518000000000001</v>
      </c>
    </row>
    <row r="4149" spans="1:21" x14ac:dyDescent="0.35">
      <c r="U4149">
        <v>-15.1311</v>
      </c>
    </row>
    <row r="4150" spans="1:21" x14ac:dyDescent="0.35">
      <c r="U4150">
        <v>1.2004999999999999</v>
      </c>
    </row>
    <row r="4151" spans="1:21" x14ac:dyDescent="0.35">
      <c r="U4151">
        <v>-2.0699999999999998</v>
      </c>
    </row>
    <row r="4152" spans="1:21" x14ac:dyDescent="0.35">
      <c r="U4152">
        <v>-58.305599999999998</v>
      </c>
    </row>
    <row r="4153" spans="1:21" x14ac:dyDescent="0.35">
      <c r="A4153" s="1"/>
      <c r="U4153">
        <v>9.8684999999999992</v>
      </c>
    </row>
    <row r="4154" spans="1:21" x14ac:dyDescent="0.35">
      <c r="A4154" s="1"/>
      <c r="U4154">
        <v>5.4432</v>
      </c>
    </row>
    <row r="4155" spans="1:21" x14ac:dyDescent="0.35">
      <c r="A4155" s="1"/>
      <c r="U4155">
        <v>1.6524000000000001</v>
      </c>
    </row>
    <row r="4156" spans="1:21" x14ac:dyDescent="0.35">
      <c r="U4156">
        <v>-27.9312</v>
      </c>
    </row>
    <row r="4157" spans="1:21" x14ac:dyDescent="0.35">
      <c r="U4157">
        <v>-1.9656</v>
      </c>
    </row>
    <row r="4158" spans="1:21" x14ac:dyDescent="0.35">
      <c r="A4158" s="1"/>
      <c r="U4158">
        <v>0.5998</v>
      </c>
    </row>
    <row r="4159" spans="1:21" x14ac:dyDescent="0.35">
      <c r="A4159" s="1"/>
      <c r="U4159">
        <v>-19.982399999999998</v>
      </c>
    </row>
    <row r="4160" spans="1:21" x14ac:dyDescent="0.35">
      <c r="A4160" s="1"/>
      <c r="U4160">
        <v>5.1012000000000004</v>
      </c>
    </row>
    <row r="4161" spans="1:21" x14ac:dyDescent="0.35">
      <c r="U4161">
        <v>3.7235999999999998</v>
      </c>
    </row>
    <row r="4162" spans="1:21" x14ac:dyDescent="0.35">
      <c r="U4162">
        <v>134.99250000000001</v>
      </c>
    </row>
    <row r="4163" spans="1:21" x14ac:dyDescent="0.35">
      <c r="U4163">
        <v>5.8708</v>
      </c>
    </row>
    <row r="4164" spans="1:21" x14ac:dyDescent="0.35">
      <c r="U4164">
        <v>7.5991999999999997</v>
      </c>
    </row>
    <row r="4165" spans="1:21" x14ac:dyDescent="0.35">
      <c r="U4165">
        <v>315.81180000000001</v>
      </c>
    </row>
    <row r="4166" spans="1:21" x14ac:dyDescent="0.35">
      <c r="U4166">
        <v>-14.793100000000001</v>
      </c>
    </row>
    <row r="4167" spans="1:21" x14ac:dyDescent="0.35">
      <c r="U4167">
        <v>14.7546</v>
      </c>
    </row>
    <row r="4168" spans="1:21" x14ac:dyDescent="0.35">
      <c r="A4168" s="1"/>
      <c r="U4168">
        <v>9.3312000000000008</v>
      </c>
    </row>
    <row r="4169" spans="1:21" x14ac:dyDescent="0.35">
      <c r="A4169" s="1"/>
      <c r="U4169">
        <v>8.2992000000000008</v>
      </c>
    </row>
    <row r="4170" spans="1:21" x14ac:dyDescent="0.35">
      <c r="A4170" s="1"/>
      <c r="U4170">
        <v>-65.035200000000003</v>
      </c>
    </row>
    <row r="4171" spans="1:21" x14ac:dyDescent="0.35">
      <c r="U4171">
        <v>10.8864</v>
      </c>
    </row>
    <row r="4172" spans="1:21" x14ac:dyDescent="0.35">
      <c r="U4172">
        <v>17.815200000000001</v>
      </c>
    </row>
    <row r="4173" spans="1:21" x14ac:dyDescent="0.35">
      <c r="U4173">
        <v>0.97719999999999996</v>
      </c>
    </row>
    <row r="4174" spans="1:21" x14ac:dyDescent="0.35">
      <c r="A4174" s="1"/>
      <c r="U4174">
        <v>6.532</v>
      </c>
    </row>
    <row r="4175" spans="1:21" x14ac:dyDescent="0.35">
      <c r="A4175" s="1"/>
      <c r="U4175">
        <v>6.2207999999999997</v>
      </c>
    </row>
    <row r="4176" spans="1:21" x14ac:dyDescent="0.35">
      <c r="A4176" s="1"/>
      <c r="U4176">
        <v>28.0032</v>
      </c>
    </row>
    <row r="4177" spans="1:21" x14ac:dyDescent="0.35">
      <c r="U4177">
        <v>15.763999999999999</v>
      </c>
    </row>
    <row r="4178" spans="1:21" x14ac:dyDescent="0.35">
      <c r="A4178" s="1"/>
      <c r="U4178">
        <v>163.78700000000001</v>
      </c>
    </row>
    <row r="4179" spans="1:21" x14ac:dyDescent="0.35">
      <c r="A4179" s="1"/>
      <c r="U4179">
        <v>60.255299999999998</v>
      </c>
    </row>
    <row r="4180" spans="1:21" x14ac:dyDescent="0.35">
      <c r="U4180">
        <v>21.784500000000001</v>
      </c>
    </row>
    <row r="4181" spans="1:21" x14ac:dyDescent="0.35">
      <c r="A4181" s="1"/>
      <c r="U4181">
        <v>5.4287999999999998</v>
      </c>
    </row>
    <row r="4182" spans="1:21" x14ac:dyDescent="0.35">
      <c r="A4182" s="1"/>
      <c r="U4182">
        <v>-6.36</v>
      </c>
    </row>
    <row r="4183" spans="1:21" x14ac:dyDescent="0.35">
      <c r="A4183" s="1"/>
      <c r="U4183">
        <v>115.18559999999999</v>
      </c>
    </row>
    <row r="4184" spans="1:21" x14ac:dyDescent="0.35">
      <c r="A4184" s="1"/>
      <c r="U4184">
        <v>7.6680000000000001</v>
      </c>
    </row>
    <row r="4185" spans="1:21" x14ac:dyDescent="0.35">
      <c r="A4185" s="1"/>
      <c r="U4185">
        <v>10.347300000000001</v>
      </c>
    </row>
    <row r="4186" spans="1:21" x14ac:dyDescent="0.35">
      <c r="A4186" s="1"/>
      <c r="U4186">
        <v>20.484999999999999</v>
      </c>
    </row>
    <row r="4187" spans="1:21" x14ac:dyDescent="0.35">
      <c r="U4187">
        <v>9.8160000000000007</v>
      </c>
    </row>
    <row r="4188" spans="1:21" x14ac:dyDescent="0.35">
      <c r="U4188">
        <v>-10.6547</v>
      </c>
    </row>
    <row r="4189" spans="1:21" x14ac:dyDescent="0.35">
      <c r="U4189">
        <v>-3.2934000000000001</v>
      </c>
    </row>
    <row r="4190" spans="1:21" x14ac:dyDescent="0.35">
      <c r="U4190">
        <v>0.66959999999999997</v>
      </c>
    </row>
    <row r="4191" spans="1:21" x14ac:dyDescent="0.35">
      <c r="U4191">
        <v>4.4954999999999998</v>
      </c>
    </row>
    <row r="4192" spans="1:21" x14ac:dyDescent="0.35">
      <c r="U4192">
        <v>5039.9856</v>
      </c>
    </row>
    <row r="4193" spans="1:21" x14ac:dyDescent="0.35">
      <c r="A4193" s="1"/>
      <c r="U4193">
        <v>6.6</v>
      </c>
    </row>
    <row r="4194" spans="1:21" x14ac:dyDescent="0.35">
      <c r="U4194">
        <v>160.17660000000001</v>
      </c>
    </row>
    <row r="4195" spans="1:21" x14ac:dyDescent="0.35">
      <c r="U4195">
        <v>22.8582</v>
      </c>
    </row>
    <row r="4196" spans="1:21" x14ac:dyDescent="0.35">
      <c r="U4196">
        <v>15.074199999999999</v>
      </c>
    </row>
    <row r="4197" spans="1:21" x14ac:dyDescent="0.35">
      <c r="A4197" s="1"/>
      <c r="U4197">
        <v>10.374000000000001</v>
      </c>
    </row>
    <row r="4198" spans="1:21" x14ac:dyDescent="0.35">
      <c r="U4198">
        <v>10.3071</v>
      </c>
    </row>
    <row r="4199" spans="1:21" x14ac:dyDescent="0.35">
      <c r="A4199" s="1"/>
      <c r="U4199">
        <v>93.768799999999999</v>
      </c>
    </row>
    <row r="4200" spans="1:21" x14ac:dyDescent="0.35">
      <c r="A4200" s="1"/>
      <c r="U4200">
        <v>-14.553599999999999</v>
      </c>
    </row>
    <row r="4201" spans="1:21" x14ac:dyDescent="0.35">
      <c r="A4201" s="1"/>
      <c r="U4201">
        <v>3.4357000000000002</v>
      </c>
    </row>
    <row r="4202" spans="1:21" x14ac:dyDescent="0.35">
      <c r="A4202" s="1"/>
      <c r="U4202">
        <v>249.995</v>
      </c>
    </row>
    <row r="4203" spans="1:21" x14ac:dyDescent="0.35">
      <c r="A4203" s="1"/>
      <c r="U4203">
        <v>18.988800000000001</v>
      </c>
    </row>
    <row r="4204" spans="1:21" x14ac:dyDescent="0.35">
      <c r="A4204" s="1"/>
      <c r="U4204">
        <v>84.943600000000004</v>
      </c>
    </row>
    <row r="4205" spans="1:21" x14ac:dyDescent="0.35">
      <c r="U4205">
        <v>18.715</v>
      </c>
    </row>
    <row r="4206" spans="1:21" x14ac:dyDescent="0.35">
      <c r="U4206">
        <v>4.7751999999999999</v>
      </c>
    </row>
    <row r="4207" spans="1:21" x14ac:dyDescent="0.35">
      <c r="U4207">
        <v>4.2804000000000002</v>
      </c>
    </row>
    <row r="4208" spans="1:21" x14ac:dyDescent="0.35">
      <c r="U4208">
        <v>15.6768</v>
      </c>
    </row>
    <row r="4209" spans="1:21" x14ac:dyDescent="0.35">
      <c r="U4209">
        <v>7.7747999999999999</v>
      </c>
    </row>
    <row r="4210" spans="1:21" x14ac:dyDescent="0.35">
      <c r="U4210">
        <v>481.47</v>
      </c>
    </row>
    <row r="4211" spans="1:21" x14ac:dyDescent="0.35">
      <c r="U4211">
        <v>-60.607799999999997</v>
      </c>
    </row>
    <row r="4212" spans="1:21" x14ac:dyDescent="0.35">
      <c r="A4212" s="1"/>
      <c r="U4212">
        <v>4.9950000000000001</v>
      </c>
    </row>
    <row r="4213" spans="1:21" x14ac:dyDescent="0.35">
      <c r="A4213" s="1"/>
      <c r="U4213">
        <v>4.2389999999999999</v>
      </c>
    </row>
    <row r="4214" spans="1:21" x14ac:dyDescent="0.35">
      <c r="A4214" s="1"/>
      <c r="U4214">
        <v>1.9024000000000001</v>
      </c>
    </row>
    <row r="4215" spans="1:21" x14ac:dyDescent="0.35">
      <c r="A4215" s="1"/>
      <c r="U4215">
        <v>11.543200000000001</v>
      </c>
    </row>
    <row r="4216" spans="1:21" x14ac:dyDescent="0.35">
      <c r="A4216" s="1"/>
      <c r="U4216">
        <v>64.2</v>
      </c>
    </row>
    <row r="4217" spans="1:21" x14ac:dyDescent="0.35">
      <c r="U4217">
        <v>29.271599999999999</v>
      </c>
    </row>
    <row r="4218" spans="1:21" x14ac:dyDescent="0.35">
      <c r="U4218">
        <v>4.4352</v>
      </c>
    </row>
    <row r="4219" spans="1:21" x14ac:dyDescent="0.35">
      <c r="A4219" s="1"/>
      <c r="U4219">
        <v>85.176000000000002</v>
      </c>
    </row>
    <row r="4220" spans="1:21" x14ac:dyDescent="0.35">
      <c r="A4220" s="1"/>
      <c r="U4220">
        <v>359.99880000000002</v>
      </c>
    </row>
    <row r="4221" spans="1:21" x14ac:dyDescent="0.35">
      <c r="A4221" s="1"/>
      <c r="U4221">
        <v>18.211200000000002</v>
      </c>
    </row>
    <row r="4222" spans="1:21" x14ac:dyDescent="0.35">
      <c r="A4222" s="1"/>
      <c r="U4222">
        <v>6.6294000000000004</v>
      </c>
    </row>
    <row r="4223" spans="1:21" x14ac:dyDescent="0.35">
      <c r="A4223" s="1"/>
      <c r="U4223">
        <v>130.20750000000001</v>
      </c>
    </row>
    <row r="4224" spans="1:21" x14ac:dyDescent="0.35">
      <c r="A4224" s="1"/>
      <c r="U4224">
        <v>1.0296000000000001</v>
      </c>
    </row>
    <row r="4225" spans="1:21" x14ac:dyDescent="0.35">
      <c r="A4225" s="1"/>
      <c r="U4225">
        <v>41.860799999999998</v>
      </c>
    </row>
    <row r="4226" spans="1:21" x14ac:dyDescent="0.35">
      <c r="U4226">
        <v>-3.2406000000000001</v>
      </c>
    </row>
    <row r="4227" spans="1:21" x14ac:dyDescent="0.35">
      <c r="U4227">
        <v>-42.492600000000003</v>
      </c>
    </row>
    <row r="4228" spans="1:21" x14ac:dyDescent="0.35">
      <c r="A4228" s="1"/>
      <c r="U4228">
        <v>21.5824</v>
      </c>
    </row>
    <row r="4229" spans="1:21" x14ac:dyDescent="0.35">
      <c r="A4229" s="1"/>
      <c r="U4229">
        <v>-6.9282000000000004</v>
      </c>
    </row>
    <row r="4230" spans="1:21" x14ac:dyDescent="0.35">
      <c r="U4230">
        <v>10.3408</v>
      </c>
    </row>
    <row r="4231" spans="1:21" x14ac:dyDescent="0.35">
      <c r="A4231" s="1"/>
      <c r="U4231">
        <v>-348.62939999999998</v>
      </c>
    </row>
    <row r="4232" spans="1:21" x14ac:dyDescent="0.35">
      <c r="A4232" s="1"/>
      <c r="U4232">
        <v>-17.660699999999999</v>
      </c>
    </row>
    <row r="4233" spans="1:21" x14ac:dyDescent="0.35">
      <c r="A4233" s="1"/>
      <c r="U4233">
        <v>5.6375999999999999</v>
      </c>
    </row>
    <row r="4234" spans="1:21" x14ac:dyDescent="0.35">
      <c r="A4234" s="1"/>
      <c r="U4234">
        <v>11.2752</v>
      </c>
    </row>
    <row r="4235" spans="1:21" x14ac:dyDescent="0.35">
      <c r="A4235" s="1"/>
      <c r="U4235">
        <v>-10.4214</v>
      </c>
    </row>
    <row r="4236" spans="1:21" x14ac:dyDescent="0.35">
      <c r="U4236">
        <v>4.1151</v>
      </c>
    </row>
    <row r="4237" spans="1:21" x14ac:dyDescent="0.35">
      <c r="U4237">
        <v>7.0227000000000004</v>
      </c>
    </row>
    <row r="4238" spans="1:21" x14ac:dyDescent="0.35">
      <c r="U4238">
        <v>-18.836400000000001</v>
      </c>
    </row>
    <row r="4239" spans="1:21" x14ac:dyDescent="0.35">
      <c r="U4239">
        <v>0.7056</v>
      </c>
    </row>
    <row r="4240" spans="1:21" x14ac:dyDescent="0.35">
      <c r="U4240">
        <v>5.9489999999999998</v>
      </c>
    </row>
    <row r="4241" spans="1:21" x14ac:dyDescent="0.35">
      <c r="U4241">
        <v>100.65600000000001</v>
      </c>
    </row>
    <row r="4242" spans="1:21" x14ac:dyDescent="0.35">
      <c r="U4242">
        <v>11.8584</v>
      </c>
    </row>
    <row r="4243" spans="1:21" x14ac:dyDescent="0.35">
      <c r="U4243">
        <v>6.5754000000000001</v>
      </c>
    </row>
    <row r="4244" spans="1:21" x14ac:dyDescent="0.35">
      <c r="A4244" s="1"/>
      <c r="U4244">
        <v>5.9988000000000001</v>
      </c>
    </row>
    <row r="4245" spans="1:21" x14ac:dyDescent="0.35">
      <c r="A4245" s="1"/>
      <c r="U4245">
        <v>13.0707</v>
      </c>
    </row>
    <row r="4246" spans="1:21" x14ac:dyDescent="0.35">
      <c r="U4246">
        <v>8.6189999999999998</v>
      </c>
    </row>
    <row r="4247" spans="1:21" x14ac:dyDescent="0.35">
      <c r="U4247">
        <v>0.73799999999999999</v>
      </c>
    </row>
    <row r="4248" spans="1:21" x14ac:dyDescent="0.35">
      <c r="U4248">
        <v>272.79199999999997</v>
      </c>
    </row>
    <row r="4249" spans="1:21" x14ac:dyDescent="0.35">
      <c r="U4249">
        <v>7.524</v>
      </c>
    </row>
    <row r="4250" spans="1:21" x14ac:dyDescent="0.35">
      <c r="A4250" s="1"/>
      <c r="U4250">
        <v>40.516800000000003</v>
      </c>
    </row>
    <row r="4251" spans="1:21" x14ac:dyDescent="0.35">
      <c r="A4251" s="1"/>
      <c r="U4251">
        <v>150.38399999999999</v>
      </c>
    </row>
    <row r="4252" spans="1:21" x14ac:dyDescent="0.35">
      <c r="U4252">
        <v>177.42060000000001</v>
      </c>
    </row>
    <row r="4253" spans="1:21" x14ac:dyDescent="0.35">
      <c r="U4253">
        <v>-13.2867</v>
      </c>
    </row>
    <row r="4254" spans="1:21" x14ac:dyDescent="0.35">
      <c r="U4254">
        <v>2.2711999999999999</v>
      </c>
    </row>
    <row r="4255" spans="1:21" x14ac:dyDescent="0.35">
      <c r="U4255">
        <v>1.0346</v>
      </c>
    </row>
    <row r="4256" spans="1:21" x14ac:dyDescent="0.35">
      <c r="U4256">
        <v>20.5764</v>
      </c>
    </row>
    <row r="4257" spans="1:21" x14ac:dyDescent="0.35">
      <c r="U4257">
        <v>-145.17599999999999</v>
      </c>
    </row>
    <row r="4258" spans="1:21" x14ac:dyDescent="0.35">
      <c r="U4258">
        <v>-6.8094000000000001</v>
      </c>
    </row>
    <row r="4259" spans="1:21" x14ac:dyDescent="0.35">
      <c r="A4259" s="1"/>
      <c r="U4259">
        <v>-6.8334000000000001</v>
      </c>
    </row>
    <row r="4260" spans="1:21" x14ac:dyDescent="0.35">
      <c r="U4260">
        <v>-22.138200000000001</v>
      </c>
    </row>
    <row r="4261" spans="1:21" x14ac:dyDescent="0.35">
      <c r="U4261">
        <v>23.99</v>
      </c>
    </row>
    <row r="4262" spans="1:21" x14ac:dyDescent="0.35">
      <c r="U4262">
        <v>6.0030000000000001</v>
      </c>
    </row>
    <row r="4263" spans="1:21" x14ac:dyDescent="0.35">
      <c r="A4263" s="1"/>
      <c r="U4263">
        <v>19.8276</v>
      </c>
    </row>
    <row r="4264" spans="1:21" x14ac:dyDescent="0.35">
      <c r="U4264">
        <v>24.143999999999998</v>
      </c>
    </row>
    <row r="4265" spans="1:21" x14ac:dyDescent="0.35">
      <c r="A4265" s="1"/>
      <c r="U4265">
        <v>-7.782</v>
      </c>
    </row>
    <row r="4266" spans="1:21" x14ac:dyDescent="0.35">
      <c r="A4266" s="1"/>
      <c r="U4266">
        <v>-160.29519999999999</v>
      </c>
    </row>
    <row r="4267" spans="1:21" x14ac:dyDescent="0.35">
      <c r="A4267" s="1"/>
      <c r="U4267">
        <v>-6.2370000000000001</v>
      </c>
    </row>
    <row r="4268" spans="1:21" x14ac:dyDescent="0.35">
      <c r="A4268" s="1"/>
      <c r="U4268">
        <v>-225.0976</v>
      </c>
    </row>
    <row r="4269" spans="1:21" x14ac:dyDescent="0.35">
      <c r="A4269" s="1"/>
      <c r="U4269">
        <v>-20.140799999999999</v>
      </c>
    </row>
    <row r="4270" spans="1:21" x14ac:dyDescent="0.35">
      <c r="A4270" s="1"/>
      <c r="U4270">
        <v>45.139499999999998</v>
      </c>
    </row>
    <row r="4271" spans="1:21" x14ac:dyDescent="0.35">
      <c r="U4271">
        <v>148.13800000000001</v>
      </c>
    </row>
    <row r="4272" spans="1:21" x14ac:dyDescent="0.35">
      <c r="U4272">
        <v>190.4298</v>
      </c>
    </row>
    <row r="4273" spans="1:21" x14ac:dyDescent="0.35">
      <c r="U4273">
        <v>85.181600000000003</v>
      </c>
    </row>
    <row r="4274" spans="1:21" x14ac:dyDescent="0.35">
      <c r="U4274">
        <v>6.2937000000000003</v>
      </c>
    </row>
    <row r="4275" spans="1:21" x14ac:dyDescent="0.35">
      <c r="U4275">
        <v>7.5370999999999997</v>
      </c>
    </row>
    <row r="4276" spans="1:21" x14ac:dyDescent="0.35">
      <c r="U4276">
        <v>1.1225000000000001</v>
      </c>
    </row>
    <row r="4277" spans="1:21" x14ac:dyDescent="0.35">
      <c r="A4277" s="1"/>
      <c r="U4277">
        <v>-121.58</v>
      </c>
    </row>
    <row r="4278" spans="1:21" x14ac:dyDescent="0.35">
      <c r="U4278">
        <v>61.389000000000003</v>
      </c>
    </row>
    <row r="4279" spans="1:21" x14ac:dyDescent="0.35">
      <c r="U4279">
        <v>2365.9818</v>
      </c>
    </row>
    <row r="4280" spans="1:21" x14ac:dyDescent="0.35">
      <c r="U4280">
        <v>3.2867999999999999</v>
      </c>
    </row>
    <row r="4281" spans="1:21" x14ac:dyDescent="0.35">
      <c r="U4281">
        <v>11.891</v>
      </c>
    </row>
    <row r="4282" spans="1:21" x14ac:dyDescent="0.35">
      <c r="U4282">
        <v>5.2256</v>
      </c>
    </row>
    <row r="4283" spans="1:21" x14ac:dyDescent="0.35">
      <c r="U4283">
        <v>14.622400000000001</v>
      </c>
    </row>
    <row r="4284" spans="1:21" x14ac:dyDescent="0.35">
      <c r="U4284">
        <v>1.7343</v>
      </c>
    </row>
    <row r="4285" spans="1:21" x14ac:dyDescent="0.35">
      <c r="U4285">
        <v>496.78649999999999</v>
      </c>
    </row>
    <row r="4286" spans="1:21" x14ac:dyDescent="0.35">
      <c r="U4286">
        <v>-76.011600000000001</v>
      </c>
    </row>
    <row r="4287" spans="1:21" x14ac:dyDescent="0.35">
      <c r="U4287">
        <v>3.9474</v>
      </c>
    </row>
    <row r="4288" spans="1:21" x14ac:dyDescent="0.35">
      <c r="U4288">
        <v>164.99700000000001</v>
      </c>
    </row>
    <row r="4289" spans="1:21" x14ac:dyDescent="0.35">
      <c r="U4289">
        <v>-12.956799999999999</v>
      </c>
    </row>
    <row r="4290" spans="1:21" x14ac:dyDescent="0.35">
      <c r="U4290">
        <v>-49.92</v>
      </c>
    </row>
    <row r="4291" spans="1:21" x14ac:dyDescent="0.35">
      <c r="U4291">
        <v>4.9307999999999996</v>
      </c>
    </row>
    <row r="4292" spans="1:21" x14ac:dyDescent="0.35">
      <c r="A4292" s="1"/>
      <c r="U4292">
        <v>2.79</v>
      </c>
    </row>
    <row r="4293" spans="1:21" x14ac:dyDescent="0.35">
      <c r="A4293" s="1"/>
      <c r="U4293">
        <v>22.408200000000001</v>
      </c>
    </row>
    <row r="4294" spans="1:21" x14ac:dyDescent="0.35">
      <c r="A4294" s="1"/>
      <c r="U4294">
        <v>68.040000000000006</v>
      </c>
    </row>
    <row r="4295" spans="1:21" x14ac:dyDescent="0.35">
      <c r="A4295" s="1"/>
      <c r="U4295">
        <v>-10.7964</v>
      </c>
    </row>
    <row r="4296" spans="1:21" x14ac:dyDescent="0.35">
      <c r="U4296">
        <v>-120.51300000000001</v>
      </c>
    </row>
    <row r="4297" spans="1:21" x14ac:dyDescent="0.35">
      <c r="A4297" s="1"/>
      <c r="U4297">
        <v>54.343800000000002</v>
      </c>
    </row>
    <row r="4298" spans="1:21" x14ac:dyDescent="0.35">
      <c r="A4298" s="1"/>
      <c r="U4298">
        <v>0.54320000000000002</v>
      </c>
    </row>
    <row r="4299" spans="1:21" x14ac:dyDescent="0.35">
      <c r="U4299">
        <v>327.59219999999999</v>
      </c>
    </row>
    <row r="4300" spans="1:21" x14ac:dyDescent="0.35">
      <c r="U4300">
        <v>15.49</v>
      </c>
    </row>
    <row r="4301" spans="1:21" x14ac:dyDescent="0.35">
      <c r="U4301">
        <v>12.103199999999999</v>
      </c>
    </row>
    <row r="4302" spans="1:21" x14ac:dyDescent="0.35">
      <c r="U4302">
        <v>0.41760000000000003</v>
      </c>
    </row>
    <row r="4303" spans="1:21" x14ac:dyDescent="0.35">
      <c r="U4303">
        <v>2.9430000000000001</v>
      </c>
    </row>
    <row r="4304" spans="1:21" x14ac:dyDescent="0.35">
      <c r="U4304">
        <v>1.0268999999999999</v>
      </c>
    </row>
    <row r="4305" spans="1:21" x14ac:dyDescent="0.35">
      <c r="A4305" s="1"/>
      <c r="U4305">
        <v>19.4194</v>
      </c>
    </row>
    <row r="4306" spans="1:21" x14ac:dyDescent="0.35">
      <c r="U4306">
        <v>3.1960000000000002</v>
      </c>
    </row>
    <row r="4307" spans="1:21" x14ac:dyDescent="0.35">
      <c r="U4307">
        <v>38.396000000000001</v>
      </c>
    </row>
    <row r="4308" spans="1:21" x14ac:dyDescent="0.35">
      <c r="U4308">
        <v>2.8100999999999998</v>
      </c>
    </row>
    <row r="4309" spans="1:21" x14ac:dyDescent="0.35">
      <c r="U4309">
        <v>11.748799999999999</v>
      </c>
    </row>
    <row r="4310" spans="1:21" x14ac:dyDescent="0.35">
      <c r="A4310" s="1"/>
      <c r="U4310">
        <v>66.634399999999999</v>
      </c>
    </row>
    <row r="4311" spans="1:21" x14ac:dyDescent="0.35">
      <c r="A4311" s="1"/>
      <c r="U4311">
        <v>-64.544399999999996</v>
      </c>
    </row>
    <row r="4312" spans="1:21" x14ac:dyDescent="0.35">
      <c r="A4312" s="1"/>
      <c r="U4312">
        <v>8.2260000000000009</v>
      </c>
    </row>
    <row r="4313" spans="1:21" x14ac:dyDescent="0.35">
      <c r="A4313" s="1"/>
      <c r="U4313">
        <v>9.3312000000000008</v>
      </c>
    </row>
    <row r="4314" spans="1:21" x14ac:dyDescent="0.35">
      <c r="A4314" s="1"/>
      <c r="U4314">
        <v>139.99</v>
      </c>
    </row>
    <row r="4315" spans="1:21" x14ac:dyDescent="0.35">
      <c r="A4315" s="1"/>
      <c r="U4315">
        <v>4.1950000000000003</v>
      </c>
    </row>
    <row r="4316" spans="1:21" x14ac:dyDescent="0.35">
      <c r="U4316">
        <v>5.24</v>
      </c>
    </row>
    <row r="4317" spans="1:21" x14ac:dyDescent="0.35">
      <c r="U4317">
        <v>27.734999999999999</v>
      </c>
    </row>
    <row r="4318" spans="1:21" x14ac:dyDescent="0.35">
      <c r="U4318">
        <v>9.1268999999999991</v>
      </c>
    </row>
    <row r="4319" spans="1:21" x14ac:dyDescent="0.35">
      <c r="U4319">
        <v>78.894199999999998</v>
      </c>
    </row>
    <row r="4320" spans="1:21" x14ac:dyDescent="0.35">
      <c r="A4320" s="1"/>
      <c r="U4320">
        <v>25.537800000000001</v>
      </c>
    </row>
    <row r="4321" spans="1:21" x14ac:dyDescent="0.35">
      <c r="U4321">
        <v>-5.6943000000000001</v>
      </c>
    </row>
    <row r="4322" spans="1:21" x14ac:dyDescent="0.35">
      <c r="U4322">
        <v>7.9896000000000003</v>
      </c>
    </row>
    <row r="4323" spans="1:21" x14ac:dyDescent="0.35">
      <c r="U4323">
        <v>-11.961600000000001</v>
      </c>
    </row>
    <row r="4324" spans="1:21" x14ac:dyDescent="0.35">
      <c r="U4324">
        <v>-80.995500000000007</v>
      </c>
    </row>
    <row r="4325" spans="1:21" x14ac:dyDescent="0.35">
      <c r="U4325">
        <v>-1.6763999999999999</v>
      </c>
    </row>
    <row r="4326" spans="1:21" x14ac:dyDescent="0.35">
      <c r="U4326">
        <v>0.89700000000000002</v>
      </c>
    </row>
    <row r="4327" spans="1:21" x14ac:dyDescent="0.35">
      <c r="U4327">
        <v>0.89970000000000006</v>
      </c>
    </row>
    <row r="4328" spans="1:21" x14ac:dyDescent="0.35">
      <c r="U4328">
        <v>2.3025000000000002</v>
      </c>
    </row>
    <row r="4329" spans="1:21" x14ac:dyDescent="0.35">
      <c r="U4329">
        <v>8.2799999999999994</v>
      </c>
    </row>
    <row r="4330" spans="1:21" x14ac:dyDescent="0.35">
      <c r="A4330" s="1"/>
      <c r="U4330">
        <v>19.3185</v>
      </c>
    </row>
    <row r="4331" spans="1:21" x14ac:dyDescent="0.35">
      <c r="A4331" s="1"/>
      <c r="U4331">
        <v>5.4432</v>
      </c>
    </row>
    <row r="4332" spans="1:21" x14ac:dyDescent="0.35">
      <c r="A4332" s="1"/>
      <c r="U4332">
        <v>1.1200000000000001</v>
      </c>
    </row>
    <row r="4333" spans="1:21" x14ac:dyDescent="0.35">
      <c r="A4333" s="1"/>
      <c r="U4333">
        <v>6.7965999999999998</v>
      </c>
    </row>
    <row r="4334" spans="1:21" x14ac:dyDescent="0.35">
      <c r="A4334" s="1"/>
      <c r="U4334">
        <v>8.0220000000000002</v>
      </c>
    </row>
    <row r="4335" spans="1:21" x14ac:dyDescent="0.35">
      <c r="U4335">
        <v>14.628</v>
      </c>
    </row>
    <row r="4336" spans="1:21" x14ac:dyDescent="0.35">
      <c r="U4336">
        <v>9.2178000000000004</v>
      </c>
    </row>
    <row r="4337" spans="1:21" x14ac:dyDescent="0.35">
      <c r="U4337">
        <v>2.7719999999999998</v>
      </c>
    </row>
    <row r="4338" spans="1:21" x14ac:dyDescent="0.35">
      <c r="U4338">
        <v>3.9512</v>
      </c>
    </row>
    <row r="4339" spans="1:21" x14ac:dyDescent="0.35">
      <c r="U4339">
        <v>22.6737</v>
      </c>
    </row>
    <row r="4340" spans="1:21" x14ac:dyDescent="0.35">
      <c r="U4340">
        <v>53.495399999999997</v>
      </c>
    </row>
    <row r="4341" spans="1:21" x14ac:dyDescent="0.35">
      <c r="U4341">
        <v>1.8144</v>
      </c>
    </row>
    <row r="4342" spans="1:21" x14ac:dyDescent="0.35">
      <c r="U4342">
        <v>6.5119999999999996</v>
      </c>
    </row>
    <row r="4343" spans="1:21" x14ac:dyDescent="0.35">
      <c r="U4343">
        <v>157.87020000000001</v>
      </c>
    </row>
    <row r="4344" spans="1:21" x14ac:dyDescent="0.35">
      <c r="U4344">
        <v>6.6905999999999999</v>
      </c>
    </row>
    <row r="4345" spans="1:21" x14ac:dyDescent="0.35">
      <c r="U4345">
        <v>-131.5008</v>
      </c>
    </row>
    <row r="4346" spans="1:21" x14ac:dyDescent="0.35">
      <c r="U4346">
        <v>10.949400000000001</v>
      </c>
    </row>
    <row r="4347" spans="1:21" x14ac:dyDescent="0.35">
      <c r="U4347">
        <v>85.982799999999997</v>
      </c>
    </row>
    <row r="4348" spans="1:21" x14ac:dyDescent="0.35">
      <c r="U4348">
        <v>140.39599999999999</v>
      </c>
    </row>
    <row r="4349" spans="1:21" x14ac:dyDescent="0.35">
      <c r="U4349">
        <v>26.1096</v>
      </c>
    </row>
    <row r="4350" spans="1:21" x14ac:dyDescent="0.35">
      <c r="U4350">
        <v>-15.1976</v>
      </c>
    </row>
    <row r="4351" spans="1:21" x14ac:dyDescent="0.35">
      <c r="U4351">
        <v>-41.587200000000003</v>
      </c>
    </row>
    <row r="4352" spans="1:21" x14ac:dyDescent="0.35">
      <c r="A4352" s="1"/>
      <c r="U4352">
        <v>1.4672000000000001</v>
      </c>
    </row>
    <row r="4353" spans="1:21" x14ac:dyDescent="0.35">
      <c r="A4353" s="1"/>
      <c r="U4353">
        <v>-4.7460000000000004</v>
      </c>
    </row>
    <row r="4354" spans="1:21" x14ac:dyDescent="0.35">
      <c r="A4354" s="1"/>
      <c r="U4354">
        <v>34.741999999999997</v>
      </c>
    </row>
    <row r="4355" spans="1:21" x14ac:dyDescent="0.35">
      <c r="A4355" s="1"/>
      <c r="U4355">
        <v>6.2207999999999997</v>
      </c>
    </row>
    <row r="4356" spans="1:21" x14ac:dyDescent="0.35">
      <c r="U4356">
        <v>-12.672000000000001</v>
      </c>
    </row>
    <row r="4357" spans="1:21" x14ac:dyDescent="0.35">
      <c r="A4357" s="1"/>
      <c r="U4357">
        <v>-1065.3720000000001</v>
      </c>
    </row>
    <row r="4358" spans="1:21" x14ac:dyDescent="0.35">
      <c r="A4358" s="1"/>
      <c r="U4358">
        <v>12.012</v>
      </c>
    </row>
    <row r="4359" spans="1:21" x14ac:dyDescent="0.35">
      <c r="A4359" s="1"/>
      <c r="U4359">
        <v>3.6288</v>
      </c>
    </row>
    <row r="4360" spans="1:21" x14ac:dyDescent="0.35">
      <c r="A4360" s="1"/>
      <c r="U4360">
        <v>-66.061999999999998</v>
      </c>
    </row>
    <row r="4361" spans="1:21" x14ac:dyDescent="0.35">
      <c r="A4361" s="1"/>
      <c r="U4361">
        <v>-14.8704</v>
      </c>
    </row>
    <row r="4362" spans="1:21" x14ac:dyDescent="0.35">
      <c r="U4362">
        <v>54.860399999999998</v>
      </c>
    </row>
    <row r="4363" spans="1:21" x14ac:dyDescent="0.35">
      <c r="U4363">
        <v>8.4564000000000004</v>
      </c>
    </row>
    <row r="4364" spans="1:21" x14ac:dyDescent="0.35">
      <c r="U4364">
        <v>35.623800000000003</v>
      </c>
    </row>
    <row r="4365" spans="1:21" x14ac:dyDescent="0.35">
      <c r="U4365">
        <v>8.2943999999999996</v>
      </c>
    </row>
    <row r="4366" spans="1:21" x14ac:dyDescent="0.35">
      <c r="U4366">
        <v>162.09479999999999</v>
      </c>
    </row>
    <row r="4367" spans="1:21" x14ac:dyDescent="0.35">
      <c r="U4367">
        <v>3.4826999999999999</v>
      </c>
    </row>
    <row r="4368" spans="1:21" x14ac:dyDescent="0.35">
      <c r="U4368">
        <v>7.0949999999999998</v>
      </c>
    </row>
    <row r="4369" spans="1:21" x14ac:dyDescent="0.35">
      <c r="A4369" s="1"/>
      <c r="U4369">
        <v>3.29</v>
      </c>
    </row>
    <row r="4370" spans="1:21" x14ac:dyDescent="0.35">
      <c r="A4370" s="1"/>
      <c r="U4370">
        <v>6.42</v>
      </c>
    </row>
    <row r="4371" spans="1:21" x14ac:dyDescent="0.35">
      <c r="A4371" s="1"/>
      <c r="U4371">
        <v>50.351999999999997</v>
      </c>
    </row>
    <row r="4372" spans="1:21" x14ac:dyDescent="0.35">
      <c r="A4372" s="1"/>
      <c r="U4372">
        <v>16.268799999999999</v>
      </c>
    </row>
    <row r="4373" spans="1:21" x14ac:dyDescent="0.35">
      <c r="A4373" s="1"/>
      <c r="U4373">
        <v>24.84</v>
      </c>
    </row>
    <row r="4374" spans="1:21" x14ac:dyDescent="0.35">
      <c r="U4374">
        <v>5.4896000000000003</v>
      </c>
    </row>
    <row r="4375" spans="1:21" x14ac:dyDescent="0.35">
      <c r="U4375">
        <v>11.182499999999999</v>
      </c>
    </row>
    <row r="4376" spans="1:21" x14ac:dyDescent="0.35">
      <c r="U4376">
        <v>16.8948</v>
      </c>
    </row>
    <row r="4377" spans="1:21" x14ac:dyDescent="0.35">
      <c r="U4377">
        <v>63.682499999999997</v>
      </c>
    </row>
    <row r="4378" spans="1:21" x14ac:dyDescent="0.35">
      <c r="U4378">
        <v>78.508799999999994</v>
      </c>
    </row>
    <row r="4379" spans="1:21" x14ac:dyDescent="0.35">
      <c r="U4379">
        <v>148.70400000000001</v>
      </c>
    </row>
    <row r="4380" spans="1:21" x14ac:dyDescent="0.35">
      <c r="U4380">
        <v>8.2156000000000002</v>
      </c>
    </row>
    <row r="4381" spans="1:21" x14ac:dyDescent="0.35">
      <c r="U4381">
        <v>32.345999999999997</v>
      </c>
    </row>
    <row r="4382" spans="1:21" x14ac:dyDescent="0.35">
      <c r="U4382">
        <v>16.3215</v>
      </c>
    </row>
    <row r="4383" spans="1:21" x14ac:dyDescent="0.35">
      <c r="U4383">
        <v>-31.646999999999998</v>
      </c>
    </row>
    <row r="4384" spans="1:21" x14ac:dyDescent="0.35">
      <c r="U4384">
        <v>-4.4640000000000004</v>
      </c>
    </row>
    <row r="4385" spans="1:21" x14ac:dyDescent="0.35">
      <c r="U4385">
        <v>-126.4816</v>
      </c>
    </row>
    <row r="4386" spans="1:21" x14ac:dyDescent="0.35">
      <c r="U4386">
        <v>13.438599999999999</v>
      </c>
    </row>
    <row r="4387" spans="1:21" x14ac:dyDescent="0.35">
      <c r="U4387">
        <v>-52.195999999999998</v>
      </c>
    </row>
    <row r="4388" spans="1:21" x14ac:dyDescent="0.35">
      <c r="U4388">
        <v>11.8584</v>
      </c>
    </row>
    <row r="4389" spans="1:21" x14ac:dyDescent="0.35">
      <c r="U4389">
        <v>7.8224999999999998</v>
      </c>
    </row>
    <row r="4390" spans="1:21" x14ac:dyDescent="0.35">
      <c r="U4390">
        <v>22.444800000000001</v>
      </c>
    </row>
    <row r="4391" spans="1:21" x14ac:dyDescent="0.35">
      <c r="U4391">
        <v>-25.2956</v>
      </c>
    </row>
    <row r="4392" spans="1:21" x14ac:dyDescent="0.35">
      <c r="U4392">
        <v>327.59219999999999</v>
      </c>
    </row>
    <row r="4393" spans="1:21" x14ac:dyDescent="0.35">
      <c r="U4393">
        <v>19.311599999999999</v>
      </c>
    </row>
    <row r="4394" spans="1:21" x14ac:dyDescent="0.35">
      <c r="A4394" s="1"/>
      <c r="U4394">
        <v>6.1571999999999996</v>
      </c>
    </row>
    <row r="4395" spans="1:21" x14ac:dyDescent="0.35">
      <c r="A4395" s="1"/>
      <c r="U4395">
        <v>21.735499999999998</v>
      </c>
    </row>
    <row r="4396" spans="1:21" x14ac:dyDescent="0.35">
      <c r="U4396">
        <v>-5.1967999999999996</v>
      </c>
    </row>
    <row r="4397" spans="1:21" x14ac:dyDescent="0.35">
      <c r="U4397">
        <v>-21.888000000000002</v>
      </c>
    </row>
    <row r="4398" spans="1:21" x14ac:dyDescent="0.35">
      <c r="U4398">
        <v>27.103200000000001</v>
      </c>
    </row>
    <row r="4399" spans="1:21" x14ac:dyDescent="0.35">
      <c r="A4399" s="1"/>
      <c r="U4399">
        <v>-46.736199999999997</v>
      </c>
    </row>
    <row r="4400" spans="1:21" x14ac:dyDescent="0.35">
      <c r="A4400" s="1"/>
      <c r="U4400">
        <v>12.0764</v>
      </c>
    </row>
    <row r="4401" spans="1:21" x14ac:dyDescent="0.35">
      <c r="U4401">
        <v>89.954999999999998</v>
      </c>
    </row>
    <row r="4402" spans="1:21" x14ac:dyDescent="0.35">
      <c r="U4402">
        <v>297.64350000000002</v>
      </c>
    </row>
    <row r="4403" spans="1:21" x14ac:dyDescent="0.35">
      <c r="U4403">
        <v>252.59</v>
      </c>
    </row>
    <row r="4404" spans="1:21" x14ac:dyDescent="0.35">
      <c r="U4404">
        <v>2.5488</v>
      </c>
    </row>
    <row r="4405" spans="1:21" x14ac:dyDescent="0.35">
      <c r="A4405" s="1"/>
      <c r="U4405">
        <v>8.0711999999999993</v>
      </c>
    </row>
    <row r="4406" spans="1:21" x14ac:dyDescent="0.35">
      <c r="A4406" s="1"/>
      <c r="U4406">
        <v>2.1749999999999998</v>
      </c>
    </row>
    <row r="4407" spans="1:21" x14ac:dyDescent="0.35">
      <c r="A4407" s="1"/>
      <c r="U4407">
        <v>-2.4359999999999999</v>
      </c>
    </row>
    <row r="4408" spans="1:21" x14ac:dyDescent="0.35">
      <c r="U4408">
        <v>4.0860000000000003</v>
      </c>
    </row>
    <row r="4409" spans="1:21" x14ac:dyDescent="0.35">
      <c r="U4409">
        <v>150.98400000000001</v>
      </c>
    </row>
    <row r="4410" spans="1:21" x14ac:dyDescent="0.35">
      <c r="U4410">
        <v>2.3077000000000001</v>
      </c>
    </row>
    <row r="4411" spans="1:21" x14ac:dyDescent="0.35">
      <c r="A4411" s="1"/>
      <c r="U4411">
        <v>2.7166000000000001</v>
      </c>
    </row>
    <row r="4412" spans="1:21" x14ac:dyDescent="0.35">
      <c r="A4412" s="1"/>
      <c r="U4412">
        <v>30.223199999999999</v>
      </c>
    </row>
    <row r="4413" spans="1:21" x14ac:dyDescent="0.35">
      <c r="U4413">
        <v>9.0389999999999997</v>
      </c>
    </row>
    <row r="4414" spans="1:21" x14ac:dyDescent="0.35">
      <c r="U4414">
        <v>160.6722</v>
      </c>
    </row>
    <row r="4415" spans="1:21" x14ac:dyDescent="0.35">
      <c r="U4415">
        <v>26.864999999999998</v>
      </c>
    </row>
    <row r="4416" spans="1:21" x14ac:dyDescent="0.35">
      <c r="U4416">
        <v>182.3553</v>
      </c>
    </row>
    <row r="4417" spans="1:21" x14ac:dyDescent="0.35">
      <c r="U4417">
        <v>71.989999999999995</v>
      </c>
    </row>
    <row r="4418" spans="1:21" x14ac:dyDescent="0.35">
      <c r="U4418">
        <v>15.2</v>
      </c>
    </row>
    <row r="4419" spans="1:21" x14ac:dyDescent="0.35">
      <c r="A4419" s="1"/>
      <c r="U4419">
        <v>219.99039999999999</v>
      </c>
    </row>
    <row r="4420" spans="1:21" x14ac:dyDescent="0.35">
      <c r="U4420">
        <v>-21.470400000000001</v>
      </c>
    </row>
    <row r="4421" spans="1:21" x14ac:dyDescent="0.35">
      <c r="U4421">
        <v>-4.0216000000000003</v>
      </c>
    </row>
    <row r="4422" spans="1:21" x14ac:dyDescent="0.35">
      <c r="U4422">
        <v>3.069</v>
      </c>
    </row>
    <row r="4423" spans="1:21" x14ac:dyDescent="0.35">
      <c r="A4423" s="1"/>
      <c r="U4423">
        <v>2.3328000000000002</v>
      </c>
    </row>
    <row r="4424" spans="1:21" x14ac:dyDescent="0.35">
      <c r="U4424">
        <v>4.4824000000000002</v>
      </c>
    </row>
    <row r="4425" spans="1:21" x14ac:dyDescent="0.35">
      <c r="U4425">
        <v>75.734999999999999</v>
      </c>
    </row>
    <row r="4426" spans="1:21" x14ac:dyDescent="0.35">
      <c r="U4426">
        <v>15.637499999999999</v>
      </c>
    </row>
    <row r="4427" spans="1:21" x14ac:dyDescent="0.35">
      <c r="U4427">
        <v>54.691200000000002</v>
      </c>
    </row>
    <row r="4428" spans="1:21" x14ac:dyDescent="0.35">
      <c r="U4428">
        <v>15.6744</v>
      </c>
    </row>
    <row r="4429" spans="1:21" x14ac:dyDescent="0.35">
      <c r="U4429">
        <v>12.231</v>
      </c>
    </row>
    <row r="4430" spans="1:21" x14ac:dyDescent="0.35">
      <c r="U4430">
        <v>523.70519999999999</v>
      </c>
    </row>
    <row r="4431" spans="1:21" x14ac:dyDescent="0.35">
      <c r="U4431">
        <v>18.446999999999999</v>
      </c>
    </row>
    <row r="4432" spans="1:21" x14ac:dyDescent="0.35">
      <c r="A4432" s="1"/>
      <c r="U4432">
        <v>9.6</v>
      </c>
    </row>
    <row r="4433" spans="1:21" x14ac:dyDescent="0.35">
      <c r="A4433" s="1"/>
      <c r="U4433">
        <v>2.0748000000000002</v>
      </c>
    </row>
    <row r="4434" spans="1:21" x14ac:dyDescent="0.35">
      <c r="A4434" s="1"/>
      <c r="U4434">
        <v>9.1579999999999995</v>
      </c>
    </row>
    <row r="4435" spans="1:21" x14ac:dyDescent="0.35">
      <c r="A4435" s="1"/>
      <c r="U4435">
        <v>2.625</v>
      </c>
    </row>
    <row r="4436" spans="1:21" x14ac:dyDescent="0.35">
      <c r="A4436" s="1"/>
      <c r="U4436">
        <v>160.15860000000001</v>
      </c>
    </row>
    <row r="4437" spans="1:21" x14ac:dyDescent="0.35">
      <c r="A4437" s="1"/>
      <c r="U4437">
        <v>-3.6002999999999998</v>
      </c>
    </row>
    <row r="4438" spans="1:21" x14ac:dyDescent="0.35">
      <c r="A4438" s="1"/>
      <c r="U4438">
        <v>2.7383999999999999</v>
      </c>
    </row>
    <row r="4439" spans="1:21" x14ac:dyDescent="0.35">
      <c r="A4439" s="1"/>
      <c r="U4439">
        <v>-71.296199999999999</v>
      </c>
    </row>
    <row r="4440" spans="1:21" x14ac:dyDescent="0.35">
      <c r="U4440">
        <v>3.6288</v>
      </c>
    </row>
    <row r="4441" spans="1:21" x14ac:dyDescent="0.35">
      <c r="U4441">
        <v>7.4</v>
      </c>
    </row>
    <row r="4442" spans="1:21" x14ac:dyDescent="0.35">
      <c r="U4442">
        <v>36.283499999999997</v>
      </c>
    </row>
    <row r="4443" spans="1:21" x14ac:dyDescent="0.35">
      <c r="U4443">
        <v>135.21899999999999</v>
      </c>
    </row>
    <row r="4444" spans="1:21" x14ac:dyDescent="0.35">
      <c r="U4444">
        <v>10.512</v>
      </c>
    </row>
    <row r="4445" spans="1:21" x14ac:dyDescent="0.35">
      <c r="U4445">
        <v>15.552</v>
      </c>
    </row>
    <row r="4446" spans="1:21" x14ac:dyDescent="0.35">
      <c r="U4446">
        <v>36.8245</v>
      </c>
    </row>
    <row r="4447" spans="1:21" x14ac:dyDescent="0.35">
      <c r="U4447">
        <v>14.256</v>
      </c>
    </row>
    <row r="4448" spans="1:21" x14ac:dyDescent="0.35">
      <c r="U4448">
        <v>14.268800000000001</v>
      </c>
    </row>
    <row r="4449" spans="1:21" x14ac:dyDescent="0.35">
      <c r="U4449">
        <v>42.362499999999997</v>
      </c>
    </row>
    <row r="4450" spans="1:21" x14ac:dyDescent="0.35">
      <c r="U4450">
        <v>4.0191999999999997</v>
      </c>
    </row>
    <row r="4451" spans="1:21" x14ac:dyDescent="0.35">
      <c r="U4451">
        <v>3.1103999999999998</v>
      </c>
    </row>
    <row r="4452" spans="1:21" x14ac:dyDescent="0.35">
      <c r="U4452">
        <v>87.744299999999996</v>
      </c>
    </row>
    <row r="4453" spans="1:21" x14ac:dyDescent="0.35">
      <c r="A4453" s="1"/>
      <c r="U4453">
        <v>8.6359999999999992</v>
      </c>
    </row>
    <row r="4454" spans="1:21" x14ac:dyDescent="0.35">
      <c r="A4454" s="1"/>
      <c r="U4454">
        <v>20.661200000000001</v>
      </c>
    </row>
    <row r="4455" spans="1:21" x14ac:dyDescent="0.35">
      <c r="A4455" s="1"/>
      <c r="U4455">
        <v>225.73500000000001</v>
      </c>
    </row>
    <row r="4456" spans="1:21" x14ac:dyDescent="0.35">
      <c r="A4456" s="1"/>
      <c r="U4456">
        <v>0.55840000000000001</v>
      </c>
    </row>
    <row r="4457" spans="1:21" x14ac:dyDescent="0.35">
      <c r="A4457" s="1"/>
      <c r="U4457">
        <v>-12.956799999999999</v>
      </c>
    </row>
    <row r="4458" spans="1:21" x14ac:dyDescent="0.35">
      <c r="A4458" s="1"/>
      <c r="U4458">
        <v>2.1492</v>
      </c>
    </row>
    <row r="4459" spans="1:21" x14ac:dyDescent="0.35">
      <c r="A4459" s="1"/>
      <c r="U4459">
        <v>114.9385</v>
      </c>
    </row>
    <row r="4460" spans="1:21" x14ac:dyDescent="0.35">
      <c r="U4460">
        <v>-299.8116</v>
      </c>
    </row>
    <row r="4461" spans="1:21" x14ac:dyDescent="0.35">
      <c r="U4461">
        <v>3.2776000000000001</v>
      </c>
    </row>
    <row r="4462" spans="1:21" x14ac:dyDescent="0.35">
      <c r="U4462">
        <v>-29.436800000000002</v>
      </c>
    </row>
    <row r="4463" spans="1:21" x14ac:dyDescent="0.35">
      <c r="U4463">
        <v>1.3595999999999999</v>
      </c>
    </row>
    <row r="4464" spans="1:21" x14ac:dyDescent="0.35">
      <c r="U4464">
        <v>-58.861600000000003</v>
      </c>
    </row>
    <row r="4465" spans="1:21" x14ac:dyDescent="0.35">
      <c r="U4465">
        <v>5.2026000000000003</v>
      </c>
    </row>
    <row r="4466" spans="1:21" x14ac:dyDescent="0.35">
      <c r="U4466">
        <v>26.224</v>
      </c>
    </row>
    <row r="4467" spans="1:21" x14ac:dyDescent="0.35">
      <c r="A4467" s="1"/>
      <c r="U4467">
        <v>1.1151</v>
      </c>
    </row>
    <row r="4468" spans="1:21" x14ac:dyDescent="0.35">
      <c r="U4468">
        <v>7.3710000000000004</v>
      </c>
    </row>
    <row r="4469" spans="1:21" x14ac:dyDescent="0.35">
      <c r="U4469">
        <v>78.941199999999995</v>
      </c>
    </row>
    <row r="4470" spans="1:21" x14ac:dyDescent="0.35">
      <c r="U4470">
        <v>-16.078399999999998</v>
      </c>
    </row>
    <row r="4471" spans="1:21" x14ac:dyDescent="0.35">
      <c r="U4471">
        <v>6.2207999999999997</v>
      </c>
    </row>
    <row r="4472" spans="1:21" x14ac:dyDescent="0.35">
      <c r="A4472" s="1"/>
      <c r="U4472">
        <v>-23.7822</v>
      </c>
    </row>
    <row r="4473" spans="1:21" x14ac:dyDescent="0.35">
      <c r="U4473">
        <v>-15.4666</v>
      </c>
    </row>
    <row r="4474" spans="1:21" x14ac:dyDescent="0.35">
      <c r="U4474">
        <v>65.993399999999994</v>
      </c>
    </row>
    <row r="4475" spans="1:21" x14ac:dyDescent="0.35">
      <c r="U4475">
        <v>-189.321</v>
      </c>
    </row>
    <row r="4476" spans="1:21" x14ac:dyDescent="0.35">
      <c r="U4476">
        <v>5.4432</v>
      </c>
    </row>
    <row r="4477" spans="1:21" x14ac:dyDescent="0.35">
      <c r="U4477">
        <v>7.4367999999999999</v>
      </c>
    </row>
    <row r="4478" spans="1:21" x14ac:dyDescent="0.35">
      <c r="U4478">
        <v>2.64</v>
      </c>
    </row>
    <row r="4479" spans="1:21" x14ac:dyDescent="0.35">
      <c r="U4479">
        <v>23.316299999999998</v>
      </c>
    </row>
    <row r="4480" spans="1:21" x14ac:dyDescent="0.35">
      <c r="U4480">
        <v>54.775599999999997</v>
      </c>
    </row>
    <row r="4481" spans="1:21" x14ac:dyDescent="0.35">
      <c r="U4481">
        <v>11.702999999999999</v>
      </c>
    </row>
    <row r="4482" spans="1:21" x14ac:dyDescent="0.35">
      <c r="A4482" s="1"/>
      <c r="U4482">
        <v>5.0358000000000001</v>
      </c>
    </row>
    <row r="4483" spans="1:21" x14ac:dyDescent="0.35">
      <c r="A4483" s="1"/>
      <c r="U4483">
        <v>14.2956</v>
      </c>
    </row>
    <row r="4484" spans="1:21" x14ac:dyDescent="0.35">
      <c r="A4484" s="1"/>
      <c r="U4484">
        <v>15.799200000000001</v>
      </c>
    </row>
    <row r="4485" spans="1:21" x14ac:dyDescent="0.35">
      <c r="A4485" s="1"/>
      <c r="U4485">
        <v>56.977200000000003</v>
      </c>
    </row>
    <row r="4486" spans="1:21" x14ac:dyDescent="0.35">
      <c r="A4486" s="1"/>
      <c r="U4486">
        <v>3.0211999999999999</v>
      </c>
    </row>
    <row r="4487" spans="1:21" x14ac:dyDescent="0.35">
      <c r="A4487" s="1"/>
      <c r="U4487">
        <v>9.3312000000000008</v>
      </c>
    </row>
    <row r="4488" spans="1:21" x14ac:dyDescent="0.35">
      <c r="A4488" s="1"/>
      <c r="U4488">
        <v>150.98400000000001</v>
      </c>
    </row>
    <row r="4489" spans="1:21" x14ac:dyDescent="0.35">
      <c r="A4489" s="1"/>
      <c r="U4489">
        <v>-25.218499999999999</v>
      </c>
    </row>
    <row r="4490" spans="1:21" x14ac:dyDescent="0.35">
      <c r="A4490" s="1"/>
      <c r="U4490">
        <v>-14.688000000000001</v>
      </c>
    </row>
    <row r="4491" spans="1:21" x14ac:dyDescent="0.35">
      <c r="A4491" s="1"/>
      <c r="U4491">
        <v>-7.8224999999999998</v>
      </c>
    </row>
    <row r="4492" spans="1:21" x14ac:dyDescent="0.35">
      <c r="U4492">
        <v>5.2286999999999999</v>
      </c>
    </row>
    <row r="4493" spans="1:21" x14ac:dyDescent="0.35">
      <c r="A4493" s="1"/>
      <c r="U4493">
        <v>109.998</v>
      </c>
    </row>
    <row r="4494" spans="1:21" x14ac:dyDescent="0.35">
      <c r="A4494" s="1"/>
      <c r="U4494">
        <v>1.4224000000000001</v>
      </c>
    </row>
    <row r="4495" spans="1:21" x14ac:dyDescent="0.35">
      <c r="A4495" s="1"/>
      <c r="U4495">
        <v>12.700799999999999</v>
      </c>
    </row>
    <row r="4496" spans="1:21" x14ac:dyDescent="0.35">
      <c r="A4496" s="1"/>
      <c r="U4496">
        <v>-51.984000000000002</v>
      </c>
    </row>
    <row r="4497" spans="1:21" x14ac:dyDescent="0.35">
      <c r="U4497">
        <v>75.593699999999998</v>
      </c>
    </row>
    <row r="4498" spans="1:21" x14ac:dyDescent="0.35">
      <c r="U4498">
        <v>19.051200000000001</v>
      </c>
    </row>
    <row r="4499" spans="1:21" x14ac:dyDescent="0.35">
      <c r="A4499" s="1"/>
      <c r="U4499">
        <v>-462.86239999999998</v>
      </c>
    </row>
    <row r="4500" spans="1:21" x14ac:dyDescent="0.35">
      <c r="U4500">
        <v>6.2207999999999997</v>
      </c>
    </row>
    <row r="4501" spans="1:21" x14ac:dyDescent="0.35">
      <c r="A4501" s="1"/>
      <c r="U4501">
        <v>6.2207999999999997</v>
      </c>
    </row>
    <row r="4502" spans="1:21" x14ac:dyDescent="0.35">
      <c r="A4502" s="1"/>
      <c r="U4502">
        <v>8.1199999999999992</v>
      </c>
    </row>
    <row r="4503" spans="1:21" x14ac:dyDescent="0.35">
      <c r="U4503">
        <v>9.0719999999999992</v>
      </c>
    </row>
    <row r="4504" spans="1:21" x14ac:dyDescent="0.35">
      <c r="U4504">
        <v>7.1928000000000001</v>
      </c>
    </row>
    <row r="4505" spans="1:21" x14ac:dyDescent="0.35">
      <c r="U4505">
        <v>17.365600000000001</v>
      </c>
    </row>
    <row r="4506" spans="1:21" x14ac:dyDescent="0.35">
      <c r="U4506">
        <v>101.3488</v>
      </c>
    </row>
    <row r="4507" spans="1:21" x14ac:dyDescent="0.35">
      <c r="U4507">
        <v>13.198499999999999</v>
      </c>
    </row>
    <row r="4508" spans="1:21" x14ac:dyDescent="0.35">
      <c r="U4508">
        <v>51.148499999999999</v>
      </c>
    </row>
    <row r="4509" spans="1:21" x14ac:dyDescent="0.35">
      <c r="U4509">
        <v>0.2034</v>
      </c>
    </row>
    <row r="4510" spans="1:21" x14ac:dyDescent="0.35">
      <c r="U4510">
        <v>5.5176999999999996</v>
      </c>
    </row>
    <row r="4511" spans="1:21" x14ac:dyDescent="0.35">
      <c r="U4511">
        <v>-6.4233000000000002</v>
      </c>
    </row>
    <row r="4512" spans="1:21" x14ac:dyDescent="0.35">
      <c r="A4512" s="1"/>
      <c r="U4512">
        <v>17.158000000000001</v>
      </c>
    </row>
    <row r="4513" spans="1:21" x14ac:dyDescent="0.35">
      <c r="A4513" s="1"/>
      <c r="U4513">
        <v>39.340800000000002</v>
      </c>
    </row>
    <row r="4514" spans="1:21" x14ac:dyDescent="0.35">
      <c r="A4514" s="1"/>
      <c r="U4514">
        <v>-40.180799999999998</v>
      </c>
    </row>
    <row r="4515" spans="1:21" x14ac:dyDescent="0.35">
      <c r="A4515" s="1"/>
      <c r="U4515">
        <v>0.80879999999999996</v>
      </c>
    </row>
    <row r="4516" spans="1:21" x14ac:dyDescent="0.35">
      <c r="U4516">
        <v>75.654799999999994</v>
      </c>
    </row>
    <row r="4517" spans="1:21" x14ac:dyDescent="0.35">
      <c r="U4517">
        <v>12.0252</v>
      </c>
    </row>
    <row r="4518" spans="1:21" x14ac:dyDescent="0.35">
      <c r="U4518">
        <v>10.058</v>
      </c>
    </row>
    <row r="4519" spans="1:21" x14ac:dyDescent="0.35">
      <c r="U4519">
        <v>15.815799999999999</v>
      </c>
    </row>
    <row r="4520" spans="1:21" x14ac:dyDescent="0.35">
      <c r="U4520">
        <v>6.9551999999999996</v>
      </c>
    </row>
    <row r="4521" spans="1:21" x14ac:dyDescent="0.35">
      <c r="A4521" s="1"/>
      <c r="U4521">
        <v>84.22</v>
      </c>
    </row>
    <row r="4522" spans="1:21" x14ac:dyDescent="0.35">
      <c r="U4522">
        <v>22.4316</v>
      </c>
    </row>
    <row r="4523" spans="1:21" x14ac:dyDescent="0.35">
      <c r="U4523">
        <v>6.9088000000000003</v>
      </c>
    </row>
    <row r="4524" spans="1:21" x14ac:dyDescent="0.35">
      <c r="U4524">
        <v>3.0653999999999999</v>
      </c>
    </row>
    <row r="4525" spans="1:21" x14ac:dyDescent="0.35">
      <c r="A4525" s="1"/>
      <c r="U4525">
        <v>16.035599999999999</v>
      </c>
    </row>
    <row r="4526" spans="1:21" x14ac:dyDescent="0.35">
      <c r="A4526" s="1"/>
      <c r="U4526">
        <v>24.1218</v>
      </c>
    </row>
    <row r="4527" spans="1:21" x14ac:dyDescent="0.35">
      <c r="U4527">
        <v>67.495000000000005</v>
      </c>
    </row>
    <row r="4528" spans="1:21" x14ac:dyDescent="0.35">
      <c r="U4528">
        <v>47.951999999999998</v>
      </c>
    </row>
    <row r="4529" spans="1:21" x14ac:dyDescent="0.35">
      <c r="U4529">
        <v>14.4596</v>
      </c>
    </row>
    <row r="4530" spans="1:21" x14ac:dyDescent="0.35">
      <c r="A4530" s="1"/>
      <c r="U4530">
        <v>33.589199999999998</v>
      </c>
    </row>
    <row r="4531" spans="1:21" x14ac:dyDescent="0.35">
      <c r="U4531">
        <v>-3.9032</v>
      </c>
    </row>
    <row r="4532" spans="1:21" x14ac:dyDescent="0.35">
      <c r="U4532">
        <v>72.534400000000005</v>
      </c>
    </row>
    <row r="4533" spans="1:21" x14ac:dyDescent="0.35">
      <c r="U4533">
        <v>10.5144</v>
      </c>
    </row>
    <row r="4534" spans="1:21" x14ac:dyDescent="0.35">
      <c r="A4534" s="1"/>
      <c r="U4534">
        <v>13.7646</v>
      </c>
    </row>
    <row r="4535" spans="1:21" x14ac:dyDescent="0.35">
      <c r="A4535" s="1"/>
      <c r="U4535">
        <v>7.4871999999999996</v>
      </c>
    </row>
    <row r="4536" spans="1:21" x14ac:dyDescent="0.35">
      <c r="U4536">
        <v>5.8604000000000003</v>
      </c>
    </row>
    <row r="4537" spans="1:21" x14ac:dyDescent="0.35">
      <c r="A4537" s="1"/>
      <c r="U4537">
        <v>4.9104000000000001</v>
      </c>
    </row>
    <row r="4538" spans="1:21" x14ac:dyDescent="0.35">
      <c r="A4538" s="1"/>
      <c r="U4538">
        <v>30.2316</v>
      </c>
    </row>
    <row r="4539" spans="1:21" x14ac:dyDescent="0.35">
      <c r="A4539" s="1"/>
      <c r="U4539">
        <v>6.2016</v>
      </c>
    </row>
    <row r="4540" spans="1:21" x14ac:dyDescent="0.35">
      <c r="A4540" s="1"/>
      <c r="U4540">
        <v>4.3296000000000001</v>
      </c>
    </row>
    <row r="4541" spans="1:21" x14ac:dyDescent="0.35">
      <c r="U4541">
        <v>1.0598000000000001</v>
      </c>
    </row>
    <row r="4542" spans="1:21" x14ac:dyDescent="0.35">
      <c r="U4542">
        <v>-28.224</v>
      </c>
    </row>
    <row r="4543" spans="1:21" x14ac:dyDescent="0.35">
      <c r="U4543">
        <v>-8.9039999999999999</v>
      </c>
    </row>
    <row r="4544" spans="1:21" x14ac:dyDescent="0.35">
      <c r="U4544">
        <v>149.8956</v>
      </c>
    </row>
    <row r="4545" spans="1:21" x14ac:dyDescent="0.35">
      <c r="A4545" s="1"/>
      <c r="U4545">
        <v>-5.4801000000000002</v>
      </c>
    </row>
    <row r="4546" spans="1:21" x14ac:dyDescent="0.35">
      <c r="A4546" s="1"/>
      <c r="U4546">
        <v>16.704000000000001</v>
      </c>
    </row>
    <row r="4547" spans="1:21" x14ac:dyDescent="0.35">
      <c r="A4547" s="1"/>
      <c r="U4547">
        <v>53.754399999999997</v>
      </c>
    </row>
    <row r="4548" spans="1:21" x14ac:dyDescent="0.35">
      <c r="A4548" s="1"/>
      <c r="U4548">
        <v>-2.9883999999999999</v>
      </c>
    </row>
    <row r="4549" spans="1:21" x14ac:dyDescent="0.35">
      <c r="A4549" s="1"/>
      <c r="U4549">
        <v>0.69120000000000004</v>
      </c>
    </row>
    <row r="4550" spans="1:21" x14ac:dyDescent="0.35">
      <c r="A4550" s="1"/>
      <c r="U4550">
        <v>-2.1339999999999999</v>
      </c>
    </row>
    <row r="4551" spans="1:21" x14ac:dyDescent="0.35">
      <c r="A4551" s="1"/>
      <c r="U4551">
        <v>49.437600000000003</v>
      </c>
    </row>
    <row r="4552" spans="1:21" x14ac:dyDescent="0.35">
      <c r="U4552">
        <v>2.8224</v>
      </c>
    </row>
    <row r="4553" spans="1:21" x14ac:dyDescent="0.35">
      <c r="U4553">
        <v>4.3902000000000001</v>
      </c>
    </row>
    <row r="4554" spans="1:21" x14ac:dyDescent="0.35">
      <c r="U4554">
        <v>23.027999999999999</v>
      </c>
    </row>
    <row r="4555" spans="1:21" x14ac:dyDescent="0.35">
      <c r="U4555">
        <v>5.7779999999999996</v>
      </c>
    </row>
    <row r="4556" spans="1:21" x14ac:dyDescent="0.35">
      <c r="U4556">
        <v>28.41</v>
      </c>
    </row>
    <row r="4557" spans="1:21" x14ac:dyDescent="0.35">
      <c r="U4557">
        <v>14.202</v>
      </c>
    </row>
    <row r="4558" spans="1:21" x14ac:dyDescent="0.35">
      <c r="U4558">
        <v>0.55840000000000001</v>
      </c>
    </row>
    <row r="4559" spans="1:21" x14ac:dyDescent="0.35">
      <c r="U4559">
        <v>-6.5618999999999996</v>
      </c>
    </row>
    <row r="4560" spans="1:21" x14ac:dyDescent="0.35">
      <c r="U4560">
        <v>17.968399999999999</v>
      </c>
    </row>
    <row r="4561" spans="1:21" x14ac:dyDescent="0.35">
      <c r="A4561" s="1"/>
      <c r="U4561">
        <v>-9.1334999999999997</v>
      </c>
    </row>
    <row r="4562" spans="1:21" x14ac:dyDescent="0.35">
      <c r="A4562" s="1"/>
      <c r="U4562">
        <v>122.148</v>
      </c>
    </row>
    <row r="4563" spans="1:21" x14ac:dyDescent="0.35">
      <c r="A4563" s="1"/>
      <c r="U4563">
        <v>8.2764000000000006</v>
      </c>
    </row>
    <row r="4564" spans="1:21" x14ac:dyDescent="0.35">
      <c r="A4564" s="1"/>
      <c r="U4564">
        <v>13.832000000000001</v>
      </c>
    </row>
    <row r="4565" spans="1:21" x14ac:dyDescent="0.35">
      <c r="U4565">
        <v>-57.6312</v>
      </c>
    </row>
    <row r="4566" spans="1:21" x14ac:dyDescent="0.35">
      <c r="A4566" s="1"/>
      <c r="U4566">
        <v>-1.2587999999999999</v>
      </c>
    </row>
    <row r="4567" spans="1:21" x14ac:dyDescent="0.35">
      <c r="A4567" s="1"/>
      <c r="U4567">
        <v>4.5216000000000003</v>
      </c>
    </row>
    <row r="4568" spans="1:21" x14ac:dyDescent="0.35">
      <c r="A4568" s="1"/>
      <c r="U4568">
        <v>-21.1068</v>
      </c>
    </row>
    <row r="4569" spans="1:21" x14ac:dyDescent="0.35">
      <c r="A4569" s="1"/>
      <c r="U4569">
        <v>8.8623999999999992</v>
      </c>
    </row>
    <row r="4570" spans="1:21" x14ac:dyDescent="0.35">
      <c r="A4570" s="1"/>
      <c r="U4570">
        <v>-17.285399999999999</v>
      </c>
    </row>
    <row r="4571" spans="1:21" x14ac:dyDescent="0.35">
      <c r="U4571">
        <v>26.649000000000001</v>
      </c>
    </row>
    <row r="4572" spans="1:21" x14ac:dyDescent="0.35">
      <c r="U4572">
        <v>8.0711999999999993</v>
      </c>
    </row>
    <row r="4573" spans="1:21" x14ac:dyDescent="0.35">
      <c r="U4573">
        <v>60.141199999999998</v>
      </c>
    </row>
    <row r="4574" spans="1:21" x14ac:dyDescent="0.35">
      <c r="U4574">
        <v>89.997</v>
      </c>
    </row>
    <row r="4575" spans="1:21" x14ac:dyDescent="0.35">
      <c r="A4575" s="1"/>
      <c r="U4575">
        <v>184.22040000000001</v>
      </c>
    </row>
    <row r="4576" spans="1:21" x14ac:dyDescent="0.35">
      <c r="A4576" s="1"/>
      <c r="U4576">
        <v>8.7048000000000005</v>
      </c>
    </row>
    <row r="4577" spans="1:21" x14ac:dyDescent="0.35">
      <c r="A4577" s="1"/>
      <c r="U4577">
        <v>3.6139999999999999</v>
      </c>
    </row>
    <row r="4578" spans="1:21" x14ac:dyDescent="0.35">
      <c r="A4578" s="1"/>
      <c r="U4578">
        <v>6.7149999999999999</v>
      </c>
    </row>
    <row r="4579" spans="1:21" x14ac:dyDescent="0.35">
      <c r="A4579" s="1"/>
      <c r="U4579">
        <v>3.3544</v>
      </c>
    </row>
    <row r="4580" spans="1:21" x14ac:dyDescent="0.35">
      <c r="A4580" s="1"/>
      <c r="U4580">
        <v>56.55</v>
      </c>
    </row>
    <row r="4581" spans="1:21" x14ac:dyDescent="0.35">
      <c r="U4581">
        <v>32.232199999999999</v>
      </c>
    </row>
    <row r="4582" spans="1:21" x14ac:dyDescent="0.35">
      <c r="U4582">
        <v>105.468</v>
      </c>
    </row>
    <row r="4583" spans="1:21" x14ac:dyDescent="0.35">
      <c r="U4583">
        <v>3.8448000000000002</v>
      </c>
    </row>
    <row r="4584" spans="1:21" x14ac:dyDescent="0.35">
      <c r="A4584" s="1"/>
      <c r="U4584">
        <v>7.9703999999999997</v>
      </c>
    </row>
    <row r="4585" spans="1:21" x14ac:dyDescent="0.35">
      <c r="U4585">
        <v>3.7995999999999999</v>
      </c>
    </row>
    <row r="4586" spans="1:21" x14ac:dyDescent="0.35">
      <c r="A4586" s="1"/>
      <c r="U4586">
        <v>38.29</v>
      </c>
    </row>
    <row r="4587" spans="1:21" x14ac:dyDescent="0.35">
      <c r="A4587" s="1"/>
      <c r="U4587">
        <v>4.2240000000000002</v>
      </c>
    </row>
    <row r="4588" spans="1:21" x14ac:dyDescent="0.35">
      <c r="A4588" s="1"/>
      <c r="U4588">
        <v>206.6232</v>
      </c>
    </row>
    <row r="4589" spans="1:21" x14ac:dyDescent="0.35">
      <c r="A4589" s="1"/>
      <c r="U4589">
        <v>0.16739999999999999</v>
      </c>
    </row>
    <row r="4590" spans="1:21" x14ac:dyDescent="0.35">
      <c r="A4590" s="1"/>
      <c r="U4590">
        <v>10.5084</v>
      </c>
    </row>
    <row r="4591" spans="1:21" x14ac:dyDescent="0.35">
      <c r="A4591" s="1"/>
      <c r="U4591">
        <v>22.627500000000001</v>
      </c>
    </row>
    <row r="4592" spans="1:21" x14ac:dyDescent="0.35">
      <c r="U4592">
        <v>4.9728000000000003</v>
      </c>
    </row>
    <row r="4593" spans="1:21" x14ac:dyDescent="0.35">
      <c r="U4593">
        <v>30.238399999999999</v>
      </c>
    </row>
    <row r="4594" spans="1:21" x14ac:dyDescent="0.35">
      <c r="U4594">
        <v>-5.4882</v>
      </c>
    </row>
    <row r="4595" spans="1:21" x14ac:dyDescent="0.35">
      <c r="U4595">
        <v>2.0539999999999998</v>
      </c>
    </row>
    <row r="4596" spans="1:21" x14ac:dyDescent="0.35">
      <c r="U4596">
        <v>33.851700000000001</v>
      </c>
    </row>
    <row r="4597" spans="1:21" x14ac:dyDescent="0.35">
      <c r="U4597">
        <v>15.111599999999999</v>
      </c>
    </row>
    <row r="4598" spans="1:21" x14ac:dyDescent="0.35">
      <c r="A4598" s="1"/>
      <c r="U4598">
        <v>13.2288</v>
      </c>
    </row>
    <row r="4599" spans="1:21" x14ac:dyDescent="0.35">
      <c r="U4599">
        <v>5.8887</v>
      </c>
    </row>
    <row r="4600" spans="1:21" x14ac:dyDescent="0.35">
      <c r="U4600">
        <v>26.564</v>
      </c>
    </row>
    <row r="4601" spans="1:21" x14ac:dyDescent="0.35">
      <c r="U4601">
        <v>43.784199999999998</v>
      </c>
    </row>
    <row r="4602" spans="1:21" x14ac:dyDescent="0.35">
      <c r="U4602">
        <v>63.134999999999998</v>
      </c>
    </row>
    <row r="4603" spans="1:21" x14ac:dyDescent="0.35">
      <c r="U4603">
        <v>5.4143999999999997</v>
      </c>
    </row>
    <row r="4604" spans="1:21" x14ac:dyDescent="0.35">
      <c r="U4604">
        <v>5.9383999999999997</v>
      </c>
    </row>
    <row r="4605" spans="1:21" x14ac:dyDescent="0.35">
      <c r="U4605">
        <v>53.8048</v>
      </c>
    </row>
    <row r="4606" spans="1:21" x14ac:dyDescent="0.35">
      <c r="U4606">
        <v>4.4311999999999996</v>
      </c>
    </row>
    <row r="4607" spans="1:21" x14ac:dyDescent="0.35">
      <c r="U4607">
        <v>50.383200000000002</v>
      </c>
    </row>
    <row r="4608" spans="1:21" x14ac:dyDescent="0.35">
      <c r="U4608">
        <v>13.3371</v>
      </c>
    </row>
    <row r="4609" spans="1:21" x14ac:dyDescent="0.35">
      <c r="U4609">
        <v>160.62299999999999</v>
      </c>
    </row>
    <row r="4610" spans="1:21" x14ac:dyDescent="0.35">
      <c r="U4610">
        <v>2.0573999999999999</v>
      </c>
    </row>
    <row r="4611" spans="1:21" x14ac:dyDescent="0.35">
      <c r="U4611">
        <v>21.7728</v>
      </c>
    </row>
    <row r="4612" spans="1:21" x14ac:dyDescent="0.35">
      <c r="A4612" s="1"/>
      <c r="U4612">
        <v>20.732800000000001</v>
      </c>
    </row>
    <row r="4613" spans="1:21" x14ac:dyDescent="0.35">
      <c r="U4613">
        <v>15.68</v>
      </c>
    </row>
    <row r="4614" spans="1:21" x14ac:dyDescent="0.35">
      <c r="U4614">
        <v>3.5712000000000002</v>
      </c>
    </row>
    <row r="4615" spans="1:21" x14ac:dyDescent="0.35">
      <c r="U4615">
        <v>8.218</v>
      </c>
    </row>
    <row r="4616" spans="1:21" x14ac:dyDescent="0.35">
      <c r="A4616" s="1"/>
      <c r="U4616">
        <v>-166.39349999999999</v>
      </c>
    </row>
    <row r="4617" spans="1:21" x14ac:dyDescent="0.35">
      <c r="A4617" s="1"/>
      <c r="U4617">
        <v>4.266</v>
      </c>
    </row>
    <row r="4618" spans="1:21" x14ac:dyDescent="0.35">
      <c r="A4618" s="1"/>
      <c r="U4618">
        <v>6.7187999999999999</v>
      </c>
    </row>
    <row r="4619" spans="1:21" x14ac:dyDescent="0.35">
      <c r="U4619">
        <v>147.47499999999999</v>
      </c>
    </row>
    <row r="4620" spans="1:21" x14ac:dyDescent="0.35">
      <c r="U4620">
        <v>141.1644</v>
      </c>
    </row>
    <row r="4621" spans="1:21" x14ac:dyDescent="0.35">
      <c r="U4621">
        <v>1007.9832</v>
      </c>
    </row>
    <row r="4622" spans="1:21" x14ac:dyDescent="0.35">
      <c r="U4622">
        <v>33.93</v>
      </c>
    </row>
    <row r="4623" spans="1:21" x14ac:dyDescent="0.35">
      <c r="A4623" s="1"/>
      <c r="U4623">
        <v>21.713999999999999</v>
      </c>
    </row>
    <row r="4624" spans="1:21" x14ac:dyDescent="0.35">
      <c r="A4624" s="1"/>
      <c r="U4624">
        <v>-1.9872000000000001</v>
      </c>
    </row>
    <row r="4625" spans="1:21" x14ac:dyDescent="0.35">
      <c r="A4625" s="1"/>
      <c r="U4625">
        <v>62.137599999999999</v>
      </c>
    </row>
    <row r="4626" spans="1:21" x14ac:dyDescent="0.35">
      <c r="A4626" s="1"/>
      <c r="U4626">
        <v>-3.2309999999999999</v>
      </c>
    </row>
    <row r="4627" spans="1:21" x14ac:dyDescent="0.35">
      <c r="A4627" s="1"/>
      <c r="U4627">
        <v>4.2408000000000001</v>
      </c>
    </row>
    <row r="4628" spans="1:21" x14ac:dyDescent="0.35">
      <c r="U4628">
        <v>20.163</v>
      </c>
    </row>
    <row r="4629" spans="1:21" x14ac:dyDescent="0.35">
      <c r="U4629">
        <v>6.9664000000000001</v>
      </c>
    </row>
    <row r="4630" spans="1:21" x14ac:dyDescent="0.35">
      <c r="U4630">
        <v>39.409999999999997</v>
      </c>
    </row>
    <row r="4631" spans="1:21" x14ac:dyDescent="0.35">
      <c r="U4631">
        <v>9.8901000000000003</v>
      </c>
    </row>
    <row r="4632" spans="1:21" x14ac:dyDescent="0.35">
      <c r="U4632">
        <v>6.1703999999999999</v>
      </c>
    </row>
    <row r="4633" spans="1:21" x14ac:dyDescent="0.35">
      <c r="A4633" s="1"/>
      <c r="U4633">
        <v>24.84</v>
      </c>
    </row>
    <row r="4634" spans="1:21" x14ac:dyDescent="0.35">
      <c r="A4634" s="1"/>
      <c r="U4634">
        <v>11.1564</v>
      </c>
    </row>
    <row r="4635" spans="1:21" x14ac:dyDescent="0.35">
      <c r="U4635">
        <v>34.494</v>
      </c>
    </row>
    <row r="4636" spans="1:21" x14ac:dyDescent="0.35">
      <c r="U4636">
        <v>3.2391999999999999</v>
      </c>
    </row>
    <row r="4637" spans="1:21" x14ac:dyDescent="0.35">
      <c r="A4637" s="1"/>
      <c r="U4637">
        <v>9.7175999999999991</v>
      </c>
    </row>
    <row r="4638" spans="1:21" x14ac:dyDescent="0.35">
      <c r="U4638">
        <v>33.458399999999997</v>
      </c>
    </row>
    <row r="4639" spans="1:21" x14ac:dyDescent="0.35">
      <c r="U4639">
        <v>5.6993999999999998</v>
      </c>
    </row>
    <row r="4640" spans="1:21" x14ac:dyDescent="0.35">
      <c r="U4640">
        <v>12.298</v>
      </c>
    </row>
    <row r="4641" spans="1:21" x14ac:dyDescent="0.35">
      <c r="A4641" s="1"/>
      <c r="U4641">
        <v>751.9624</v>
      </c>
    </row>
    <row r="4642" spans="1:21" x14ac:dyDescent="0.35">
      <c r="A4642" s="1"/>
      <c r="U4642">
        <v>5.4340999999999999</v>
      </c>
    </row>
    <row r="4643" spans="1:21" x14ac:dyDescent="0.35">
      <c r="U4643">
        <v>-2.5344000000000002</v>
      </c>
    </row>
    <row r="4644" spans="1:21" x14ac:dyDescent="0.35">
      <c r="U4644">
        <v>-28.956800000000001</v>
      </c>
    </row>
    <row r="4645" spans="1:21" x14ac:dyDescent="0.35">
      <c r="A4645" s="1"/>
      <c r="U4645">
        <v>2.1492</v>
      </c>
    </row>
    <row r="4646" spans="1:21" x14ac:dyDescent="0.35">
      <c r="A4646" s="1"/>
      <c r="U4646">
        <v>41.88</v>
      </c>
    </row>
    <row r="4647" spans="1:21" x14ac:dyDescent="0.35">
      <c r="A4647" s="1"/>
      <c r="U4647">
        <v>-8.0980000000000008</v>
      </c>
    </row>
    <row r="4648" spans="1:21" x14ac:dyDescent="0.35">
      <c r="U4648">
        <v>6.1289999999999996</v>
      </c>
    </row>
    <row r="4649" spans="1:21" x14ac:dyDescent="0.35">
      <c r="U4649">
        <v>62.782200000000003</v>
      </c>
    </row>
    <row r="4650" spans="1:21" x14ac:dyDescent="0.35">
      <c r="U4650">
        <v>206.88929999999999</v>
      </c>
    </row>
    <row r="4651" spans="1:21" x14ac:dyDescent="0.35">
      <c r="U4651">
        <v>1.9319999999999999</v>
      </c>
    </row>
    <row r="4652" spans="1:21" x14ac:dyDescent="0.35">
      <c r="A4652" s="1"/>
      <c r="U4652">
        <v>114.9385</v>
      </c>
    </row>
    <row r="4653" spans="1:21" x14ac:dyDescent="0.35">
      <c r="A4653" s="1"/>
      <c r="U4653">
        <v>97.88</v>
      </c>
    </row>
    <row r="4654" spans="1:21" x14ac:dyDescent="0.35">
      <c r="U4654">
        <v>5.7624000000000004</v>
      </c>
    </row>
    <row r="4655" spans="1:21" x14ac:dyDescent="0.35">
      <c r="U4655">
        <v>39.948</v>
      </c>
    </row>
    <row r="4656" spans="1:21" x14ac:dyDescent="0.35">
      <c r="U4656">
        <v>1.3535999999999999</v>
      </c>
    </row>
    <row r="4657" spans="1:21" x14ac:dyDescent="0.35">
      <c r="A4657" s="1"/>
      <c r="U4657">
        <v>3.9592000000000001</v>
      </c>
    </row>
    <row r="4658" spans="1:21" x14ac:dyDescent="0.35">
      <c r="A4658" s="1"/>
      <c r="U4658">
        <v>14.2272</v>
      </c>
    </row>
    <row r="4659" spans="1:21" x14ac:dyDescent="0.35">
      <c r="A4659" s="1"/>
      <c r="U4659">
        <v>6.5164</v>
      </c>
    </row>
    <row r="4660" spans="1:21" x14ac:dyDescent="0.35">
      <c r="A4660" s="1"/>
      <c r="U4660">
        <v>2.8883999999999999</v>
      </c>
    </row>
    <row r="4661" spans="1:21" x14ac:dyDescent="0.35">
      <c r="A4661" s="1"/>
      <c r="U4661">
        <v>2.0474999999999999</v>
      </c>
    </row>
    <row r="4662" spans="1:21" x14ac:dyDescent="0.35">
      <c r="A4662" s="1"/>
      <c r="U4662">
        <v>-0.34439999999999998</v>
      </c>
    </row>
    <row r="4663" spans="1:21" x14ac:dyDescent="0.35">
      <c r="A4663" s="1"/>
      <c r="U4663">
        <v>-36.176400000000001</v>
      </c>
    </row>
    <row r="4664" spans="1:21" x14ac:dyDescent="0.35">
      <c r="A4664" s="1"/>
      <c r="U4664">
        <v>-9.5939999999999994</v>
      </c>
    </row>
    <row r="4665" spans="1:21" x14ac:dyDescent="0.35">
      <c r="U4665">
        <v>1.05</v>
      </c>
    </row>
    <row r="4666" spans="1:21" x14ac:dyDescent="0.35">
      <c r="U4666">
        <v>-6.0048000000000004</v>
      </c>
    </row>
    <row r="4667" spans="1:21" x14ac:dyDescent="0.35">
      <c r="U4667">
        <v>5.7960000000000003</v>
      </c>
    </row>
    <row r="4668" spans="1:21" x14ac:dyDescent="0.35">
      <c r="A4668" s="1"/>
      <c r="U4668">
        <v>34.365600000000001</v>
      </c>
    </row>
    <row r="4669" spans="1:21" x14ac:dyDescent="0.35">
      <c r="A4669" s="1"/>
      <c r="U4669">
        <v>13.296200000000001</v>
      </c>
    </row>
    <row r="4670" spans="1:21" x14ac:dyDescent="0.35">
      <c r="A4670" s="1"/>
      <c r="U4670">
        <v>-18.802</v>
      </c>
    </row>
    <row r="4671" spans="1:21" x14ac:dyDescent="0.35">
      <c r="A4671" s="1"/>
      <c r="U4671">
        <v>-119.1918</v>
      </c>
    </row>
    <row r="4672" spans="1:21" x14ac:dyDescent="0.35">
      <c r="A4672" s="1"/>
      <c r="U4672">
        <v>-57.951000000000001</v>
      </c>
    </row>
    <row r="4673" spans="1:21" x14ac:dyDescent="0.35">
      <c r="U4673">
        <v>72.358000000000004</v>
      </c>
    </row>
    <row r="4674" spans="1:21" x14ac:dyDescent="0.35">
      <c r="U4674">
        <v>165.34960000000001</v>
      </c>
    </row>
    <row r="4675" spans="1:21" x14ac:dyDescent="0.35">
      <c r="U4675">
        <v>33.3172</v>
      </c>
    </row>
    <row r="4676" spans="1:21" x14ac:dyDescent="0.35">
      <c r="U4676">
        <v>30.023399999999999</v>
      </c>
    </row>
    <row r="4677" spans="1:21" x14ac:dyDescent="0.35">
      <c r="U4677">
        <v>1.5007999999999999</v>
      </c>
    </row>
    <row r="4678" spans="1:21" x14ac:dyDescent="0.35">
      <c r="U4678">
        <v>11.167199999999999</v>
      </c>
    </row>
    <row r="4679" spans="1:21" x14ac:dyDescent="0.35">
      <c r="U4679">
        <v>3.2391999999999999</v>
      </c>
    </row>
    <row r="4680" spans="1:21" x14ac:dyDescent="0.35">
      <c r="U4680">
        <v>6.6239999999999997</v>
      </c>
    </row>
    <row r="4681" spans="1:21" x14ac:dyDescent="0.35">
      <c r="U4681">
        <v>5.7671999999999999</v>
      </c>
    </row>
    <row r="4682" spans="1:21" x14ac:dyDescent="0.35">
      <c r="U4682">
        <v>20.165600000000001</v>
      </c>
    </row>
    <row r="4683" spans="1:21" x14ac:dyDescent="0.35">
      <c r="U4683">
        <v>13.3245</v>
      </c>
    </row>
    <row r="4684" spans="1:21" x14ac:dyDescent="0.35">
      <c r="A4684" s="1"/>
      <c r="U4684">
        <v>86.392799999999994</v>
      </c>
    </row>
    <row r="4685" spans="1:21" x14ac:dyDescent="0.35">
      <c r="U4685">
        <v>-56.448</v>
      </c>
    </row>
    <row r="4686" spans="1:21" x14ac:dyDescent="0.35">
      <c r="U4686">
        <v>-81.94</v>
      </c>
    </row>
    <row r="4687" spans="1:21" x14ac:dyDescent="0.35">
      <c r="U4687">
        <v>-2.7888000000000002</v>
      </c>
    </row>
    <row r="4688" spans="1:21" x14ac:dyDescent="0.35">
      <c r="U4688">
        <v>-2.3814000000000002</v>
      </c>
    </row>
    <row r="4689" spans="1:21" x14ac:dyDescent="0.35">
      <c r="U4689">
        <v>123.45480000000001</v>
      </c>
    </row>
    <row r="4690" spans="1:21" x14ac:dyDescent="0.35">
      <c r="U4690">
        <v>-4.7625000000000002</v>
      </c>
    </row>
    <row r="4691" spans="1:21" x14ac:dyDescent="0.35">
      <c r="U4691">
        <v>10.393599999999999</v>
      </c>
    </row>
    <row r="4692" spans="1:21" x14ac:dyDescent="0.35">
      <c r="U4692">
        <v>21.5928</v>
      </c>
    </row>
    <row r="4693" spans="1:21" x14ac:dyDescent="0.35">
      <c r="U4693">
        <v>-42.4116</v>
      </c>
    </row>
    <row r="4694" spans="1:21" x14ac:dyDescent="0.35">
      <c r="U4694">
        <v>77.671999999999997</v>
      </c>
    </row>
    <row r="4695" spans="1:21" x14ac:dyDescent="0.35">
      <c r="U4695">
        <v>2.64</v>
      </c>
    </row>
    <row r="4696" spans="1:21" x14ac:dyDescent="0.35">
      <c r="U4696">
        <v>14.4648</v>
      </c>
    </row>
    <row r="4697" spans="1:21" x14ac:dyDescent="0.35">
      <c r="U4697">
        <v>48.470399999999998</v>
      </c>
    </row>
    <row r="4698" spans="1:21" x14ac:dyDescent="0.35">
      <c r="U4698">
        <v>38.437199999999997</v>
      </c>
    </row>
    <row r="4699" spans="1:21" x14ac:dyDescent="0.35">
      <c r="U4699">
        <v>136.66499999999999</v>
      </c>
    </row>
    <row r="4700" spans="1:21" x14ac:dyDescent="0.35">
      <c r="U4700">
        <v>14.8491</v>
      </c>
    </row>
    <row r="4701" spans="1:21" x14ac:dyDescent="0.35">
      <c r="A4701" s="1"/>
      <c r="U4701">
        <v>0.59040000000000004</v>
      </c>
    </row>
    <row r="4702" spans="1:21" x14ac:dyDescent="0.35">
      <c r="A4702" s="1"/>
      <c r="U4702">
        <v>-14.8832</v>
      </c>
    </row>
    <row r="4703" spans="1:21" x14ac:dyDescent="0.35">
      <c r="A4703" s="1"/>
      <c r="U4703">
        <v>2.14</v>
      </c>
    </row>
    <row r="4704" spans="1:21" x14ac:dyDescent="0.35">
      <c r="A4704" s="1"/>
      <c r="U4704">
        <v>-6.9965000000000002</v>
      </c>
    </row>
    <row r="4705" spans="1:21" x14ac:dyDescent="0.35">
      <c r="U4705">
        <v>-19.602</v>
      </c>
    </row>
    <row r="4706" spans="1:21" x14ac:dyDescent="0.35">
      <c r="U4706">
        <v>18.8993</v>
      </c>
    </row>
    <row r="4707" spans="1:21" x14ac:dyDescent="0.35">
      <c r="U4707">
        <v>6.8714000000000004</v>
      </c>
    </row>
    <row r="4708" spans="1:21" x14ac:dyDescent="0.35">
      <c r="U4708">
        <v>17.324000000000002</v>
      </c>
    </row>
    <row r="4709" spans="1:21" x14ac:dyDescent="0.35">
      <c r="U4709">
        <v>302.37299999999999</v>
      </c>
    </row>
    <row r="4710" spans="1:21" x14ac:dyDescent="0.35">
      <c r="U4710">
        <v>39.213000000000001</v>
      </c>
    </row>
    <row r="4711" spans="1:21" x14ac:dyDescent="0.35">
      <c r="U4711">
        <v>3.0367999999999999</v>
      </c>
    </row>
    <row r="4712" spans="1:21" x14ac:dyDescent="0.35">
      <c r="U4712">
        <v>22.4316</v>
      </c>
    </row>
    <row r="4713" spans="1:21" x14ac:dyDescent="0.35">
      <c r="U4713">
        <v>-0.59640000000000004</v>
      </c>
    </row>
    <row r="4714" spans="1:21" x14ac:dyDescent="0.35">
      <c r="U4714">
        <v>12.700799999999999</v>
      </c>
    </row>
    <row r="4715" spans="1:21" x14ac:dyDescent="0.35">
      <c r="U4715">
        <v>-74.952600000000004</v>
      </c>
    </row>
    <row r="4716" spans="1:21" x14ac:dyDescent="0.35">
      <c r="U4716">
        <v>38.779200000000003</v>
      </c>
    </row>
    <row r="4717" spans="1:21" x14ac:dyDescent="0.35">
      <c r="A4717" s="1"/>
      <c r="U4717">
        <v>20.1584</v>
      </c>
    </row>
    <row r="4718" spans="1:21" x14ac:dyDescent="0.35">
      <c r="A4718" s="1"/>
      <c r="U4718">
        <v>88.733199999999997</v>
      </c>
    </row>
    <row r="4719" spans="1:21" x14ac:dyDescent="0.35">
      <c r="A4719" s="1"/>
      <c r="U4719">
        <v>2.2193999999999998</v>
      </c>
    </row>
    <row r="4720" spans="1:21" x14ac:dyDescent="0.35">
      <c r="A4720" s="1"/>
      <c r="U4720">
        <v>21.7728</v>
      </c>
    </row>
    <row r="4721" spans="1:21" x14ac:dyDescent="0.35">
      <c r="U4721">
        <v>9.4717000000000002</v>
      </c>
    </row>
    <row r="4722" spans="1:21" x14ac:dyDescent="0.35">
      <c r="U4722">
        <v>27.882000000000001</v>
      </c>
    </row>
    <row r="4723" spans="1:21" x14ac:dyDescent="0.35">
      <c r="A4723" s="1"/>
      <c r="U4723">
        <v>-209.76929999999999</v>
      </c>
    </row>
    <row r="4724" spans="1:21" x14ac:dyDescent="0.35">
      <c r="A4724" s="1"/>
      <c r="U4724">
        <v>2.9561999999999999</v>
      </c>
    </row>
    <row r="4725" spans="1:21" x14ac:dyDescent="0.35">
      <c r="U4725">
        <v>7.2176999999999998</v>
      </c>
    </row>
    <row r="4726" spans="1:21" x14ac:dyDescent="0.35">
      <c r="A4726" s="1"/>
      <c r="U4726">
        <v>-6.9215999999999998</v>
      </c>
    </row>
    <row r="4727" spans="1:21" x14ac:dyDescent="0.35">
      <c r="A4727" s="1"/>
      <c r="U4727">
        <v>50.3658</v>
      </c>
    </row>
    <row r="4728" spans="1:21" x14ac:dyDescent="0.35">
      <c r="U4728">
        <v>55.896000000000001</v>
      </c>
    </row>
    <row r="4729" spans="1:21" x14ac:dyDescent="0.35">
      <c r="U4729">
        <v>-37.943399999999997</v>
      </c>
    </row>
    <row r="4730" spans="1:21" x14ac:dyDescent="0.35">
      <c r="A4730" s="1"/>
      <c r="U4730">
        <v>46.179000000000002</v>
      </c>
    </row>
    <row r="4731" spans="1:21" x14ac:dyDescent="0.35">
      <c r="U4731">
        <v>3.3098999999999998</v>
      </c>
    </row>
    <row r="4732" spans="1:21" x14ac:dyDescent="0.35">
      <c r="U4732">
        <v>99.940799999999996</v>
      </c>
    </row>
    <row r="4733" spans="1:21" x14ac:dyDescent="0.35">
      <c r="U4733">
        <v>4.5401999999999996</v>
      </c>
    </row>
    <row r="4734" spans="1:21" x14ac:dyDescent="0.35">
      <c r="U4734">
        <v>20.767499999999998</v>
      </c>
    </row>
    <row r="4735" spans="1:21" x14ac:dyDescent="0.35">
      <c r="U4735">
        <v>9.5616000000000003</v>
      </c>
    </row>
    <row r="4736" spans="1:21" x14ac:dyDescent="0.35">
      <c r="A4736" s="1"/>
      <c r="U4736">
        <v>146.38800000000001</v>
      </c>
    </row>
    <row r="4737" spans="1:21" x14ac:dyDescent="0.35">
      <c r="U4737">
        <v>3.8822000000000001</v>
      </c>
    </row>
    <row r="4738" spans="1:21" x14ac:dyDescent="0.35">
      <c r="U4738">
        <v>13.428000000000001</v>
      </c>
    </row>
    <row r="4739" spans="1:21" x14ac:dyDescent="0.35">
      <c r="U4739">
        <v>14.9556</v>
      </c>
    </row>
    <row r="4740" spans="1:21" x14ac:dyDescent="0.35">
      <c r="U4740">
        <v>28.087599999999998</v>
      </c>
    </row>
    <row r="4741" spans="1:21" x14ac:dyDescent="0.35">
      <c r="U4741">
        <v>-0.88859999999999995</v>
      </c>
    </row>
    <row r="4742" spans="1:21" x14ac:dyDescent="0.35">
      <c r="A4742" s="1"/>
      <c r="U4742">
        <v>4.5815999999999999</v>
      </c>
    </row>
    <row r="4743" spans="1:21" x14ac:dyDescent="0.35">
      <c r="A4743" s="1"/>
      <c r="U4743">
        <v>2.3025000000000002</v>
      </c>
    </row>
    <row r="4744" spans="1:21" x14ac:dyDescent="0.35">
      <c r="A4744" s="1"/>
      <c r="U4744">
        <v>8.0997000000000003</v>
      </c>
    </row>
    <row r="4745" spans="1:21" x14ac:dyDescent="0.35">
      <c r="A4745" s="1"/>
      <c r="U4745">
        <v>2.528</v>
      </c>
    </row>
    <row r="4746" spans="1:21" x14ac:dyDescent="0.35">
      <c r="A4746" s="1"/>
      <c r="U4746">
        <v>57.501600000000003</v>
      </c>
    </row>
    <row r="4747" spans="1:21" x14ac:dyDescent="0.35">
      <c r="A4747" s="1"/>
      <c r="U4747">
        <v>62.700400000000002</v>
      </c>
    </row>
    <row r="4748" spans="1:21" x14ac:dyDescent="0.35">
      <c r="A4748" s="1"/>
      <c r="U4748">
        <v>9.1580999999999992</v>
      </c>
    </row>
    <row r="4749" spans="1:21" x14ac:dyDescent="0.35">
      <c r="A4749" s="1"/>
      <c r="U4749">
        <v>7.6050000000000004</v>
      </c>
    </row>
    <row r="4750" spans="1:21" x14ac:dyDescent="0.35">
      <c r="A4750" s="1"/>
      <c r="U4750">
        <v>11.995200000000001</v>
      </c>
    </row>
    <row r="4751" spans="1:21" x14ac:dyDescent="0.35">
      <c r="U4751">
        <v>16.032</v>
      </c>
    </row>
    <row r="4752" spans="1:21" x14ac:dyDescent="0.35">
      <c r="A4752" s="1"/>
      <c r="U4752">
        <v>62.82</v>
      </c>
    </row>
    <row r="4753" spans="1:21" x14ac:dyDescent="0.35">
      <c r="A4753" s="1"/>
      <c r="U4753">
        <v>-9.1530000000000005</v>
      </c>
    </row>
    <row r="4754" spans="1:21" x14ac:dyDescent="0.35">
      <c r="U4754">
        <v>-23.5764</v>
      </c>
    </row>
    <row r="4755" spans="1:21" x14ac:dyDescent="0.35">
      <c r="A4755" s="1"/>
      <c r="U4755">
        <v>6.4307999999999996</v>
      </c>
    </row>
    <row r="4756" spans="1:21" x14ac:dyDescent="0.35">
      <c r="A4756" s="1"/>
      <c r="U4756">
        <v>-2.5880000000000001</v>
      </c>
    </row>
    <row r="4757" spans="1:21" x14ac:dyDescent="0.35">
      <c r="A4757" s="1"/>
      <c r="U4757">
        <v>40.3536</v>
      </c>
    </row>
    <row r="4758" spans="1:21" x14ac:dyDescent="0.35">
      <c r="U4758">
        <v>-1.5264</v>
      </c>
    </row>
    <row r="4759" spans="1:21" x14ac:dyDescent="0.35">
      <c r="U4759">
        <v>-69.395200000000003</v>
      </c>
    </row>
    <row r="4760" spans="1:21" x14ac:dyDescent="0.35">
      <c r="A4760" s="1"/>
      <c r="U4760">
        <v>219.50880000000001</v>
      </c>
    </row>
    <row r="4761" spans="1:21" x14ac:dyDescent="0.35">
      <c r="A4761" s="1"/>
      <c r="U4761">
        <v>18.335999999999999</v>
      </c>
    </row>
    <row r="4762" spans="1:21" x14ac:dyDescent="0.35">
      <c r="A4762" s="1"/>
      <c r="U4762">
        <v>2.8477999999999999</v>
      </c>
    </row>
    <row r="4763" spans="1:21" x14ac:dyDescent="0.35">
      <c r="U4763">
        <v>1.9925999999999999</v>
      </c>
    </row>
    <row r="4764" spans="1:21" x14ac:dyDescent="0.35">
      <c r="U4764">
        <v>1.0284</v>
      </c>
    </row>
    <row r="4765" spans="1:21" x14ac:dyDescent="0.35">
      <c r="U4765">
        <v>85.981800000000007</v>
      </c>
    </row>
    <row r="4766" spans="1:21" x14ac:dyDescent="0.35">
      <c r="U4766">
        <v>9.9936000000000007</v>
      </c>
    </row>
    <row r="4767" spans="1:21" x14ac:dyDescent="0.35">
      <c r="U4767">
        <v>7.5370999999999997</v>
      </c>
    </row>
    <row r="4768" spans="1:21" x14ac:dyDescent="0.35">
      <c r="A4768" s="1"/>
      <c r="U4768">
        <v>29.798999999999999</v>
      </c>
    </row>
    <row r="4769" spans="1:21" x14ac:dyDescent="0.35">
      <c r="A4769" s="1"/>
      <c r="U4769">
        <v>22.4925</v>
      </c>
    </row>
    <row r="4770" spans="1:21" x14ac:dyDescent="0.35">
      <c r="A4770" s="1"/>
      <c r="U4770">
        <v>9.1872000000000007</v>
      </c>
    </row>
    <row r="4771" spans="1:21" x14ac:dyDescent="0.35">
      <c r="U4771">
        <v>4.1832000000000003</v>
      </c>
    </row>
    <row r="4772" spans="1:21" x14ac:dyDescent="0.35">
      <c r="U4772">
        <v>1.8720000000000001</v>
      </c>
    </row>
    <row r="4773" spans="1:21" x14ac:dyDescent="0.35">
      <c r="U4773">
        <v>83.512799999999999</v>
      </c>
    </row>
    <row r="4774" spans="1:21" x14ac:dyDescent="0.35">
      <c r="U4774">
        <v>-4.04</v>
      </c>
    </row>
    <row r="4775" spans="1:21" x14ac:dyDescent="0.35">
      <c r="U4775">
        <v>4.1760000000000002</v>
      </c>
    </row>
    <row r="4776" spans="1:21" x14ac:dyDescent="0.35">
      <c r="U4776">
        <v>16.678799999999999</v>
      </c>
    </row>
    <row r="4777" spans="1:21" x14ac:dyDescent="0.35">
      <c r="U4777">
        <v>6.0735999999999999</v>
      </c>
    </row>
    <row r="4778" spans="1:21" x14ac:dyDescent="0.35">
      <c r="U4778">
        <v>4.0749000000000004</v>
      </c>
    </row>
    <row r="4779" spans="1:21" x14ac:dyDescent="0.35">
      <c r="U4779">
        <v>6.6845999999999997</v>
      </c>
    </row>
    <row r="4780" spans="1:21" x14ac:dyDescent="0.35">
      <c r="A4780" s="1"/>
      <c r="U4780">
        <v>33.310200000000002</v>
      </c>
    </row>
    <row r="4781" spans="1:21" x14ac:dyDescent="0.35">
      <c r="A4781" s="1"/>
      <c r="U4781">
        <v>10.647</v>
      </c>
    </row>
    <row r="4782" spans="1:21" x14ac:dyDescent="0.35">
      <c r="A4782" s="1"/>
      <c r="U4782">
        <v>0</v>
      </c>
    </row>
    <row r="4783" spans="1:21" x14ac:dyDescent="0.35">
      <c r="A4783" s="1"/>
      <c r="U4783">
        <v>-2.214</v>
      </c>
    </row>
    <row r="4784" spans="1:21" x14ac:dyDescent="0.35">
      <c r="A4784" s="1"/>
      <c r="U4784">
        <v>3.5623</v>
      </c>
    </row>
    <row r="4785" spans="1:21" x14ac:dyDescent="0.35">
      <c r="U4785">
        <v>137.15100000000001</v>
      </c>
    </row>
    <row r="4786" spans="1:21" x14ac:dyDescent="0.35">
      <c r="A4786" s="1"/>
      <c r="U4786">
        <v>1.1479999999999999</v>
      </c>
    </row>
    <row r="4787" spans="1:21" x14ac:dyDescent="0.35">
      <c r="A4787" s="1"/>
      <c r="U4787">
        <v>-143.79040000000001</v>
      </c>
    </row>
    <row r="4788" spans="1:21" x14ac:dyDescent="0.35">
      <c r="A4788" s="1"/>
      <c r="U4788">
        <v>0.47520000000000001</v>
      </c>
    </row>
    <row r="4789" spans="1:21" x14ac:dyDescent="0.35">
      <c r="A4789" s="1"/>
      <c r="U4789">
        <v>-6.5339999999999998</v>
      </c>
    </row>
    <row r="4790" spans="1:21" x14ac:dyDescent="0.35">
      <c r="A4790" s="1"/>
      <c r="U4790">
        <v>15.069599999999999</v>
      </c>
    </row>
    <row r="4791" spans="1:21" x14ac:dyDescent="0.35">
      <c r="A4791" s="1"/>
      <c r="U4791">
        <v>10.984</v>
      </c>
    </row>
    <row r="4792" spans="1:21" x14ac:dyDescent="0.35">
      <c r="A4792" s="1"/>
      <c r="U4792">
        <v>-248.166</v>
      </c>
    </row>
    <row r="4793" spans="1:21" x14ac:dyDescent="0.35">
      <c r="A4793" s="1"/>
      <c r="U4793">
        <v>28.706399999999999</v>
      </c>
    </row>
    <row r="4794" spans="1:21" x14ac:dyDescent="0.35">
      <c r="A4794" s="1"/>
      <c r="U4794">
        <v>9.6936</v>
      </c>
    </row>
    <row r="4795" spans="1:21" x14ac:dyDescent="0.35">
      <c r="U4795">
        <v>11.231999999999999</v>
      </c>
    </row>
    <row r="4796" spans="1:21" x14ac:dyDescent="0.35">
      <c r="U4796">
        <v>18.114599999999999</v>
      </c>
    </row>
    <row r="4797" spans="1:21" x14ac:dyDescent="0.35">
      <c r="U4797">
        <v>2.7071999999999998</v>
      </c>
    </row>
    <row r="4798" spans="1:21" x14ac:dyDescent="0.35">
      <c r="U4798">
        <v>-44.1462</v>
      </c>
    </row>
    <row r="4799" spans="1:21" x14ac:dyDescent="0.35">
      <c r="U4799">
        <v>10.8864</v>
      </c>
    </row>
    <row r="4800" spans="1:21" x14ac:dyDescent="0.35">
      <c r="U4800">
        <v>8.3027999999999995</v>
      </c>
    </row>
    <row r="4801" spans="1:21" x14ac:dyDescent="0.35">
      <c r="U4801">
        <v>4.3600000000000003</v>
      </c>
    </row>
    <row r="4802" spans="1:21" x14ac:dyDescent="0.35">
      <c r="U4802">
        <v>0.41720000000000002</v>
      </c>
    </row>
    <row r="4803" spans="1:21" x14ac:dyDescent="0.35">
      <c r="U4803">
        <v>-7.6120000000000001</v>
      </c>
    </row>
    <row r="4804" spans="1:21" x14ac:dyDescent="0.35">
      <c r="U4804">
        <v>-9.8208000000000002</v>
      </c>
    </row>
    <row r="4805" spans="1:21" x14ac:dyDescent="0.35">
      <c r="U4805">
        <v>-7.2588999999999997</v>
      </c>
    </row>
    <row r="4806" spans="1:21" x14ac:dyDescent="0.35">
      <c r="U4806">
        <v>19.339200000000002</v>
      </c>
    </row>
    <row r="4807" spans="1:21" x14ac:dyDescent="0.35">
      <c r="U4807">
        <v>18.211200000000002</v>
      </c>
    </row>
    <row r="4808" spans="1:21" x14ac:dyDescent="0.35">
      <c r="U4808">
        <v>19.260000000000002</v>
      </c>
    </row>
    <row r="4809" spans="1:21" x14ac:dyDescent="0.35">
      <c r="U4809">
        <v>10.089</v>
      </c>
    </row>
    <row r="4810" spans="1:21" x14ac:dyDescent="0.35">
      <c r="U4810">
        <v>21.197700000000001</v>
      </c>
    </row>
    <row r="4811" spans="1:21" x14ac:dyDescent="0.35">
      <c r="U4811">
        <v>91.950800000000001</v>
      </c>
    </row>
    <row r="4812" spans="1:21" x14ac:dyDescent="0.35">
      <c r="U4812">
        <v>71.97</v>
      </c>
    </row>
    <row r="4813" spans="1:21" x14ac:dyDescent="0.35">
      <c r="U4813">
        <v>-21.717600000000001</v>
      </c>
    </row>
    <row r="4814" spans="1:21" x14ac:dyDescent="0.35">
      <c r="U4814">
        <v>179.99639999999999</v>
      </c>
    </row>
    <row r="4815" spans="1:21" x14ac:dyDescent="0.35">
      <c r="U4815">
        <v>9.7151999999999994</v>
      </c>
    </row>
    <row r="4816" spans="1:21" x14ac:dyDescent="0.35">
      <c r="A4816" s="1"/>
      <c r="U4816">
        <v>8.0730000000000004</v>
      </c>
    </row>
    <row r="4817" spans="1:21" x14ac:dyDescent="0.35">
      <c r="U4817">
        <v>6.1641000000000004</v>
      </c>
    </row>
    <row r="4818" spans="1:21" x14ac:dyDescent="0.35">
      <c r="U4818">
        <v>5.6315999999999997</v>
      </c>
    </row>
    <row r="4819" spans="1:21" x14ac:dyDescent="0.35">
      <c r="U4819">
        <v>8.1552000000000007</v>
      </c>
    </row>
    <row r="4820" spans="1:21" x14ac:dyDescent="0.35">
      <c r="U4820">
        <v>-42.588000000000001</v>
      </c>
    </row>
    <row r="4821" spans="1:21" x14ac:dyDescent="0.35">
      <c r="A4821" s="1"/>
      <c r="U4821">
        <v>5.0763999999999996</v>
      </c>
    </row>
    <row r="4822" spans="1:21" x14ac:dyDescent="0.35">
      <c r="A4822" s="1"/>
      <c r="U4822">
        <v>-1181.2824000000001</v>
      </c>
    </row>
    <row r="4823" spans="1:21" x14ac:dyDescent="0.35">
      <c r="A4823" s="1"/>
      <c r="U4823">
        <v>47.994</v>
      </c>
    </row>
    <row r="4824" spans="1:21" x14ac:dyDescent="0.35">
      <c r="A4824" s="1"/>
      <c r="U4824">
        <v>-35.884799999999998</v>
      </c>
    </row>
    <row r="4825" spans="1:21" x14ac:dyDescent="0.35">
      <c r="U4825">
        <v>-24.276</v>
      </c>
    </row>
    <row r="4826" spans="1:21" x14ac:dyDescent="0.35">
      <c r="U4826">
        <v>-9.1110000000000007</v>
      </c>
    </row>
    <row r="4827" spans="1:21" x14ac:dyDescent="0.35">
      <c r="U4827">
        <v>15.590400000000001</v>
      </c>
    </row>
    <row r="4828" spans="1:21" x14ac:dyDescent="0.35">
      <c r="A4828" s="1"/>
      <c r="U4828">
        <v>4.9055999999999997</v>
      </c>
    </row>
    <row r="4829" spans="1:21" x14ac:dyDescent="0.35">
      <c r="A4829" s="1"/>
      <c r="U4829">
        <v>19.465599999999998</v>
      </c>
    </row>
    <row r="4830" spans="1:21" x14ac:dyDescent="0.35">
      <c r="A4830" s="1"/>
      <c r="U4830">
        <v>1.6355999999999999</v>
      </c>
    </row>
    <row r="4831" spans="1:21" x14ac:dyDescent="0.35">
      <c r="U4831">
        <v>4.4771999999999998</v>
      </c>
    </row>
    <row r="4832" spans="1:21" x14ac:dyDescent="0.35">
      <c r="A4832" s="1"/>
      <c r="U4832">
        <v>68.846400000000003</v>
      </c>
    </row>
    <row r="4833" spans="1:21" x14ac:dyDescent="0.35">
      <c r="A4833" s="1"/>
      <c r="U4833">
        <v>9.8901000000000003</v>
      </c>
    </row>
    <row r="4834" spans="1:21" x14ac:dyDescent="0.35">
      <c r="A4834" s="1"/>
      <c r="U4834">
        <v>5.8708</v>
      </c>
    </row>
    <row r="4835" spans="1:21" x14ac:dyDescent="0.35">
      <c r="A4835" s="1"/>
      <c r="U4835">
        <v>5.8232999999999997</v>
      </c>
    </row>
    <row r="4836" spans="1:21" x14ac:dyDescent="0.35">
      <c r="A4836" s="1"/>
      <c r="U4836">
        <v>13.473000000000001</v>
      </c>
    </row>
    <row r="4837" spans="1:21" x14ac:dyDescent="0.35">
      <c r="A4837" s="1"/>
      <c r="U4837">
        <v>27.882000000000001</v>
      </c>
    </row>
    <row r="4838" spans="1:21" x14ac:dyDescent="0.35">
      <c r="A4838" s="1"/>
      <c r="U4838">
        <v>7.2267999999999999</v>
      </c>
    </row>
    <row r="4839" spans="1:21" x14ac:dyDescent="0.35">
      <c r="A4839" s="1"/>
      <c r="U4839">
        <v>-2.6585999999999999</v>
      </c>
    </row>
    <row r="4840" spans="1:21" x14ac:dyDescent="0.35">
      <c r="A4840" s="1"/>
      <c r="U4840">
        <v>10.0572</v>
      </c>
    </row>
    <row r="4841" spans="1:21" x14ac:dyDescent="0.35">
      <c r="A4841" s="1"/>
      <c r="U4841">
        <v>-34.314799999999998</v>
      </c>
    </row>
    <row r="4842" spans="1:21" x14ac:dyDescent="0.35">
      <c r="U4842">
        <v>11.583600000000001</v>
      </c>
    </row>
    <row r="4843" spans="1:21" x14ac:dyDescent="0.35">
      <c r="U4843">
        <v>-4.0721999999999996</v>
      </c>
    </row>
    <row r="4844" spans="1:21" x14ac:dyDescent="0.35">
      <c r="U4844">
        <v>-54.881999999999998</v>
      </c>
    </row>
    <row r="4845" spans="1:21" x14ac:dyDescent="0.35">
      <c r="A4845" s="1"/>
      <c r="U4845">
        <v>0.29920000000000002</v>
      </c>
    </row>
    <row r="4846" spans="1:21" x14ac:dyDescent="0.35">
      <c r="A4846" s="1"/>
      <c r="U4846">
        <v>2.2450000000000001</v>
      </c>
    </row>
    <row r="4847" spans="1:21" x14ac:dyDescent="0.35">
      <c r="U4847">
        <v>3.6791999999999998</v>
      </c>
    </row>
    <row r="4848" spans="1:21" x14ac:dyDescent="0.35">
      <c r="U4848">
        <v>19.797000000000001</v>
      </c>
    </row>
    <row r="4849" spans="1:21" x14ac:dyDescent="0.35">
      <c r="U4849">
        <v>17.908000000000001</v>
      </c>
    </row>
    <row r="4850" spans="1:21" x14ac:dyDescent="0.35">
      <c r="U4850">
        <v>0.81620000000000004</v>
      </c>
    </row>
    <row r="4851" spans="1:21" x14ac:dyDescent="0.35">
      <c r="A4851" s="1"/>
      <c r="U4851">
        <v>2.6459999999999999</v>
      </c>
    </row>
    <row r="4852" spans="1:21" x14ac:dyDescent="0.35">
      <c r="A4852" s="1"/>
      <c r="U4852">
        <v>121.99</v>
      </c>
    </row>
    <row r="4853" spans="1:21" x14ac:dyDescent="0.35">
      <c r="A4853" s="1"/>
      <c r="U4853">
        <v>91.152000000000001</v>
      </c>
    </row>
    <row r="4854" spans="1:21" x14ac:dyDescent="0.35">
      <c r="A4854" s="1"/>
      <c r="U4854">
        <v>19.435199999999998</v>
      </c>
    </row>
    <row r="4855" spans="1:21" x14ac:dyDescent="0.35">
      <c r="A4855" s="1"/>
      <c r="U4855">
        <v>4.5144000000000002</v>
      </c>
    </row>
    <row r="4856" spans="1:21" x14ac:dyDescent="0.35">
      <c r="A4856" s="1"/>
      <c r="U4856">
        <v>0.62580000000000002</v>
      </c>
    </row>
    <row r="4857" spans="1:21" x14ac:dyDescent="0.35">
      <c r="A4857" s="1"/>
      <c r="U4857">
        <v>4.4352</v>
      </c>
    </row>
    <row r="4858" spans="1:21" x14ac:dyDescent="0.35">
      <c r="U4858">
        <v>24.502800000000001</v>
      </c>
    </row>
    <row r="4859" spans="1:21" x14ac:dyDescent="0.35">
      <c r="U4859">
        <v>38.024000000000001</v>
      </c>
    </row>
    <row r="4860" spans="1:21" x14ac:dyDescent="0.35">
      <c r="U4860">
        <v>92.97</v>
      </c>
    </row>
    <row r="4861" spans="1:21" x14ac:dyDescent="0.35">
      <c r="U4861">
        <v>1.0192000000000001</v>
      </c>
    </row>
    <row r="4862" spans="1:21" x14ac:dyDescent="0.35">
      <c r="U4862">
        <v>843.17060000000004</v>
      </c>
    </row>
    <row r="4863" spans="1:21" x14ac:dyDescent="0.35">
      <c r="A4863" s="1"/>
      <c r="U4863">
        <v>265.42320000000001</v>
      </c>
    </row>
    <row r="4864" spans="1:21" x14ac:dyDescent="0.35">
      <c r="A4864" s="1"/>
      <c r="U4864">
        <v>7.3834</v>
      </c>
    </row>
    <row r="4865" spans="1:21" x14ac:dyDescent="0.35">
      <c r="A4865" s="1"/>
      <c r="U4865">
        <v>16.823699999999999</v>
      </c>
    </row>
    <row r="4866" spans="1:21" x14ac:dyDescent="0.35">
      <c r="U4866">
        <v>67.191599999999994</v>
      </c>
    </row>
    <row r="4867" spans="1:21" x14ac:dyDescent="0.35">
      <c r="U4867">
        <v>150.29400000000001</v>
      </c>
    </row>
    <row r="4868" spans="1:21" x14ac:dyDescent="0.35">
      <c r="U4868">
        <v>190.0206</v>
      </c>
    </row>
    <row r="4869" spans="1:21" x14ac:dyDescent="0.35">
      <c r="U4869">
        <v>10.347300000000001</v>
      </c>
    </row>
    <row r="4870" spans="1:21" x14ac:dyDescent="0.35">
      <c r="U4870">
        <v>4.2336</v>
      </c>
    </row>
    <row r="4871" spans="1:21" x14ac:dyDescent="0.35">
      <c r="U4871">
        <v>-14.997999999999999</v>
      </c>
    </row>
    <row r="4872" spans="1:21" x14ac:dyDescent="0.35">
      <c r="U4872">
        <v>83.209699999999998</v>
      </c>
    </row>
    <row r="4873" spans="1:21" x14ac:dyDescent="0.35">
      <c r="U4873">
        <v>0.61560000000000004</v>
      </c>
    </row>
    <row r="4874" spans="1:21" x14ac:dyDescent="0.35">
      <c r="U4874">
        <v>-46.716000000000001</v>
      </c>
    </row>
    <row r="4875" spans="1:21" x14ac:dyDescent="0.35">
      <c r="U4875">
        <v>-11.5938</v>
      </c>
    </row>
    <row r="4876" spans="1:21" x14ac:dyDescent="0.35">
      <c r="U4876">
        <v>-1.9601999999999999</v>
      </c>
    </row>
    <row r="4877" spans="1:21" x14ac:dyDescent="0.35">
      <c r="A4877" s="1"/>
      <c r="U4877">
        <v>29.95</v>
      </c>
    </row>
    <row r="4878" spans="1:21" x14ac:dyDescent="0.35">
      <c r="A4878" s="1"/>
      <c r="U4878">
        <v>4.6176000000000004</v>
      </c>
    </row>
    <row r="4879" spans="1:21" x14ac:dyDescent="0.35">
      <c r="A4879" s="1"/>
      <c r="U4879">
        <v>0.46439999999999998</v>
      </c>
    </row>
    <row r="4880" spans="1:21" x14ac:dyDescent="0.35">
      <c r="U4880">
        <v>-1.476</v>
      </c>
    </row>
    <row r="4881" spans="1:21" x14ac:dyDescent="0.35">
      <c r="A4881" s="1"/>
      <c r="U4881">
        <v>2.6067999999999998</v>
      </c>
    </row>
    <row r="4882" spans="1:21" x14ac:dyDescent="0.35">
      <c r="A4882" s="1"/>
      <c r="U4882">
        <v>292.77600000000001</v>
      </c>
    </row>
    <row r="4883" spans="1:21" x14ac:dyDescent="0.35">
      <c r="A4883" s="1"/>
      <c r="U4883">
        <v>517.47929999999997</v>
      </c>
    </row>
    <row r="4884" spans="1:21" x14ac:dyDescent="0.35">
      <c r="A4884" s="1"/>
      <c r="U4884">
        <v>16.7776</v>
      </c>
    </row>
    <row r="4885" spans="1:21" x14ac:dyDescent="0.35">
      <c r="A4885" s="1"/>
      <c r="U4885">
        <v>64.2</v>
      </c>
    </row>
    <row r="4886" spans="1:21" x14ac:dyDescent="0.35">
      <c r="A4886" s="1"/>
      <c r="U4886">
        <v>0.87360000000000004</v>
      </c>
    </row>
    <row r="4887" spans="1:21" x14ac:dyDescent="0.35">
      <c r="U4887">
        <v>52.531999999999996</v>
      </c>
    </row>
    <row r="4888" spans="1:21" x14ac:dyDescent="0.35">
      <c r="U4888">
        <v>52.974299999999999</v>
      </c>
    </row>
    <row r="4889" spans="1:21" x14ac:dyDescent="0.35">
      <c r="U4889">
        <v>6.1020000000000003</v>
      </c>
    </row>
    <row r="4890" spans="1:21" x14ac:dyDescent="0.35">
      <c r="U4890">
        <v>56.301000000000002</v>
      </c>
    </row>
    <row r="4891" spans="1:21" x14ac:dyDescent="0.35">
      <c r="U4891">
        <v>315.82499999999999</v>
      </c>
    </row>
    <row r="4892" spans="1:21" x14ac:dyDescent="0.35">
      <c r="U4892">
        <v>2.5577999999999999</v>
      </c>
    </row>
    <row r="4893" spans="1:21" x14ac:dyDescent="0.35">
      <c r="U4893">
        <v>18.211200000000002</v>
      </c>
    </row>
    <row r="4894" spans="1:21" x14ac:dyDescent="0.35">
      <c r="U4894">
        <v>1.1759999999999999</v>
      </c>
    </row>
    <row r="4895" spans="1:21" x14ac:dyDescent="0.35">
      <c r="U4895">
        <v>2.2728000000000002</v>
      </c>
    </row>
    <row r="4896" spans="1:21" x14ac:dyDescent="0.35">
      <c r="U4896">
        <v>22.992000000000001</v>
      </c>
    </row>
    <row r="4897" spans="1:21" x14ac:dyDescent="0.35">
      <c r="U4897">
        <v>30.360399999999998</v>
      </c>
    </row>
    <row r="4898" spans="1:21" x14ac:dyDescent="0.35">
      <c r="U4898">
        <v>55.896000000000001</v>
      </c>
    </row>
    <row r="4899" spans="1:21" x14ac:dyDescent="0.35">
      <c r="U4899">
        <v>-7.8587999999999996</v>
      </c>
    </row>
    <row r="4900" spans="1:21" x14ac:dyDescent="0.35">
      <c r="U4900">
        <v>2.8883999999999999</v>
      </c>
    </row>
    <row r="4901" spans="1:21" x14ac:dyDescent="0.35">
      <c r="U4901">
        <v>-18.446400000000001</v>
      </c>
    </row>
    <row r="4902" spans="1:21" x14ac:dyDescent="0.35">
      <c r="U4902">
        <v>125.14319999999999</v>
      </c>
    </row>
    <row r="4903" spans="1:21" x14ac:dyDescent="0.35">
      <c r="U4903">
        <v>3.6347999999999998</v>
      </c>
    </row>
    <row r="4904" spans="1:21" x14ac:dyDescent="0.35">
      <c r="A4904" s="1"/>
      <c r="U4904">
        <v>9.0719999999999992</v>
      </c>
    </row>
    <row r="4905" spans="1:21" x14ac:dyDescent="0.35">
      <c r="A4905" s="1"/>
      <c r="U4905">
        <v>42.131399999999999</v>
      </c>
    </row>
    <row r="4906" spans="1:21" x14ac:dyDescent="0.35">
      <c r="A4906" s="1"/>
      <c r="U4906">
        <v>-19.258800000000001</v>
      </c>
    </row>
    <row r="4907" spans="1:21" x14ac:dyDescent="0.35">
      <c r="U4907">
        <v>11.0016</v>
      </c>
    </row>
    <row r="4908" spans="1:21" x14ac:dyDescent="0.35">
      <c r="U4908">
        <v>16.193999999999999</v>
      </c>
    </row>
    <row r="4909" spans="1:21" x14ac:dyDescent="0.35">
      <c r="U4909">
        <v>-8.6592000000000002</v>
      </c>
    </row>
    <row r="4910" spans="1:21" x14ac:dyDescent="0.35">
      <c r="U4910">
        <v>-2.0773999999999999</v>
      </c>
    </row>
    <row r="4911" spans="1:21" x14ac:dyDescent="0.35">
      <c r="U4911">
        <v>6.6467999999999998</v>
      </c>
    </row>
    <row r="4912" spans="1:21" x14ac:dyDescent="0.35">
      <c r="U4912">
        <v>12.700799999999999</v>
      </c>
    </row>
    <row r="4913" spans="1:21" x14ac:dyDescent="0.35">
      <c r="U4913">
        <v>6.9989999999999997</v>
      </c>
    </row>
    <row r="4914" spans="1:21" x14ac:dyDescent="0.35">
      <c r="U4914">
        <v>-4.577</v>
      </c>
    </row>
    <row r="4915" spans="1:21" x14ac:dyDescent="0.35">
      <c r="U4915">
        <v>-1.8391999999999999</v>
      </c>
    </row>
    <row r="4916" spans="1:21" x14ac:dyDescent="0.35">
      <c r="U4916">
        <v>10.4284</v>
      </c>
    </row>
    <row r="4917" spans="1:21" x14ac:dyDescent="0.35">
      <c r="U4917">
        <v>5.4200999999999997</v>
      </c>
    </row>
    <row r="4918" spans="1:21" x14ac:dyDescent="0.35">
      <c r="A4918" s="1"/>
      <c r="U4918">
        <v>5.8750999999999998</v>
      </c>
    </row>
    <row r="4919" spans="1:21" x14ac:dyDescent="0.35">
      <c r="A4919" s="1"/>
      <c r="U4919">
        <v>-32.6646</v>
      </c>
    </row>
    <row r="4920" spans="1:21" x14ac:dyDescent="0.35">
      <c r="A4920" s="1"/>
      <c r="U4920">
        <v>38.266800000000003</v>
      </c>
    </row>
    <row r="4921" spans="1:21" x14ac:dyDescent="0.35">
      <c r="A4921" s="1"/>
      <c r="U4921">
        <v>67.274199999999993</v>
      </c>
    </row>
    <row r="4922" spans="1:21" x14ac:dyDescent="0.35">
      <c r="U4922">
        <v>-3.9032</v>
      </c>
    </row>
    <row r="4923" spans="1:21" x14ac:dyDescent="0.35">
      <c r="U4923">
        <v>46.118400000000001</v>
      </c>
    </row>
    <row r="4924" spans="1:21" x14ac:dyDescent="0.35">
      <c r="U4924">
        <v>1.1946000000000001</v>
      </c>
    </row>
    <row r="4925" spans="1:21" x14ac:dyDescent="0.35">
      <c r="U4925">
        <v>301.96800000000002</v>
      </c>
    </row>
    <row r="4926" spans="1:21" x14ac:dyDescent="0.35">
      <c r="U4926">
        <v>23.524799999999999</v>
      </c>
    </row>
    <row r="4927" spans="1:21" x14ac:dyDescent="0.35">
      <c r="A4927" s="1"/>
      <c r="U4927">
        <v>3.72</v>
      </c>
    </row>
    <row r="4928" spans="1:21" x14ac:dyDescent="0.35">
      <c r="U4928">
        <v>-67.543499999999995</v>
      </c>
    </row>
    <row r="4929" spans="1:21" x14ac:dyDescent="0.35">
      <c r="A4929" s="1"/>
      <c r="U4929">
        <v>9.3312000000000008</v>
      </c>
    </row>
    <row r="4930" spans="1:21" x14ac:dyDescent="0.35">
      <c r="A4930" s="1"/>
      <c r="U4930">
        <v>251.202</v>
      </c>
    </row>
    <row r="4931" spans="1:21" x14ac:dyDescent="0.35">
      <c r="A4931" s="1"/>
      <c r="U4931">
        <v>16.170000000000002</v>
      </c>
    </row>
    <row r="4932" spans="1:21" x14ac:dyDescent="0.35">
      <c r="A4932" s="1"/>
      <c r="U4932">
        <v>7.0217999999999998</v>
      </c>
    </row>
    <row r="4933" spans="1:21" x14ac:dyDescent="0.35">
      <c r="U4933">
        <v>6.93</v>
      </c>
    </row>
    <row r="4934" spans="1:21" x14ac:dyDescent="0.35">
      <c r="U4934">
        <v>4.2309000000000001</v>
      </c>
    </row>
    <row r="4935" spans="1:21" x14ac:dyDescent="0.35">
      <c r="U4935">
        <v>-0.79200000000000004</v>
      </c>
    </row>
    <row r="4936" spans="1:21" x14ac:dyDescent="0.35">
      <c r="U4936">
        <v>0.84599999999999997</v>
      </c>
    </row>
    <row r="4937" spans="1:21" x14ac:dyDescent="0.35">
      <c r="U4937">
        <v>1.6776</v>
      </c>
    </row>
    <row r="4938" spans="1:21" x14ac:dyDescent="0.35">
      <c r="A4938" s="1"/>
      <c r="U4938">
        <v>15.5204</v>
      </c>
    </row>
    <row r="4939" spans="1:21" x14ac:dyDescent="0.35">
      <c r="U4939">
        <v>238.65299999999999</v>
      </c>
    </row>
    <row r="4940" spans="1:21" x14ac:dyDescent="0.35">
      <c r="U4940">
        <v>3.9293999999999998</v>
      </c>
    </row>
    <row r="4941" spans="1:21" x14ac:dyDescent="0.35">
      <c r="U4941">
        <v>6.5670000000000002</v>
      </c>
    </row>
    <row r="4942" spans="1:21" x14ac:dyDescent="0.35">
      <c r="A4942" s="1"/>
      <c r="U4942">
        <v>266.4522</v>
      </c>
    </row>
    <row r="4943" spans="1:21" x14ac:dyDescent="0.35">
      <c r="A4943" s="1"/>
      <c r="U4943">
        <v>82.336799999999997</v>
      </c>
    </row>
    <row r="4944" spans="1:21" x14ac:dyDescent="0.35">
      <c r="A4944" s="1"/>
      <c r="U4944">
        <v>1.7607999999999999</v>
      </c>
    </row>
    <row r="4945" spans="1:21" x14ac:dyDescent="0.35">
      <c r="U4945">
        <v>18.766999999999999</v>
      </c>
    </row>
    <row r="4946" spans="1:21" x14ac:dyDescent="0.35">
      <c r="A4946" s="1"/>
      <c r="U4946">
        <v>46.118400000000001</v>
      </c>
    </row>
    <row r="4947" spans="1:21" x14ac:dyDescent="0.35">
      <c r="A4947" s="1"/>
      <c r="U4947">
        <v>3.9420000000000002</v>
      </c>
    </row>
    <row r="4948" spans="1:21" x14ac:dyDescent="0.35">
      <c r="A4948" s="1"/>
      <c r="U4948">
        <v>1.7876000000000001</v>
      </c>
    </row>
    <row r="4949" spans="1:21" x14ac:dyDescent="0.35">
      <c r="A4949" s="1"/>
      <c r="U4949">
        <v>13.742800000000001</v>
      </c>
    </row>
    <row r="4950" spans="1:21" x14ac:dyDescent="0.35">
      <c r="U4950">
        <v>41.120800000000003</v>
      </c>
    </row>
    <row r="4951" spans="1:21" x14ac:dyDescent="0.35">
      <c r="U4951">
        <v>6.0288000000000004</v>
      </c>
    </row>
    <row r="4952" spans="1:21" x14ac:dyDescent="0.35">
      <c r="U4952">
        <v>5.2164000000000001</v>
      </c>
    </row>
    <row r="4953" spans="1:21" x14ac:dyDescent="0.35">
      <c r="A4953" s="1"/>
      <c r="U4953">
        <v>6.2207999999999997</v>
      </c>
    </row>
    <row r="4954" spans="1:21" x14ac:dyDescent="0.35">
      <c r="A4954" s="1"/>
      <c r="U4954">
        <v>20.844000000000001</v>
      </c>
    </row>
    <row r="4955" spans="1:21" x14ac:dyDescent="0.35">
      <c r="U4955">
        <v>2.577</v>
      </c>
    </row>
    <row r="4956" spans="1:21" x14ac:dyDescent="0.35">
      <c r="A4956" s="1"/>
      <c r="U4956">
        <v>4.6955999999999998</v>
      </c>
    </row>
    <row r="4957" spans="1:21" x14ac:dyDescent="0.35">
      <c r="A4957" s="1"/>
      <c r="U4957">
        <v>36.404400000000003</v>
      </c>
    </row>
    <row r="4958" spans="1:21" x14ac:dyDescent="0.35">
      <c r="A4958" s="1"/>
      <c r="U4958">
        <v>14.212</v>
      </c>
    </row>
    <row r="4959" spans="1:21" x14ac:dyDescent="0.35">
      <c r="U4959">
        <v>-4.3959999999999999</v>
      </c>
    </row>
    <row r="4960" spans="1:21" x14ac:dyDescent="0.35">
      <c r="U4960">
        <v>6.1307999999999998</v>
      </c>
    </row>
    <row r="4961" spans="1:21" x14ac:dyDescent="0.35">
      <c r="U4961">
        <v>6.1192000000000002</v>
      </c>
    </row>
    <row r="4962" spans="1:21" x14ac:dyDescent="0.35">
      <c r="U4962">
        <v>18.316800000000001</v>
      </c>
    </row>
    <row r="4963" spans="1:21" x14ac:dyDescent="0.35">
      <c r="A4963" s="1"/>
      <c r="U4963">
        <v>5.4801000000000002</v>
      </c>
    </row>
    <row r="4964" spans="1:21" x14ac:dyDescent="0.35">
      <c r="A4964" s="1"/>
      <c r="U4964">
        <v>4.6643999999999997</v>
      </c>
    </row>
    <row r="4965" spans="1:21" x14ac:dyDescent="0.35">
      <c r="A4965" s="1"/>
      <c r="U4965">
        <v>4.8587999999999996</v>
      </c>
    </row>
    <row r="4966" spans="1:21" x14ac:dyDescent="0.35">
      <c r="U4966">
        <v>-5.1760000000000002</v>
      </c>
    </row>
    <row r="4967" spans="1:21" x14ac:dyDescent="0.35">
      <c r="U4967">
        <v>58.38</v>
      </c>
    </row>
    <row r="4968" spans="1:21" x14ac:dyDescent="0.35">
      <c r="A4968" s="1"/>
      <c r="U4968">
        <v>3.8654999999999999</v>
      </c>
    </row>
    <row r="4969" spans="1:21" x14ac:dyDescent="0.35">
      <c r="A4969" s="1"/>
      <c r="U4969">
        <v>4.1159999999999997</v>
      </c>
    </row>
    <row r="4970" spans="1:21" x14ac:dyDescent="0.35">
      <c r="A4970" s="1"/>
      <c r="U4970">
        <v>83.991600000000005</v>
      </c>
    </row>
    <row r="4971" spans="1:21" x14ac:dyDescent="0.35">
      <c r="A4971" s="1"/>
      <c r="U4971">
        <v>15.5372</v>
      </c>
    </row>
    <row r="4972" spans="1:21" x14ac:dyDescent="0.35">
      <c r="A4972" s="1"/>
      <c r="U4972">
        <v>-28.597799999999999</v>
      </c>
    </row>
    <row r="4973" spans="1:21" x14ac:dyDescent="0.35">
      <c r="A4973" s="1"/>
      <c r="U4973">
        <v>12.639200000000001</v>
      </c>
    </row>
    <row r="4974" spans="1:21" x14ac:dyDescent="0.35">
      <c r="A4974" s="1"/>
      <c r="U4974">
        <v>5.7797999999999998</v>
      </c>
    </row>
    <row r="4975" spans="1:21" x14ac:dyDescent="0.35">
      <c r="A4975" s="1"/>
      <c r="U4975">
        <v>31.0688</v>
      </c>
    </row>
    <row r="4976" spans="1:21" x14ac:dyDescent="0.35">
      <c r="A4976" s="1"/>
      <c r="U4976">
        <v>6.3209999999999997</v>
      </c>
    </row>
    <row r="4977" spans="1:21" x14ac:dyDescent="0.35">
      <c r="U4977">
        <v>152.38800000000001</v>
      </c>
    </row>
    <row r="4978" spans="1:21" x14ac:dyDescent="0.35">
      <c r="A4978" s="1"/>
      <c r="U4978">
        <v>7.2089999999999996</v>
      </c>
    </row>
    <row r="4979" spans="1:21" x14ac:dyDescent="0.35">
      <c r="A4979" s="1"/>
      <c r="U4979">
        <v>2.3408000000000002</v>
      </c>
    </row>
    <row r="4980" spans="1:21" x14ac:dyDescent="0.35">
      <c r="A4980" s="1"/>
      <c r="U4980">
        <v>224.4426</v>
      </c>
    </row>
    <row r="4981" spans="1:21" x14ac:dyDescent="0.35">
      <c r="A4981" s="1"/>
      <c r="U4981">
        <v>1.5426</v>
      </c>
    </row>
    <row r="4982" spans="1:21" x14ac:dyDescent="0.35">
      <c r="A4982" s="1"/>
      <c r="U4982">
        <v>-11.761200000000001</v>
      </c>
    </row>
    <row r="4983" spans="1:21" x14ac:dyDescent="0.35">
      <c r="A4983" s="1"/>
      <c r="U4983">
        <v>-1.4279999999999999</v>
      </c>
    </row>
    <row r="4984" spans="1:21" x14ac:dyDescent="0.35">
      <c r="U4984">
        <v>2.4011999999999998</v>
      </c>
    </row>
    <row r="4985" spans="1:21" x14ac:dyDescent="0.35">
      <c r="A4985" s="1"/>
      <c r="U4985">
        <v>22.9068</v>
      </c>
    </row>
    <row r="4986" spans="1:21" x14ac:dyDescent="0.35">
      <c r="A4986" s="1"/>
      <c r="U4986">
        <v>1.1765000000000001</v>
      </c>
    </row>
    <row r="4987" spans="1:21" x14ac:dyDescent="0.35">
      <c r="A4987" s="1"/>
      <c r="U4987">
        <v>7.056</v>
      </c>
    </row>
    <row r="4988" spans="1:21" x14ac:dyDescent="0.35">
      <c r="U4988">
        <v>5.4432</v>
      </c>
    </row>
    <row r="4989" spans="1:21" x14ac:dyDescent="0.35">
      <c r="U4989">
        <v>149.148</v>
      </c>
    </row>
    <row r="4990" spans="1:21" x14ac:dyDescent="0.35">
      <c r="U4990">
        <v>-2.1756000000000002</v>
      </c>
    </row>
    <row r="4991" spans="1:21" x14ac:dyDescent="0.35">
      <c r="U4991">
        <v>2.1684000000000001</v>
      </c>
    </row>
    <row r="4992" spans="1:21" x14ac:dyDescent="0.35">
      <c r="U4992">
        <v>77.558400000000006</v>
      </c>
    </row>
    <row r="4993" spans="1:21" x14ac:dyDescent="0.35">
      <c r="A4993" s="1"/>
      <c r="U4993">
        <v>-2929.4845</v>
      </c>
    </row>
    <row r="4994" spans="1:21" x14ac:dyDescent="0.35">
      <c r="U4994">
        <v>18.878399999999999</v>
      </c>
    </row>
    <row r="4995" spans="1:21" x14ac:dyDescent="0.35">
      <c r="U4995">
        <v>5.9904000000000002</v>
      </c>
    </row>
    <row r="4996" spans="1:21" x14ac:dyDescent="0.35">
      <c r="U4996">
        <v>3.556</v>
      </c>
    </row>
    <row r="4997" spans="1:21" x14ac:dyDescent="0.35">
      <c r="A4997" s="1"/>
      <c r="U4997">
        <v>18.873200000000001</v>
      </c>
    </row>
    <row r="4998" spans="1:21" x14ac:dyDescent="0.35">
      <c r="A4998" s="1"/>
      <c r="U4998">
        <v>3.6587999999999998</v>
      </c>
    </row>
    <row r="4999" spans="1:21" x14ac:dyDescent="0.35">
      <c r="A4999" s="1"/>
      <c r="U4999">
        <v>-10.0372</v>
      </c>
    </row>
    <row r="5000" spans="1:21" x14ac:dyDescent="0.35">
      <c r="U5000">
        <v>8.2194000000000003</v>
      </c>
    </row>
    <row r="5001" spans="1:21" x14ac:dyDescent="0.35">
      <c r="U5001">
        <v>27.783000000000001</v>
      </c>
    </row>
    <row r="5002" spans="1:21" x14ac:dyDescent="0.35">
      <c r="A5002" s="1"/>
      <c r="U5002">
        <v>28.796399999999998</v>
      </c>
    </row>
    <row r="5003" spans="1:21" x14ac:dyDescent="0.35">
      <c r="U5003">
        <v>20.155000000000001</v>
      </c>
    </row>
    <row r="5004" spans="1:21" x14ac:dyDescent="0.35">
      <c r="U5004">
        <v>91.968000000000004</v>
      </c>
    </row>
    <row r="5005" spans="1:21" x14ac:dyDescent="0.35">
      <c r="A5005" s="1"/>
      <c r="U5005">
        <v>5.0688000000000004</v>
      </c>
    </row>
    <row r="5006" spans="1:21" x14ac:dyDescent="0.35">
      <c r="U5006">
        <v>16.2486</v>
      </c>
    </row>
    <row r="5007" spans="1:21" x14ac:dyDescent="0.35">
      <c r="A5007" s="1"/>
      <c r="U5007">
        <v>207.14699999999999</v>
      </c>
    </row>
    <row r="5008" spans="1:21" x14ac:dyDescent="0.35">
      <c r="A5008" s="1"/>
      <c r="U5008">
        <v>1114.5119999999999</v>
      </c>
    </row>
    <row r="5009" spans="1:21" x14ac:dyDescent="0.35">
      <c r="A5009" s="1"/>
      <c r="U5009">
        <v>3.0497999999999998</v>
      </c>
    </row>
    <row r="5010" spans="1:21" x14ac:dyDescent="0.35">
      <c r="A5010" s="1"/>
      <c r="U5010">
        <v>-6.9828000000000001</v>
      </c>
    </row>
    <row r="5011" spans="1:21" x14ac:dyDescent="0.35">
      <c r="A5011" s="1"/>
      <c r="U5011">
        <v>-131.994</v>
      </c>
    </row>
    <row r="5012" spans="1:21" x14ac:dyDescent="0.35">
      <c r="A5012" s="1"/>
      <c r="U5012">
        <v>-3.9384000000000001</v>
      </c>
    </row>
    <row r="5013" spans="1:21" x14ac:dyDescent="0.35">
      <c r="A5013" s="1"/>
      <c r="U5013">
        <v>-356.96429999999998</v>
      </c>
    </row>
    <row r="5014" spans="1:21" x14ac:dyDescent="0.35">
      <c r="U5014">
        <v>-22.62</v>
      </c>
    </row>
    <row r="5015" spans="1:21" x14ac:dyDescent="0.35">
      <c r="U5015">
        <v>25.010999999999999</v>
      </c>
    </row>
    <row r="5016" spans="1:21" x14ac:dyDescent="0.35">
      <c r="U5016">
        <v>-52.640999999999998</v>
      </c>
    </row>
    <row r="5017" spans="1:21" x14ac:dyDescent="0.35">
      <c r="U5017">
        <v>9.6712000000000007</v>
      </c>
    </row>
    <row r="5018" spans="1:21" x14ac:dyDescent="0.35">
      <c r="U5018">
        <v>-250.39599999999999</v>
      </c>
    </row>
    <row r="5019" spans="1:21" x14ac:dyDescent="0.35">
      <c r="U5019">
        <v>3.2351999999999999</v>
      </c>
    </row>
    <row r="5020" spans="1:21" x14ac:dyDescent="0.35">
      <c r="U5020">
        <v>146.76929999999999</v>
      </c>
    </row>
    <row r="5021" spans="1:21" x14ac:dyDescent="0.35">
      <c r="U5021">
        <v>5.3196000000000003</v>
      </c>
    </row>
    <row r="5022" spans="1:21" x14ac:dyDescent="0.35">
      <c r="U5022">
        <v>17.379000000000001</v>
      </c>
    </row>
    <row r="5023" spans="1:21" x14ac:dyDescent="0.35">
      <c r="U5023">
        <v>21.792000000000002</v>
      </c>
    </row>
    <row r="5024" spans="1:21" x14ac:dyDescent="0.35">
      <c r="U5024">
        <v>146.76929999999999</v>
      </c>
    </row>
    <row r="5025" spans="1:21" x14ac:dyDescent="0.35">
      <c r="U5025">
        <v>11.1776</v>
      </c>
    </row>
    <row r="5026" spans="1:21" x14ac:dyDescent="0.35">
      <c r="U5026">
        <v>16.405200000000001</v>
      </c>
    </row>
    <row r="5027" spans="1:21" x14ac:dyDescent="0.35">
      <c r="U5027">
        <v>133.97130000000001</v>
      </c>
    </row>
    <row r="5028" spans="1:21" x14ac:dyDescent="0.35">
      <c r="U5028">
        <v>60.552799999999998</v>
      </c>
    </row>
    <row r="5029" spans="1:21" x14ac:dyDescent="0.35">
      <c r="U5029">
        <v>72.640799999999999</v>
      </c>
    </row>
    <row r="5030" spans="1:21" x14ac:dyDescent="0.35">
      <c r="A5030" s="1"/>
      <c r="U5030">
        <v>53.994599999999998</v>
      </c>
    </row>
    <row r="5031" spans="1:21" x14ac:dyDescent="0.35">
      <c r="U5031">
        <v>2.1684000000000001</v>
      </c>
    </row>
    <row r="5032" spans="1:21" x14ac:dyDescent="0.35">
      <c r="U5032">
        <v>2.2282000000000002</v>
      </c>
    </row>
    <row r="5033" spans="1:21" x14ac:dyDescent="0.35">
      <c r="U5033">
        <v>40.370399999999997</v>
      </c>
    </row>
    <row r="5034" spans="1:21" x14ac:dyDescent="0.35">
      <c r="U5034">
        <v>25.552800000000001</v>
      </c>
    </row>
    <row r="5035" spans="1:21" x14ac:dyDescent="0.35">
      <c r="U5035">
        <v>7.4172000000000002</v>
      </c>
    </row>
    <row r="5036" spans="1:21" x14ac:dyDescent="0.35">
      <c r="A5036" s="1"/>
      <c r="U5036">
        <v>48.118000000000002</v>
      </c>
    </row>
    <row r="5037" spans="1:21" x14ac:dyDescent="0.35">
      <c r="A5037" s="1"/>
      <c r="U5037">
        <v>111.1035</v>
      </c>
    </row>
    <row r="5038" spans="1:21" x14ac:dyDescent="0.35">
      <c r="A5038" s="1"/>
      <c r="U5038">
        <v>2.0339999999999998</v>
      </c>
    </row>
    <row r="5039" spans="1:21" x14ac:dyDescent="0.35">
      <c r="U5039">
        <v>83.986000000000004</v>
      </c>
    </row>
    <row r="5040" spans="1:21" x14ac:dyDescent="0.35">
      <c r="A5040" s="1"/>
      <c r="U5040">
        <v>-37.112400000000001</v>
      </c>
    </row>
    <row r="5041" spans="1:21" x14ac:dyDescent="0.35">
      <c r="A5041" s="1"/>
      <c r="U5041">
        <v>193.32</v>
      </c>
    </row>
    <row r="5042" spans="1:21" x14ac:dyDescent="0.35">
      <c r="A5042" s="1"/>
      <c r="U5042">
        <v>103.8982</v>
      </c>
    </row>
    <row r="5043" spans="1:21" x14ac:dyDescent="0.35">
      <c r="A5043" s="1"/>
      <c r="U5043">
        <v>32.500799999999998</v>
      </c>
    </row>
    <row r="5044" spans="1:21" x14ac:dyDescent="0.35">
      <c r="A5044" s="1"/>
      <c r="U5044">
        <v>38.975999999999999</v>
      </c>
    </row>
    <row r="5045" spans="1:21" x14ac:dyDescent="0.35">
      <c r="A5045" s="1"/>
      <c r="U5045">
        <v>191.65860000000001</v>
      </c>
    </row>
    <row r="5046" spans="1:21" x14ac:dyDescent="0.35">
      <c r="A5046" s="1"/>
      <c r="U5046">
        <v>28.858000000000001</v>
      </c>
    </row>
    <row r="5047" spans="1:21" x14ac:dyDescent="0.35">
      <c r="A5047" s="1"/>
      <c r="U5047">
        <v>187.39760000000001</v>
      </c>
    </row>
    <row r="5048" spans="1:21" x14ac:dyDescent="0.35">
      <c r="A5048" s="1"/>
      <c r="U5048">
        <v>1.8144</v>
      </c>
    </row>
    <row r="5049" spans="1:21" x14ac:dyDescent="0.35">
      <c r="A5049" s="1"/>
      <c r="U5049">
        <v>3.9689999999999999</v>
      </c>
    </row>
    <row r="5050" spans="1:21" x14ac:dyDescent="0.35">
      <c r="U5050">
        <v>-13.8278</v>
      </c>
    </row>
    <row r="5051" spans="1:21" x14ac:dyDescent="0.35">
      <c r="U5051">
        <v>13.997199999999999</v>
      </c>
    </row>
    <row r="5052" spans="1:21" x14ac:dyDescent="0.35">
      <c r="U5052">
        <v>8.7138000000000009</v>
      </c>
    </row>
    <row r="5053" spans="1:21" x14ac:dyDescent="0.35">
      <c r="A5053" s="1"/>
      <c r="U5053">
        <v>7.93</v>
      </c>
    </row>
    <row r="5054" spans="1:21" x14ac:dyDescent="0.35">
      <c r="U5054">
        <v>91.950800000000001</v>
      </c>
    </row>
    <row r="5055" spans="1:21" x14ac:dyDescent="0.35">
      <c r="A5055" s="1"/>
      <c r="U5055">
        <v>84.66</v>
      </c>
    </row>
    <row r="5056" spans="1:21" x14ac:dyDescent="0.35">
      <c r="A5056" s="1"/>
      <c r="U5056">
        <v>0.79379999999999995</v>
      </c>
    </row>
    <row r="5057" spans="1:21" x14ac:dyDescent="0.35">
      <c r="A5057" s="1"/>
      <c r="U5057">
        <v>-437.54039999999998</v>
      </c>
    </row>
    <row r="5058" spans="1:21" x14ac:dyDescent="0.35">
      <c r="A5058" s="1"/>
      <c r="U5058">
        <v>11.88</v>
      </c>
    </row>
    <row r="5059" spans="1:21" x14ac:dyDescent="0.35">
      <c r="A5059" s="1"/>
      <c r="U5059">
        <v>0.83760000000000001</v>
      </c>
    </row>
    <row r="5060" spans="1:21" x14ac:dyDescent="0.35">
      <c r="A5060" s="1"/>
      <c r="U5060">
        <v>-83.204999999999998</v>
      </c>
    </row>
    <row r="5061" spans="1:21" x14ac:dyDescent="0.35">
      <c r="A5061" s="1"/>
      <c r="U5061">
        <v>195.99440000000001</v>
      </c>
    </row>
    <row r="5062" spans="1:21" x14ac:dyDescent="0.35">
      <c r="A5062" s="1"/>
      <c r="U5062">
        <v>70.178399999999996</v>
      </c>
    </row>
    <row r="5063" spans="1:21" x14ac:dyDescent="0.35">
      <c r="A5063" s="1"/>
      <c r="U5063">
        <v>21.99</v>
      </c>
    </row>
    <row r="5064" spans="1:21" x14ac:dyDescent="0.35">
      <c r="A5064" s="1"/>
      <c r="U5064">
        <v>105.83159999999999</v>
      </c>
    </row>
    <row r="5065" spans="1:21" x14ac:dyDescent="0.35">
      <c r="A5065" s="1"/>
      <c r="U5065">
        <v>11.1564</v>
      </c>
    </row>
    <row r="5066" spans="1:21" x14ac:dyDescent="0.35">
      <c r="U5066">
        <v>113.6742</v>
      </c>
    </row>
    <row r="5067" spans="1:21" x14ac:dyDescent="0.35">
      <c r="U5067">
        <v>81.594899999999996</v>
      </c>
    </row>
    <row r="5068" spans="1:21" x14ac:dyDescent="0.35">
      <c r="U5068">
        <v>-653.28340000000003</v>
      </c>
    </row>
    <row r="5069" spans="1:21" x14ac:dyDescent="0.35">
      <c r="U5069">
        <v>6.2060000000000004</v>
      </c>
    </row>
    <row r="5070" spans="1:21" x14ac:dyDescent="0.35">
      <c r="A5070" s="1"/>
      <c r="U5070">
        <v>274.995</v>
      </c>
    </row>
    <row r="5071" spans="1:21" x14ac:dyDescent="0.35">
      <c r="A5071" s="1"/>
      <c r="U5071">
        <v>37.229999999999997</v>
      </c>
    </row>
    <row r="5072" spans="1:21" x14ac:dyDescent="0.35">
      <c r="A5072" s="1"/>
      <c r="U5072">
        <v>17.253</v>
      </c>
    </row>
    <row r="5073" spans="1:21" x14ac:dyDescent="0.35">
      <c r="A5073" s="1"/>
      <c r="U5073">
        <v>22.6296</v>
      </c>
    </row>
    <row r="5074" spans="1:21" x14ac:dyDescent="0.35">
      <c r="A5074" s="1"/>
      <c r="U5074">
        <v>83.994399999999999</v>
      </c>
    </row>
    <row r="5075" spans="1:21" x14ac:dyDescent="0.35">
      <c r="A5075" s="1"/>
      <c r="U5075">
        <v>15.7</v>
      </c>
    </row>
    <row r="5076" spans="1:21" x14ac:dyDescent="0.35">
      <c r="U5076">
        <v>4.5187999999999997</v>
      </c>
    </row>
    <row r="5077" spans="1:21" x14ac:dyDescent="0.35">
      <c r="U5077">
        <v>-95.67</v>
      </c>
    </row>
    <row r="5078" spans="1:21" x14ac:dyDescent="0.35">
      <c r="U5078">
        <v>5.6050000000000004</v>
      </c>
    </row>
    <row r="5079" spans="1:21" x14ac:dyDescent="0.35">
      <c r="U5079">
        <v>-131.95099999999999</v>
      </c>
    </row>
    <row r="5080" spans="1:21" x14ac:dyDescent="0.35">
      <c r="A5080" s="1"/>
      <c r="U5080">
        <v>8.5728000000000009</v>
      </c>
    </row>
    <row r="5081" spans="1:21" x14ac:dyDescent="0.35">
      <c r="U5081">
        <v>-29.605799999999999</v>
      </c>
    </row>
    <row r="5082" spans="1:21" x14ac:dyDescent="0.35">
      <c r="U5082">
        <v>2.8296000000000001</v>
      </c>
    </row>
    <row r="5083" spans="1:21" x14ac:dyDescent="0.35">
      <c r="U5083">
        <v>7.2576000000000001</v>
      </c>
    </row>
    <row r="5084" spans="1:21" x14ac:dyDescent="0.35">
      <c r="A5084" s="1"/>
      <c r="U5084">
        <v>8.3523999999999994</v>
      </c>
    </row>
    <row r="5085" spans="1:21" x14ac:dyDescent="0.35">
      <c r="A5085" s="1"/>
      <c r="U5085">
        <v>23.455200000000001</v>
      </c>
    </row>
    <row r="5086" spans="1:21" x14ac:dyDescent="0.35">
      <c r="A5086" s="1"/>
      <c r="U5086">
        <v>48.539200000000001</v>
      </c>
    </row>
    <row r="5087" spans="1:21" x14ac:dyDescent="0.35">
      <c r="U5087">
        <v>-9.5568000000000008</v>
      </c>
    </row>
    <row r="5088" spans="1:21" x14ac:dyDescent="0.35">
      <c r="A5088" s="1"/>
      <c r="U5088">
        <v>-93.2316</v>
      </c>
    </row>
    <row r="5089" spans="1:21" x14ac:dyDescent="0.35">
      <c r="A5089" s="1"/>
      <c r="U5089">
        <v>-1.2889999999999999</v>
      </c>
    </row>
    <row r="5090" spans="1:21" x14ac:dyDescent="0.35">
      <c r="A5090" s="1"/>
      <c r="U5090">
        <v>-1.7891999999999999</v>
      </c>
    </row>
    <row r="5091" spans="1:21" x14ac:dyDescent="0.35">
      <c r="A5091" s="1"/>
      <c r="U5091">
        <v>2.8883999999999999</v>
      </c>
    </row>
    <row r="5092" spans="1:21" x14ac:dyDescent="0.35">
      <c r="A5092" s="1"/>
      <c r="U5092">
        <v>3.1842000000000001</v>
      </c>
    </row>
    <row r="5093" spans="1:21" x14ac:dyDescent="0.35">
      <c r="U5093">
        <v>-0.6048</v>
      </c>
    </row>
    <row r="5094" spans="1:21" x14ac:dyDescent="0.35">
      <c r="U5094">
        <v>13.891500000000001</v>
      </c>
    </row>
    <row r="5095" spans="1:21" x14ac:dyDescent="0.35">
      <c r="A5095" s="1"/>
      <c r="U5095">
        <v>-31.536000000000001</v>
      </c>
    </row>
    <row r="5096" spans="1:21" x14ac:dyDescent="0.35">
      <c r="A5096" s="1"/>
      <c r="U5096">
        <v>-120.372</v>
      </c>
    </row>
    <row r="5097" spans="1:21" x14ac:dyDescent="0.35">
      <c r="A5097" s="1"/>
      <c r="U5097">
        <v>-7.008</v>
      </c>
    </row>
    <row r="5098" spans="1:21" x14ac:dyDescent="0.35">
      <c r="A5098" s="1"/>
      <c r="U5098">
        <v>-4.8491999999999997</v>
      </c>
    </row>
    <row r="5099" spans="1:21" x14ac:dyDescent="0.35">
      <c r="A5099" s="1"/>
      <c r="U5099">
        <v>-8.0500000000000007</v>
      </c>
    </row>
    <row r="5100" spans="1:21" x14ac:dyDescent="0.35">
      <c r="A5100" s="1"/>
      <c r="U5100">
        <v>-8.3523999999999994</v>
      </c>
    </row>
    <row r="5101" spans="1:21" x14ac:dyDescent="0.35">
      <c r="A5101" s="1"/>
      <c r="U5101">
        <v>6.4638</v>
      </c>
    </row>
    <row r="5102" spans="1:21" x14ac:dyDescent="0.35">
      <c r="U5102">
        <v>0.33360000000000001</v>
      </c>
    </row>
    <row r="5103" spans="1:21" x14ac:dyDescent="0.35">
      <c r="U5103">
        <v>1.8792</v>
      </c>
    </row>
    <row r="5104" spans="1:21" x14ac:dyDescent="0.35">
      <c r="U5104">
        <v>5.4432</v>
      </c>
    </row>
    <row r="5105" spans="1:21" x14ac:dyDescent="0.35">
      <c r="U5105">
        <v>12.51</v>
      </c>
    </row>
    <row r="5106" spans="1:21" x14ac:dyDescent="0.35">
      <c r="U5106">
        <v>5.0327999999999999</v>
      </c>
    </row>
    <row r="5107" spans="1:21" x14ac:dyDescent="0.35">
      <c r="U5107">
        <v>13.972799999999999</v>
      </c>
    </row>
    <row r="5108" spans="1:21" x14ac:dyDescent="0.35">
      <c r="U5108">
        <v>23.225999999999999</v>
      </c>
    </row>
    <row r="5109" spans="1:21" x14ac:dyDescent="0.35">
      <c r="U5109">
        <v>5.2560000000000002</v>
      </c>
    </row>
    <row r="5110" spans="1:21" x14ac:dyDescent="0.35">
      <c r="U5110">
        <v>6.7919999999999998</v>
      </c>
    </row>
    <row r="5111" spans="1:21" x14ac:dyDescent="0.35">
      <c r="U5111">
        <v>19.692</v>
      </c>
    </row>
    <row r="5112" spans="1:21" x14ac:dyDescent="0.35">
      <c r="U5112">
        <v>-35.045999999999999</v>
      </c>
    </row>
    <row r="5113" spans="1:21" x14ac:dyDescent="0.35">
      <c r="U5113">
        <v>3.14</v>
      </c>
    </row>
    <row r="5114" spans="1:21" x14ac:dyDescent="0.35">
      <c r="U5114">
        <v>-7.4358000000000004</v>
      </c>
    </row>
    <row r="5115" spans="1:21" x14ac:dyDescent="0.35">
      <c r="U5115">
        <v>5.4432</v>
      </c>
    </row>
    <row r="5116" spans="1:21" x14ac:dyDescent="0.35">
      <c r="U5116">
        <v>3.3675000000000002</v>
      </c>
    </row>
    <row r="5117" spans="1:21" x14ac:dyDescent="0.35">
      <c r="U5117">
        <v>1.0738000000000001</v>
      </c>
    </row>
    <row r="5118" spans="1:21" x14ac:dyDescent="0.35">
      <c r="A5118" s="1"/>
      <c r="U5118">
        <v>0</v>
      </c>
    </row>
    <row r="5119" spans="1:21" x14ac:dyDescent="0.35">
      <c r="U5119">
        <v>16.186800000000002</v>
      </c>
    </row>
    <row r="5120" spans="1:21" x14ac:dyDescent="0.35">
      <c r="U5120">
        <v>296.06709999999998</v>
      </c>
    </row>
    <row r="5121" spans="1:21" x14ac:dyDescent="0.35">
      <c r="U5121">
        <v>28.657800000000002</v>
      </c>
    </row>
    <row r="5122" spans="1:21" x14ac:dyDescent="0.35">
      <c r="A5122" s="1"/>
      <c r="U5122">
        <v>9.3019999999999996</v>
      </c>
    </row>
    <row r="5123" spans="1:21" x14ac:dyDescent="0.35">
      <c r="A5123" s="1"/>
      <c r="U5123">
        <v>42.991399999999999</v>
      </c>
    </row>
    <row r="5124" spans="1:21" x14ac:dyDescent="0.35">
      <c r="A5124" s="1"/>
      <c r="U5124">
        <v>9.3312000000000008</v>
      </c>
    </row>
    <row r="5125" spans="1:21" x14ac:dyDescent="0.35">
      <c r="A5125" s="1"/>
      <c r="U5125">
        <v>6.3503999999999996</v>
      </c>
    </row>
    <row r="5126" spans="1:21" x14ac:dyDescent="0.35">
      <c r="U5126">
        <v>-108.3348</v>
      </c>
    </row>
    <row r="5127" spans="1:21" x14ac:dyDescent="0.35">
      <c r="U5127">
        <v>31.491599999999998</v>
      </c>
    </row>
    <row r="5128" spans="1:21" x14ac:dyDescent="0.35">
      <c r="U5128">
        <v>1371.9803999999999</v>
      </c>
    </row>
    <row r="5129" spans="1:21" x14ac:dyDescent="0.35">
      <c r="U5129">
        <v>198.429</v>
      </c>
    </row>
    <row r="5130" spans="1:21" x14ac:dyDescent="0.35">
      <c r="U5130">
        <v>4.4173999999999998</v>
      </c>
    </row>
    <row r="5131" spans="1:21" x14ac:dyDescent="0.35">
      <c r="U5131">
        <v>80.631600000000006</v>
      </c>
    </row>
    <row r="5132" spans="1:21" x14ac:dyDescent="0.35">
      <c r="U5132">
        <v>21.0654</v>
      </c>
    </row>
    <row r="5133" spans="1:21" x14ac:dyDescent="0.35">
      <c r="U5133">
        <v>37.414400000000001</v>
      </c>
    </row>
    <row r="5134" spans="1:21" x14ac:dyDescent="0.35">
      <c r="U5134">
        <v>37.791600000000003</v>
      </c>
    </row>
    <row r="5135" spans="1:21" x14ac:dyDescent="0.35">
      <c r="U5135">
        <v>14.682499999999999</v>
      </c>
    </row>
    <row r="5136" spans="1:21" x14ac:dyDescent="0.35">
      <c r="U5136">
        <v>32.670400000000001</v>
      </c>
    </row>
    <row r="5137" spans="1:21" x14ac:dyDescent="0.35">
      <c r="U5137">
        <v>8.1839999999999993</v>
      </c>
    </row>
    <row r="5138" spans="1:21" x14ac:dyDescent="0.35">
      <c r="U5138">
        <v>2.7324000000000002</v>
      </c>
    </row>
    <row r="5139" spans="1:21" x14ac:dyDescent="0.35">
      <c r="U5139">
        <v>13.0548</v>
      </c>
    </row>
    <row r="5140" spans="1:21" x14ac:dyDescent="0.35">
      <c r="U5140">
        <v>10.969799999999999</v>
      </c>
    </row>
    <row r="5141" spans="1:21" x14ac:dyDescent="0.35">
      <c r="U5141">
        <v>24.2285</v>
      </c>
    </row>
    <row r="5142" spans="1:21" x14ac:dyDescent="0.35">
      <c r="A5142" s="1"/>
      <c r="U5142">
        <v>43.164000000000001</v>
      </c>
    </row>
    <row r="5143" spans="1:21" x14ac:dyDescent="0.35">
      <c r="A5143" s="1"/>
      <c r="U5143">
        <v>292.77600000000001</v>
      </c>
    </row>
    <row r="5144" spans="1:21" x14ac:dyDescent="0.35">
      <c r="A5144" s="1"/>
      <c r="U5144">
        <v>18.5136</v>
      </c>
    </row>
    <row r="5145" spans="1:21" x14ac:dyDescent="0.35">
      <c r="A5145" s="1"/>
      <c r="U5145">
        <v>1.1225000000000001</v>
      </c>
    </row>
    <row r="5146" spans="1:21" x14ac:dyDescent="0.35">
      <c r="A5146" s="1"/>
      <c r="U5146">
        <v>29.328399999999998</v>
      </c>
    </row>
    <row r="5147" spans="1:21" x14ac:dyDescent="0.35">
      <c r="A5147" s="1"/>
      <c r="U5147">
        <v>38.931199999999997</v>
      </c>
    </row>
    <row r="5148" spans="1:21" x14ac:dyDescent="0.35">
      <c r="A5148" s="1"/>
      <c r="U5148">
        <v>16.38</v>
      </c>
    </row>
    <row r="5149" spans="1:21" x14ac:dyDescent="0.35">
      <c r="U5149">
        <v>1.9224000000000001</v>
      </c>
    </row>
    <row r="5150" spans="1:21" x14ac:dyDescent="0.35">
      <c r="U5150">
        <v>105.297</v>
      </c>
    </row>
    <row r="5151" spans="1:21" x14ac:dyDescent="0.35">
      <c r="U5151">
        <v>352.30650000000003</v>
      </c>
    </row>
    <row r="5152" spans="1:21" x14ac:dyDescent="0.35">
      <c r="A5152" s="1"/>
      <c r="U5152">
        <v>16.945</v>
      </c>
    </row>
    <row r="5153" spans="1:21" x14ac:dyDescent="0.35">
      <c r="U5153">
        <v>10.374000000000001</v>
      </c>
    </row>
    <row r="5154" spans="1:21" x14ac:dyDescent="0.35">
      <c r="U5154">
        <v>0.84</v>
      </c>
    </row>
    <row r="5155" spans="1:21" x14ac:dyDescent="0.35">
      <c r="U5155">
        <v>2.9039999999999999</v>
      </c>
    </row>
    <row r="5156" spans="1:21" x14ac:dyDescent="0.35">
      <c r="A5156" s="1"/>
      <c r="U5156">
        <v>13.064</v>
      </c>
    </row>
    <row r="5157" spans="1:21" x14ac:dyDescent="0.35">
      <c r="A5157" s="1"/>
      <c r="U5157">
        <v>34.070399999999999</v>
      </c>
    </row>
    <row r="5158" spans="1:21" x14ac:dyDescent="0.35">
      <c r="U5158">
        <v>125.19799999999999</v>
      </c>
    </row>
    <row r="5159" spans="1:21" x14ac:dyDescent="0.35">
      <c r="U5159">
        <v>-178.8468</v>
      </c>
    </row>
    <row r="5160" spans="1:21" x14ac:dyDescent="0.35">
      <c r="U5160">
        <v>-10.3124</v>
      </c>
    </row>
    <row r="5161" spans="1:21" x14ac:dyDescent="0.35">
      <c r="U5161">
        <v>9.2385999999999999</v>
      </c>
    </row>
    <row r="5162" spans="1:21" x14ac:dyDescent="0.35">
      <c r="U5162">
        <v>-14.603</v>
      </c>
    </row>
    <row r="5163" spans="1:21" x14ac:dyDescent="0.35">
      <c r="U5163">
        <v>259.88959999999997</v>
      </c>
    </row>
    <row r="5164" spans="1:21" x14ac:dyDescent="0.35">
      <c r="U5164">
        <v>33.215600000000002</v>
      </c>
    </row>
    <row r="5165" spans="1:21" x14ac:dyDescent="0.35">
      <c r="A5165" s="1"/>
      <c r="U5165">
        <v>-17.0352</v>
      </c>
    </row>
    <row r="5166" spans="1:21" x14ac:dyDescent="0.35">
      <c r="A5166" s="1"/>
      <c r="U5166">
        <v>1.5209999999999999</v>
      </c>
    </row>
    <row r="5167" spans="1:21" x14ac:dyDescent="0.35">
      <c r="A5167" s="1"/>
      <c r="U5167">
        <v>5.7779999999999996</v>
      </c>
    </row>
    <row r="5168" spans="1:21" x14ac:dyDescent="0.35">
      <c r="A5168" s="1"/>
      <c r="U5168">
        <v>7.1280000000000001</v>
      </c>
    </row>
    <row r="5169" spans="1:21" x14ac:dyDescent="0.35">
      <c r="A5169" s="1"/>
      <c r="U5169">
        <v>112.788</v>
      </c>
    </row>
    <row r="5170" spans="1:21" x14ac:dyDescent="0.35">
      <c r="A5170" s="1"/>
      <c r="U5170">
        <v>11.958600000000001</v>
      </c>
    </row>
    <row r="5171" spans="1:21" x14ac:dyDescent="0.35">
      <c r="A5171" s="1"/>
      <c r="U5171">
        <v>160.62299999999999</v>
      </c>
    </row>
    <row r="5172" spans="1:21" x14ac:dyDescent="0.35">
      <c r="U5172">
        <v>700.98</v>
      </c>
    </row>
    <row r="5173" spans="1:21" x14ac:dyDescent="0.35">
      <c r="U5173">
        <v>69.177599999999998</v>
      </c>
    </row>
    <row r="5174" spans="1:21" x14ac:dyDescent="0.35">
      <c r="U5174">
        <v>150.98400000000001</v>
      </c>
    </row>
    <row r="5175" spans="1:21" x14ac:dyDescent="0.35">
      <c r="A5175" s="1"/>
      <c r="U5175">
        <v>0.89459999999999995</v>
      </c>
    </row>
    <row r="5176" spans="1:21" x14ac:dyDescent="0.35">
      <c r="U5176">
        <v>-3.5224000000000002</v>
      </c>
    </row>
    <row r="5177" spans="1:21" x14ac:dyDescent="0.35">
      <c r="U5177">
        <v>-91.758600000000001</v>
      </c>
    </row>
    <row r="5178" spans="1:21" x14ac:dyDescent="0.35">
      <c r="A5178" s="1"/>
      <c r="U5178">
        <v>19.968</v>
      </c>
    </row>
    <row r="5179" spans="1:21" x14ac:dyDescent="0.35">
      <c r="U5179">
        <v>1.6848000000000001</v>
      </c>
    </row>
    <row r="5180" spans="1:21" x14ac:dyDescent="0.35">
      <c r="U5180">
        <v>15.8256</v>
      </c>
    </row>
    <row r="5181" spans="1:21" x14ac:dyDescent="0.35">
      <c r="U5181">
        <v>19.3932</v>
      </c>
    </row>
    <row r="5182" spans="1:21" x14ac:dyDescent="0.35">
      <c r="U5182">
        <v>29.5776</v>
      </c>
    </row>
    <row r="5183" spans="1:21" x14ac:dyDescent="0.35">
      <c r="A5183" s="1"/>
      <c r="U5183">
        <v>21.7728</v>
      </c>
    </row>
    <row r="5184" spans="1:21" x14ac:dyDescent="0.35">
      <c r="A5184" s="1"/>
      <c r="U5184">
        <v>22.89</v>
      </c>
    </row>
    <row r="5185" spans="1:21" x14ac:dyDescent="0.35">
      <c r="U5185">
        <v>10.0725</v>
      </c>
    </row>
    <row r="5186" spans="1:21" x14ac:dyDescent="0.35">
      <c r="U5186">
        <v>17.8066</v>
      </c>
    </row>
    <row r="5187" spans="1:21" x14ac:dyDescent="0.35">
      <c r="A5187" s="1"/>
      <c r="U5187">
        <v>-337.80599999999998</v>
      </c>
    </row>
    <row r="5188" spans="1:21" x14ac:dyDescent="0.35">
      <c r="U5188">
        <v>-162.2296</v>
      </c>
    </row>
    <row r="5189" spans="1:21" x14ac:dyDescent="0.35">
      <c r="U5189">
        <v>15.9968</v>
      </c>
    </row>
    <row r="5190" spans="1:21" x14ac:dyDescent="0.35">
      <c r="U5190">
        <v>394.21199999999999</v>
      </c>
    </row>
    <row r="5191" spans="1:21" x14ac:dyDescent="0.35">
      <c r="U5191">
        <v>-27.292200000000001</v>
      </c>
    </row>
    <row r="5192" spans="1:21" x14ac:dyDescent="0.35">
      <c r="U5192">
        <v>4.5039999999999996</v>
      </c>
    </row>
    <row r="5193" spans="1:21" x14ac:dyDescent="0.35">
      <c r="A5193" s="1"/>
      <c r="U5193">
        <v>11.58</v>
      </c>
    </row>
    <row r="5194" spans="1:21" x14ac:dyDescent="0.35">
      <c r="U5194">
        <v>43.735999999999997</v>
      </c>
    </row>
    <row r="5195" spans="1:21" x14ac:dyDescent="0.35">
      <c r="U5195">
        <v>40.401200000000003</v>
      </c>
    </row>
    <row r="5196" spans="1:21" x14ac:dyDescent="0.35">
      <c r="U5196">
        <v>4.3296000000000001</v>
      </c>
    </row>
    <row r="5197" spans="1:21" x14ac:dyDescent="0.35">
      <c r="U5197">
        <v>22.3734</v>
      </c>
    </row>
    <row r="5198" spans="1:21" x14ac:dyDescent="0.35">
      <c r="A5198" s="1"/>
      <c r="U5198">
        <v>77.483699999999999</v>
      </c>
    </row>
    <row r="5199" spans="1:21" x14ac:dyDescent="0.35">
      <c r="A5199" s="1"/>
      <c r="U5199">
        <v>4.3600000000000003</v>
      </c>
    </row>
    <row r="5200" spans="1:21" x14ac:dyDescent="0.35">
      <c r="A5200" s="1"/>
      <c r="U5200">
        <v>-786.01440000000002</v>
      </c>
    </row>
    <row r="5201" spans="1:21" x14ac:dyDescent="0.35">
      <c r="A5201" s="1"/>
      <c r="U5201">
        <v>0.77759999999999996</v>
      </c>
    </row>
    <row r="5202" spans="1:21" x14ac:dyDescent="0.35">
      <c r="A5202" s="1"/>
      <c r="U5202">
        <v>32.398200000000003</v>
      </c>
    </row>
    <row r="5203" spans="1:21" x14ac:dyDescent="0.35">
      <c r="A5203" s="1"/>
      <c r="U5203">
        <v>5.7365000000000004</v>
      </c>
    </row>
    <row r="5204" spans="1:21" x14ac:dyDescent="0.35">
      <c r="U5204">
        <v>28.142099999999999</v>
      </c>
    </row>
    <row r="5205" spans="1:21" x14ac:dyDescent="0.35">
      <c r="U5205">
        <v>18.970199999999998</v>
      </c>
    </row>
    <row r="5206" spans="1:21" x14ac:dyDescent="0.35">
      <c r="A5206" s="1"/>
      <c r="U5206">
        <v>3.0558000000000001</v>
      </c>
    </row>
    <row r="5207" spans="1:21" x14ac:dyDescent="0.35">
      <c r="A5207" s="1"/>
      <c r="U5207">
        <v>4.2392000000000003</v>
      </c>
    </row>
    <row r="5208" spans="1:21" x14ac:dyDescent="0.35">
      <c r="A5208" s="1"/>
      <c r="U5208">
        <v>0.58279999999999998</v>
      </c>
    </row>
    <row r="5209" spans="1:21" x14ac:dyDescent="0.35">
      <c r="A5209" s="1"/>
      <c r="U5209">
        <v>9.9359999999999999</v>
      </c>
    </row>
    <row r="5210" spans="1:21" x14ac:dyDescent="0.35">
      <c r="A5210" s="1"/>
      <c r="U5210">
        <v>14.161</v>
      </c>
    </row>
    <row r="5211" spans="1:21" x14ac:dyDescent="0.35">
      <c r="A5211" s="1"/>
      <c r="U5211">
        <v>12.7746</v>
      </c>
    </row>
    <row r="5212" spans="1:21" x14ac:dyDescent="0.35">
      <c r="A5212" s="1"/>
      <c r="U5212">
        <v>120.9468</v>
      </c>
    </row>
    <row r="5213" spans="1:21" x14ac:dyDescent="0.35">
      <c r="A5213" s="1"/>
      <c r="U5213">
        <v>9.8901000000000003</v>
      </c>
    </row>
    <row r="5214" spans="1:21" x14ac:dyDescent="0.35">
      <c r="U5214">
        <v>13.891500000000001</v>
      </c>
    </row>
    <row r="5215" spans="1:21" x14ac:dyDescent="0.35">
      <c r="U5215">
        <v>3.6017999999999999</v>
      </c>
    </row>
    <row r="5216" spans="1:21" x14ac:dyDescent="0.35">
      <c r="U5216">
        <v>13.452</v>
      </c>
    </row>
    <row r="5217" spans="1:21" x14ac:dyDescent="0.35">
      <c r="U5217">
        <v>13.455</v>
      </c>
    </row>
    <row r="5218" spans="1:21" x14ac:dyDescent="0.35">
      <c r="A5218" s="1"/>
      <c r="U5218">
        <v>8.2156000000000002</v>
      </c>
    </row>
    <row r="5219" spans="1:21" x14ac:dyDescent="0.35">
      <c r="U5219">
        <v>36.404400000000003</v>
      </c>
    </row>
    <row r="5220" spans="1:21" x14ac:dyDescent="0.35">
      <c r="A5220" s="1"/>
      <c r="U5220">
        <v>4.2</v>
      </c>
    </row>
    <row r="5221" spans="1:21" x14ac:dyDescent="0.35">
      <c r="A5221" s="1"/>
      <c r="U5221">
        <v>134.53020000000001</v>
      </c>
    </row>
    <row r="5222" spans="1:21" x14ac:dyDescent="0.35">
      <c r="U5222">
        <v>57.4938</v>
      </c>
    </row>
    <row r="5223" spans="1:21" x14ac:dyDescent="0.35">
      <c r="U5223">
        <v>197.92080000000001</v>
      </c>
    </row>
    <row r="5224" spans="1:21" x14ac:dyDescent="0.35">
      <c r="U5224">
        <v>2.2989999999999999</v>
      </c>
    </row>
    <row r="5225" spans="1:21" x14ac:dyDescent="0.35">
      <c r="U5225">
        <v>20.731200000000001</v>
      </c>
    </row>
    <row r="5226" spans="1:21" x14ac:dyDescent="0.35">
      <c r="A5226" s="1"/>
      <c r="U5226">
        <v>79.891199999999998</v>
      </c>
    </row>
    <row r="5227" spans="1:21" x14ac:dyDescent="0.35">
      <c r="U5227">
        <v>12.795999999999999</v>
      </c>
    </row>
    <row r="5228" spans="1:21" x14ac:dyDescent="0.35">
      <c r="U5228">
        <v>60.4968</v>
      </c>
    </row>
    <row r="5229" spans="1:21" x14ac:dyDescent="0.35">
      <c r="U5229">
        <v>-44.195999999999998</v>
      </c>
    </row>
    <row r="5230" spans="1:21" x14ac:dyDescent="0.35">
      <c r="U5230">
        <v>40.170200000000001</v>
      </c>
    </row>
    <row r="5231" spans="1:21" x14ac:dyDescent="0.35">
      <c r="U5231">
        <v>5.1184000000000003</v>
      </c>
    </row>
    <row r="5232" spans="1:21" x14ac:dyDescent="0.35">
      <c r="U5232">
        <v>8.7144999999999992</v>
      </c>
    </row>
    <row r="5233" spans="1:21" x14ac:dyDescent="0.35">
      <c r="U5233">
        <v>12.6813</v>
      </c>
    </row>
    <row r="5234" spans="1:21" x14ac:dyDescent="0.35">
      <c r="U5234">
        <v>9.2798999999999996</v>
      </c>
    </row>
    <row r="5235" spans="1:21" x14ac:dyDescent="0.35">
      <c r="U5235">
        <v>145.2816</v>
      </c>
    </row>
    <row r="5236" spans="1:21" x14ac:dyDescent="0.35">
      <c r="U5236">
        <v>2.6251000000000002</v>
      </c>
    </row>
    <row r="5237" spans="1:21" x14ac:dyDescent="0.35">
      <c r="U5237">
        <v>15.9384</v>
      </c>
    </row>
    <row r="5238" spans="1:21" x14ac:dyDescent="0.35">
      <c r="U5238">
        <v>50.908200000000001</v>
      </c>
    </row>
    <row r="5239" spans="1:21" x14ac:dyDescent="0.35">
      <c r="U5239">
        <v>36.293999999999997</v>
      </c>
    </row>
    <row r="5240" spans="1:21" x14ac:dyDescent="0.35">
      <c r="U5240">
        <v>26.391200000000001</v>
      </c>
    </row>
    <row r="5241" spans="1:21" x14ac:dyDescent="0.35">
      <c r="A5241" s="1"/>
      <c r="U5241">
        <v>6.6588000000000003</v>
      </c>
    </row>
    <row r="5242" spans="1:21" x14ac:dyDescent="0.35">
      <c r="A5242" s="1"/>
      <c r="U5242">
        <v>12.958399999999999</v>
      </c>
    </row>
    <row r="5243" spans="1:21" x14ac:dyDescent="0.35">
      <c r="U5243">
        <v>3.6936</v>
      </c>
    </row>
    <row r="5244" spans="1:21" x14ac:dyDescent="0.35">
      <c r="A5244" s="1"/>
      <c r="U5244">
        <v>-5.6406000000000001</v>
      </c>
    </row>
    <row r="5245" spans="1:21" x14ac:dyDescent="0.35">
      <c r="U5245">
        <v>4.8023999999999996</v>
      </c>
    </row>
    <row r="5246" spans="1:21" x14ac:dyDescent="0.35">
      <c r="A5246" s="1"/>
      <c r="U5246">
        <v>15.3522</v>
      </c>
    </row>
    <row r="5247" spans="1:21" x14ac:dyDescent="0.35">
      <c r="A5247" s="1"/>
      <c r="U5247">
        <v>33.357599999999998</v>
      </c>
    </row>
    <row r="5248" spans="1:21" x14ac:dyDescent="0.35">
      <c r="A5248" s="1"/>
      <c r="U5248">
        <v>4.7039999999999997</v>
      </c>
    </row>
    <row r="5249" spans="1:21" x14ac:dyDescent="0.35">
      <c r="U5249">
        <v>-52.958399999999997</v>
      </c>
    </row>
    <row r="5250" spans="1:21" x14ac:dyDescent="0.35">
      <c r="A5250" s="1"/>
      <c r="U5250">
        <v>10.875</v>
      </c>
    </row>
    <row r="5251" spans="1:21" x14ac:dyDescent="0.35">
      <c r="U5251">
        <v>4.0872000000000002</v>
      </c>
    </row>
    <row r="5252" spans="1:21" x14ac:dyDescent="0.35">
      <c r="A5252" s="1"/>
      <c r="U5252">
        <v>19.995999999999999</v>
      </c>
    </row>
    <row r="5253" spans="1:21" x14ac:dyDescent="0.35">
      <c r="A5253" s="1"/>
      <c r="U5253">
        <v>23.086400000000001</v>
      </c>
    </row>
    <row r="5254" spans="1:21" x14ac:dyDescent="0.35">
      <c r="U5254">
        <v>53.043900000000001</v>
      </c>
    </row>
    <row r="5255" spans="1:21" x14ac:dyDescent="0.35">
      <c r="A5255" s="1"/>
      <c r="U5255">
        <v>33.64</v>
      </c>
    </row>
    <row r="5256" spans="1:21" x14ac:dyDescent="0.35">
      <c r="A5256" s="1"/>
      <c r="U5256">
        <v>-7.0979999999999999</v>
      </c>
    </row>
    <row r="5257" spans="1:21" x14ac:dyDescent="0.35">
      <c r="A5257" s="1"/>
      <c r="U5257">
        <v>-5.4547999999999996</v>
      </c>
    </row>
    <row r="5258" spans="1:21" x14ac:dyDescent="0.35">
      <c r="A5258" s="1"/>
      <c r="U5258">
        <v>4.7519999999999998</v>
      </c>
    </row>
    <row r="5259" spans="1:21" x14ac:dyDescent="0.35">
      <c r="A5259" s="1"/>
      <c r="U5259">
        <v>18.662400000000002</v>
      </c>
    </row>
    <row r="5260" spans="1:21" x14ac:dyDescent="0.35">
      <c r="A5260" s="1"/>
      <c r="U5260">
        <v>16.544</v>
      </c>
    </row>
    <row r="5261" spans="1:21" x14ac:dyDescent="0.35">
      <c r="U5261">
        <v>15.934799999999999</v>
      </c>
    </row>
    <row r="5262" spans="1:21" x14ac:dyDescent="0.35">
      <c r="A5262" s="1"/>
      <c r="U5262">
        <v>14.7582</v>
      </c>
    </row>
    <row r="5263" spans="1:21" x14ac:dyDescent="0.35">
      <c r="A5263" s="1"/>
      <c r="U5263">
        <v>-4.8179999999999996</v>
      </c>
    </row>
    <row r="5264" spans="1:21" x14ac:dyDescent="0.35">
      <c r="A5264" s="1"/>
      <c r="U5264">
        <v>-22.948</v>
      </c>
    </row>
    <row r="5265" spans="1:21" x14ac:dyDescent="0.35">
      <c r="A5265" s="1"/>
      <c r="U5265">
        <v>-2.9180000000000001</v>
      </c>
    </row>
    <row r="5266" spans="1:21" x14ac:dyDescent="0.35">
      <c r="A5266" s="1"/>
      <c r="U5266">
        <v>3.5529000000000002</v>
      </c>
    </row>
    <row r="5267" spans="1:21" x14ac:dyDescent="0.35">
      <c r="U5267">
        <v>5.7624000000000004</v>
      </c>
    </row>
    <row r="5268" spans="1:21" x14ac:dyDescent="0.35">
      <c r="U5268">
        <v>82.290599999999998</v>
      </c>
    </row>
    <row r="5269" spans="1:21" x14ac:dyDescent="0.35">
      <c r="U5269">
        <v>1.0114000000000001</v>
      </c>
    </row>
    <row r="5270" spans="1:21" x14ac:dyDescent="0.35">
      <c r="U5270">
        <v>24.122399999999999</v>
      </c>
    </row>
    <row r="5271" spans="1:21" x14ac:dyDescent="0.35">
      <c r="A5271" s="1"/>
      <c r="U5271">
        <v>11.6496</v>
      </c>
    </row>
    <row r="5272" spans="1:21" x14ac:dyDescent="0.35">
      <c r="A5272" s="1"/>
      <c r="U5272">
        <v>113.848</v>
      </c>
    </row>
    <row r="5273" spans="1:21" x14ac:dyDescent="0.35">
      <c r="U5273">
        <v>8.0968</v>
      </c>
    </row>
    <row r="5274" spans="1:21" x14ac:dyDescent="0.35">
      <c r="U5274">
        <v>-14.9877</v>
      </c>
    </row>
    <row r="5275" spans="1:21" x14ac:dyDescent="0.35">
      <c r="U5275">
        <v>-2.6208</v>
      </c>
    </row>
    <row r="5276" spans="1:21" x14ac:dyDescent="0.35">
      <c r="A5276" s="1"/>
      <c r="U5276">
        <v>178.8</v>
      </c>
    </row>
    <row r="5277" spans="1:21" x14ac:dyDescent="0.35">
      <c r="U5277">
        <v>70.311999999999998</v>
      </c>
    </row>
    <row r="5278" spans="1:21" x14ac:dyDescent="0.35">
      <c r="U5278">
        <v>8.5024999999999995</v>
      </c>
    </row>
    <row r="5279" spans="1:21" x14ac:dyDescent="0.35">
      <c r="U5279">
        <v>-9.7175999999999991</v>
      </c>
    </row>
    <row r="5280" spans="1:21" x14ac:dyDescent="0.35">
      <c r="A5280" s="1"/>
      <c r="U5280">
        <v>48.539200000000001</v>
      </c>
    </row>
    <row r="5281" spans="1:21" x14ac:dyDescent="0.35">
      <c r="A5281" s="1"/>
      <c r="U5281">
        <v>1.8872</v>
      </c>
    </row>
    <row r="5282" spans="1:21" x14ac:dyDescent="0.35">
      <c r="A5282" s="1"/>
      <c r="U5282">
        <v>22.235199999999999</v>
      </c>
    </row>
    <row r="5283" spans="1:21" x14ac:dyDescent="0.35">
      <c r="A5283" s="1"/>
      <c r="U5283">
        <v>2.9567999999999999</v>
      </c>
    </row>
    <row r="5284" spans="1:21" x14ac:dyDescent="0.35">
      <c r="A5284" s="1"/>
      <c r="U5284">
        <v>17.314800000000002</v>
      </c>
    </row>
    <row r="5285" spans="1:21" x14ac:dyDescent="0.35">
      <c r="U5285">
        <v>0</v>
      </c>
    </row>
    <row r="5286" spans="1:21" x14ac:dyDescent="0.35">
      <c r="U5286">
        <v>22.2</v>
      </c>
    </row>
    <row r="5287" spans="1:21" x14ac:dyDescent="0.35">
      <c r="A5287" s="1"/>
      <c r="U5287">
        <v>7.4340000000000002</v>
      </c>
    </row>
    <row r="5288" spans="1:21" x14ac:dyDescent="0.35">
      <c r="A5288" s="1"/>
      <c r="U5288">
        <v>-7.3231999999999999</v>
      </c>
    </row>
    <row r="5289" spans="1:21" x14ac:dyDescent="0.35">
      <c r="A5289" s="1"/>
      <c r="U5289">
        <v>-152.9847</v>
      </c>
    </row>
    <row r="5290" spans="1:21" x14ac:dyDescent="0.35">
      <c r="U5290">
        <v>80.340400000000002</v>
      </c>
    </row>
    <row r="5291" spans="1:21" x14ac:dyDescent="0.35">
      <c r="A5291" s="1"/>
      <c r="U5291">
        <v>6.2664</v>
      </c>
    </row>
    <row r="5292" spans="1:21" x14ac:dyDescent="0.35">
      <c r="A5292" s="1"/>
      <c r="U5292">
        <v>-13.81</v>
      </c>
    </row>
    <row r="5293" spans="1:21" x14ac:dyDescent="0.35">
      <c r="A5293" s="1"/>
      <c r="U5293">
        <v>61.462800000000001</v>
      </c>
    </row>
    <row r="5294" spans="1:21" x14ac:dyDescent="0.35">
      <c r="U5294">
        <v>0.33479999999999999</v>
      </c>
    </row>
    <row r="5295" spans="1:21" x14ac:dyDescent="0.35">
      <c r="U5295">
        <v>-15.4764</v>
      </c>
    </row>
    <row r="5296" spans="1:21" x14ac:dyDescent="0.35">
      <c r="U5296">
        <v>23.184000000000001</v>
      </c>
    </row>
    <row r="5297" spans="1:21" x14ac:dyDescent="0.35">
      <c r="A5297" s="1"/>
      <c r="U5297">
        <v>32.468400000000003</v>
      </c>
    </row>
    <row r="5298" spans="1:21" x14ac:dyDescent="0.35">
      <c r="U5298">
        <v>4.0202999999999998</v>
      </c>
    </row>
    <row r="5299" spans="1:21" x14ac:dyDescent="0.35">
      <c r="U5299">
        <v>135.97999999999999</v>
      </c>
    </row>
    <row r="5300" spans="1:21" x14ac:dyDescent="0.35">
      <c r="U5300">
        <v>1.9176</v>
      </c>
    </row>
    <row r="5301" spans="1:21" x14ac:dyDescent="0.35">
      <c r="U5301">
        <v>8.6940000000000008</v>
      </c>
    </row>
    <row r="5302" spans="1:21" x14ac:dyDescent="0.35">
      <c r="U5302">
        <v>386.83499999999998</v>
      </c>
    </row>
    <row r="5303" spans="1:21" x14ac:dyDescent="0.35">
      <c r="U5303">
        <v>653.30100000000004</v>
      </c>
    </row>
    <row r="5304" spans="1:21" x14ac:dyDescent="0.35">
      <c r="U5304">
        <v>29.808</v>
      </c>
    </row>
    <row r="5305" spans="1:21" x14ac:dyDescent="0.35">
      <c r="U5305">
        <v>-1.0656000000000001</v>
      </c>
    </row>
    <row r="5306" spans="1:21" x14ac:dyDescent="0.35">
      <c r="U5306">
        <v>-7.476</v>
      </c>
    </row>
    <row r="5307" spans="1:21" x14ac:dyDescent="0.35">
      <c r="U5307">
        <v>28.959</v>
      </c>
    </row>
    <row r="5308" spans="1:21" x14ac:dyDescent="0.35">
      <c r="U5308">
        <v>80.019900000000007</v>
      </c>
    </row>
    <row r="5309" spans="1:21" x14ac:dyDescent="0.35">
      <c r="U5309">
        <v>1.9990000000000001</v>
      </c>
    </row>
    <row r="5310" spans="1:21" x14ac:dyDescent="0.35">
      <c r="U5310">
        <v>-46.399799999999999</v>
      </c>
    </row>
    <row r="5311" spans="1:21" x14ac:dyDescent="0.35">
      <c r="U5311">
        <v>3.9119999999999999</v>
      </c>
    </row>
    <row r="5312" spans="1:21" x14ac:dyDescent="0.35">
      <c r="U5312">
        <v>-2287.7820000000002</v>
      </c>
    </row>
    <row r="5313" spans="1:21" x14ac:dyDescent="0.35">
      <c r="U5313">
        <v>3.3408000000000002</v>
      </c>
    </row>
    <row r="5314" spans="1:21" x14ac:dyDescent="0.35">
      <c r="U5314">
        <v>3.5059999999999998</v>
      </c>
    </row>
    <row r="5315" spans="1:21" x14ac:dyDescent="0.35">
      <c r="U5315">
        <v>21.436800000000002</v>
      </c>
    </row>
    <row r="5316" spans="1:21" x14ac:dyDescent="0.35">
      <c r="U5316">
        <v>14.974399999999999</v>
      </c>
    </row>
    <row r="5317" spans="1:21" x14ac:dyDescent="0.35">
      <c r="A5317" s="1"/>
      <c r="U5317">
        <v>11.691000000000001</v>
      </c>
    </row>
    <row r="5318" spans="1:21" x14ac:dyDescent="0.35">
      <c r="A5318" s="1"/>
      <c r="U5318">
        <v>1.3284</v>
      </c>
    </row>
    <row r="5319" spans="1:21" x14ac:dyDescent="0.35">
      <c r="A5319" s="1"/>
      <c r="U5319">
        <v>1.5690999999999999</v>
      </c>
    </row>
    <row r="5320" spans="1:21" x14ac:dyDescent="0.35">
      <c r="A5320" s="1"/>
      <c r="U5320">
        <v>7.2576000000000001</v>
      </c>
    </row>
    <row r="5321" spans="1:21" x14ac:dyDescent="0.35">
      <c r="A5321" s="1"/>
      <c r="U5321">
        <v>-21.888000000000002</v>
      </c>
    </row>
    <row r="5322" spans="1:21" x14ac:dyDescent="0.35">
      <c r="A5322" s="1"/>
      <c r="U5322">
        <v>-1002.7836</v>
      </c>
    </row>
    <row r="5323" spans="1:21" x14ac:dyDescent="0.35">
      <c r="A5323" s="1"/>
      <c r="U5323">
        <v>-26.247599999999998</v>
      </c>
    </row>
    <row r="5324" spans="1:21" x14ac:dyDescent="0.35">
      <c r="A5324" s="1"/>
      <c r="U5324">
        <v>5.9279999999999999</v>
      </c>
    </row>
    <row r="5325" spans="1:21" x14ac:dyDescent="0.35">
      <c r="U5325">
        <v>7.98</v>
      </c>
    </row>
    <row r="5326" spans="1:21" x14ac:dyDescent="0.35">
      <c r="A5326" s="1"/>
      <c r="U5326">
        <v>6.2530000000000001</v>
      </c>
    </row>
    <row r="5327" spans="1:21" x14ac:dyDescent="0.35">
      <c r="A5327" s="1"/>
      <c r="U5327">
        <v>9.0288000000000004</v>
      </c>
    </row>
    <row r="5328" spans="1:21" x14ac:dyDescent="0.35">
      <c r="U5328">
        <v>2.004</v>
      </c>
    </row>
    <row r="5329" spans="1:21" x14ac:dyDescent="0.35">
      <c r="A5329" s="1"/>
      <c r="U5329">
        <v>9.3312000000000008</v>
      </c>
    </row>
    <row r="5330" spans="1:21" x14ac:dyDescent="0.35">
      <c r="A5330" s="1"/>
      <c r="U5330">
        <v>2.3940000000000001</v>
      </c>
    </row>
    <row r="5331" spans="1:21" x14ac:dyDescent="0.35">
      <c r="U5331">
        <v>11.748799999999999</v>
      </c>
    </row>
    <row r="5332" spans="1:21" x14ac:dyDescent="0.35">
      <c r="A5332" s="1"/>
      <c r="U5332">
        <v>24.936599999999999</v>
      </c>
    </row>
    <row r="5333" spans="1:21" x14ac:dyDescent="0.35">
      <c r="A5333" s="1"/>
      <c r="U5333">
        <v>20.452500000000001</v>
      </c>
    </row>
    <row r="5334" spans="1:21" x14ac:dyDescent="0.35">
      <c r="A5334" s="1"/>
      <c r="U5334">
        <v>6.5888</v>
      </c>
    </row>
    <row r="5335" spans="1:21" x14ac:dyDescent="0.35">
      <c r="U5335">
        <v>4.0583999999999998</v>
      </c>
    </row>
    <row r="5336" spans="1:21" x14ac:dyDescent="0.35">
      <c r="U5336">
        <v>8.4966000000000008</v>
      </c>
    </row>
    <row r="5337" spans="1:21" x14ac:dyDescent="0.35">
      <c r="U5337">
        <v>1.5548</v>
      </c>
    </row>
    <row r="5338" spans="1:21" x14ac:dyDescent="0.35">
      <c r="U5338">
        <v>8.7672000000000008</v>
      </c>
    </row>
    <row r="5339" spans="1:21" x14ac:dyDescent="0.35">
      <c r="U5339">
        <v>111.5688</v>
      </c>
    </row>
    <row r="5340" spans="1:21" x14ac:dyDescent="0.35">
      <c r="A5340" s="1"/>
      <c r="U5340">
        <v>4.891</v>
      </c>
    </row>
    <row r="5341" spans="1:21" x14ac:dyDescent="0.35">
      <c r="A5341" s="1"/>
      <c r="U5341">
        <v>5.7527999999999997</v>
      </c>
    </row>
    <row r="5342" spans="1:21" x14ac:dyDescent="0.35">
      <c r="A5342" s="1"/>
      <c r="U5342">
        <v>6.0114000000000001</v>
      </c>
    </row>
    <row r="5343" spans="1:21" x14ac:dyDescent="0.35">
      <c r="A5343" s="1"/>
      <c r="U5343">
        <v>53.997</v>
      </c>
    </row>
    <row r="5344" spans="1:21" x14ac:dyDescent="0.35">
      <c r="U5344">
        <v>0.55079999999999996</v>
      </c>
    </row>
    <row r="5345" spans="1:21" x14ac:dyDescent="0.35">
      <c r="U5345">
        <v>16.747499999999999</v>
      </c>
    </row>
    <row r="5346" spans="1:21" x14ac:dyDescent="0.35">
      <c r="A5346" s="1"/>
      <c r="U5346">
        <v>2.2364999999999999</v>
      </c>
    </row>
    <row r="5347" spans="1:21" x14ac:dyDescent="0.35">
      <c r="U5347">
        <v>210.49359999999999</v>
      </c>
    </row>
    <row r="5348" spans="1:21" x14ac:dyDescent="0.35">
      <c r="U5348">
        <v>3.9498000000000002</v>
      </c>
    </row>
    <row r="5349" spans="1:21" x14ac:dyDescent="0.35">
      <c r="U5349">
        <v>2.8835999999999999</v>
      </c>
    </row>
    <row r="5350" spans="1:21" x14ac:dyDescent="0.35">
      <c r="A5350" s="1"/>
      <c r="U5350">
        <v>15.523199999999999</v>
      </c>
    </row>
    <row r="5351" spans="1:21" x14ac:dyDescent="0.35">
      <c r="A5351" s="1"/>
      <c r="U5351">
        <v>19.95</v>
      </c>
    </row>
    <row r="5352" spans="1:21" x14ac:dyDescent="0.35">
      <c r="A5352" s="1"/>
      <c r="U5352">
        <v>48.551400000000001</v>
      </c>
    </row>
    <row r="5353" spans="1:21" x14ac:dyDescent="0.35">
      <c r="A5353" s="1"/>
      <c r="U5353">
        <v>15.196</v>
      </c>
    </row>
    <row r="5354" spans="1:21" x14ac:dyDescent="0.35">
      <c r="A5354" s="1"/>
      <c r="U5354">
        <v>37.078200000000002</v>
      </c>
    </row>
    <row r="5355" spans="1:21" x14ac:dyDescent="0.35">
      <c r="A5355" s="1"/>
      <c r="U5355">
        <v>41.021599999999999</v>
      </c>
    </row>
    <row r="5356" spans="1:21" x14ac:dyDescent="0.35">
      <c r="U5356">
        <v>20.959199999999999</v>
      </c>
    </row>
    <row r="5357" spans="1:21" x14ac:dyDescent="0.35">
      <c r="U5357">
        <v>3.84</v>
      </c>
    </row>
    <row r="5358" spans="1:21" x14ac:dyDescent="0.35">
      <c r="U5358">
        <v>9.5340000000000007</v>
      </c>
    </row>
    <row r="5359" spans="1:21" x14ac:dyDescent="0.35">
      <c r="A5359" s="1"/>
      <c r="U5359">
        <v>1.6359999999999999</v>
      </c>
    </row>
    <row r="5360" spans="1:21" x14ac:dyDescent="0.35">
      <c r="A5360" s="1"/>
      <c r="U5360">
        <v>0.63119999999999998</v>
      </c>
    </row>
    <row r="5361" spans="1:21" x14ac:dyDescent="0.35">
      <c r="A5361" s="1"/>
      <c r="U5361">
        <v>12.8744</v>
      </c>
    </row>
    <row r="5362" spans="1:21" x14ac:dyDescent="0.35">
      <c r="U5362">
        <v>-32.219200000000001</v>
      </c>
    </row>
    <row r="5363" spans="1:21" x14ac:dyDescent="0.35">
      <c r="A5363" s="1"/>
      <c r="U5363">
        <v>54.057000000000002</v>
      </c>
    </row>
    <row r="5364" spans="1:21" x14ac:dyDescent="0.35">
      <c r="U5364">
        <v>23.990400000000001</v>
      </c>
    </row>
    <row r="5365" spans="1:21" x14ac:dyDescent="0.35">
      <c r="U5365">
        <v>22.948799999999999</v>
      </c>
    </row>
    <row r="5366" spans="1:21" x14ac:dyDescent="0.35">
      <c r="U5366">
        <v>6.4863999999999997</v>
      </c>
    </row>
    <row r="5367" spans="1:21" x14ac:dyDescent="0.35">
      <c r="U5367">
        <v>13.2293</v>
      </c>
    </row>
    <row r="5368" spans="1:21" x14ac:dyDescent="0.35">
      <c r="A5368" s="1"/>
      <c r="U5368">
        <v>7.7679</v>
      </c>
    </row>
    <row r="5369" spans="1:21" x14ac:dyDescent="0.35">
      <c r="A5369" s="1"/>
      <c r="U5369">
        <v>5.4332000000000003</v>
      </c>
    </row>
    <row r="5370" spans="1:21" x14ac:dyDescent="0.35">
      <c r="A5370" s="1"/>
      <c r="U5370">
        <v>3.895</v>
      </c>
    </row>
    <row r="5371" spans="1:21" x14ac:dyDescent="0.35">
      <c r="A5371" s="1"/>
      <c r="U5371">
        <v>28.706399999999999</v>
      </c>
    </row>
    <row r="5372" spans="1:21" x14ac:dyDescent="0.35">
      <c r="A5372" s="1"/>
      <c r="U5372">
        <v>71.229600000000005</v>
      </c>
    </row>
    <row r="5373" spans="1:21" x14ac:dyDescent="0.35">
      <c r="A5373" s="1"/>
      <c r="U5373">
        <v>79.793999999999997</v>
      </c>
    </row>
    <row r="5374" spans="1:21" x14ac:dyDescent="0.35">
      <c r="U5374">
        <v>5.4432</v>
      </c>
    </row>
    <row r="5375" spans="1:21" x14ac:dyDescent="0.35">
      <c r="U5375">
        <v>-69.472200000000001</v>
      </c>
    </row>
    <row r="5376" spans="1:21" x14ac:dyDescent="0.35">
      <c r="U5376">
        <v>3.6288</v>
      </c>
    </row>
    <row r="5377" spans="1:21" x14ac:dyDescent="0.35">
      <c r="U5377">
        <v>9.8160000000000007</v>
      </c>
    </row>
    <row r="5378" spans="1:21" x14ac:dyDescent="0.35">
      <c r="U5378">
        <v>7.86</v>
      </c>
    </row>
    <row r="5379" spans="1:21" x14ac:dyDescent="0.35">
      <c r="A5379" s="1"/>
      <c r="U5379">
        <v>117.6147</v>
      </c>
    </row>
    <row r="5380" spans="1:21" x14ac:dyDescent="0.35">
      <c r="A5380" s="1"/>
      <c r="U5380">
        <v>-30.2288</v>
      </c>
    </row>
    <row r="5381" spans="1:21" x14ac:dyDescent="0.35">
      <c r="U5381">
        <v>7.6146000000000003</v>
      </c>
    </row>
    <row r="5382" spans="1:21" x14ac:dyDescent="0.35">
      <c r="U5382">
        <v>35.623800000000003</v>
      </c>
    </row>
    <row r="5383" spans="1:21" x14ac:dyDescent="0.35">
      <c r="A5383" s="1"/>
      <c r="U5383">
        <v>9.0719999999999992</v>
      </c>
    </row>
    <row r="5384" spans="1:21" x14ac:dyDescent="0.35">
      <c r="A5384" s="1"/>
      <c r="U5384">
        <v>5.3352000000000004</v>
      </c>
    </row>
    <row r="5385" spans="1:21" x14ac:dyDescent="0.35">
      <c r="A5385" s="1"/>
      <c r="U5385">
        <v>3.7584</v>
      </c>
    </row>
    <row r="5386" spans="1:21" x14ac:dyDescent="0.35">
      <c r="U5386">
        <v>41.79</v>
      </c>
    </row>
    <row r="5387" spans="1:21" x14ac:dyDescent="0.35">
      <c r="U5387">
        <v>72.788799999999995</v>
      </c>
    </row>
    <row r="5388" spans="1:21" x14ac:dyDescent="0.35">
      <c r="A5388" s="1"/>
      <c r="U5388">
        <v>18.5886</v>
      </c>
    </row>
    <row r="5389" spans="1:21" x14ac:dyDescent="0.35">
      <c r="U5389">
        <v>10.4985</v>
      </c>
    </row>
    <row r="5390" spans="1:21" x14ac:dyDescent="0.35">
      <c r="U5390">
        <v>47.097900000000003</v>
      </c>
    </row>
    <row r="5391" spans="1:21" x14ac:dyDescent="0.35">
      <c r="U5391">
        <v>4.8117999999999999</v>
      </c>
    </row>
    <row r="5392" spans="1:21" x14ac:dyDescent="0.35">
      <c r="A5392" s="1"/>
      <c r="U5392">
        <v>9.5526</v>
      </c>
    </row>
    <row r="5393" spans="1:21" x14ac:dyDescent="0.35">
      <c r="U5393">
        <v>10.8</v>
      </c>
    </row>
    <row r="5394" spans="1:21" x14ac:dyDescent="0.35">
      <c r="U5394">
        <v>4.5815999999999999</v>
      </c>
    </row>
    <row r="5395" spans="1:21" x14ac:dyDescent="0.35">
      <c r="U5395">
        <v>102.2784</v>
      </c>
    </row>
    <row r="5396" spans="1:21" x14ac:dyDescent="0.35">
      <c r="U5396">
        <v>235.95240000000001</v>
      </c>
    </row>
    <row r="5397" spans="1:21" x14ac:dyDescent="0.35">
      <c r="U5397">
        <v>9.891</v>
      </c>
    </row>
    <row r="5398" spans="1:21" x14ac:dyDescent="0.35">
      <c r="U5398">
        <v>23.384</v>
      </c>
    </row>
    <row r="5399" spans="1:21" x14ac:dyDescent="0.35">
      <c r="U5399">
        <v>11.31</v>
      </c>
    </row>
    <row r="5400" spans="1:21" x14ac:dyDescent="0.35">
      <c r="U5400">
        <v>-2.0348999999999999</v>
      </c>
    </row>
    <row r="5401" spans="1:21" x14ac:dyDescent="0.35">
      <c r="A5401" s="1"/>
      <c r="U5401">
        <v>6.5490000000000004</v>
      </c>
    </row>
    <row r="5402" spans="1:21" x14ac:dyDescent="0.35">
      <c r="U5402">
        <v>15.1158</v>
      </c>
    </row>
    <row r="5403" spans="1:21" x14ac:dyDescent="0.35">
      <c r="U5403">
        <v>26.3934</v>
      </c>
    </row>
    <row r="5404" spans="1:21" x14ac:dyDescent="0.35">
      <c r="U5404">
        <v>7.71</v>
      </c>
    </row>
    <row r="5405" spans="1:21" x14ac:dyDescent="0.35">
      <c r="U5405">
        <v>1.3104</v>
      </c>
    </row>
    <row r="5406" spans="1:21" x14ac:dyDescent="0.35">
      <c r="U5406">
        <v>55.744999999999997</v>
      </c>
    </row>
    <row r="5407" spans="1:21" x14ac:dyDescent="0.35">
      <c r="U5407">
        <v>15.220800000000001</v>
      </c>
    </row>
    <row r="5408" spans="1:21" x14ac:dyDescent="0.35">
      <c r="U5408">
        <v>5.0054999999999996</v>
      </c>
    </row>
    <row r="5409" spans="1:21" x14ac:dyDescent="0.35">
      <c r="A5409" s="1"/>
      <c r="U5409">
        <v>40.443199999999997</v>
      </c>
    </row>
    <row r="5410" spans="1:21" x14ac:dyDescent="0.35">
      <c r="A5410" s="1"/>
      <c r="U5410">
        <v>8.4090000000000007</v>
      </c>
    </row>
    <row r="5411" spans="1:21" x14ac:dyDescent="0.35">
      <c r="A5411" s="1"/>
      <c r="U5411">
        <v>33.93</v>
      </c>
    </row>
    <row r="5412" spans="1:21" x14ac:dyDescent="0.35">
      <c r="A5412" s="1"/>
      <c r="U5412">
        <v>11.117599999999999</v>
      </c>
    </row>
    <row r="5413" spans="1:21" x14ac:dyDescent="0.35">
      <c r="U5413">
        <v>3.528</v>
      </c>
    </row>
    <row r="5414" spans="1:21" x14ac:dyDescent="0.35">
      <c r="U5414">
        <v>8.1072000000000006</v>
      </c>
    </row>
    <row r="5415" spans="1:21" x14ac:dyDescent="0.35">
      <c r="A5415" s="1"/>
      <c r="U5415">
        <v>62.93</v>
      </c>
    </row>
    <row r="5416" spans="1:21" x14ac:dyDescent="0.35">
      <c r="U5416">
        <v>-197.5752</v>
      </c>
    </row>
    <row r="5417" spans="1:21" x14ac:dyDescent="0.35">
      <c r="U5417">
        <v>7.2576000000000001</v>
      </c>
    </row>
    <row r="5418" spans="1:21" x14ac:dyDescent="0.35">
      <c r="U5418">
        <v>-8.9963999999999995</v>
      </c>
    </row>
    <row r="5419" spans="1:21" x14ac:dyDescent="0.35">
      <c r="A5419" s="1"/>
      <c r="U5419">
        <v>7.68</v>
      </c>
    </row>
    <row r="5420" spans="1:21" x14ac:dyDescent="0.35">
      <c r="U5420">
        <v>12.700799999999999</v>
      </c>
    </row>
    <row r="5421" spans="1:21" x14ac:dyDescent="0.35">
      <c r="U5421">
        <v>15.038399999999999</v>
      </c>
    </row>
    <row r="5422" spans="1:21" x14ac:dyDescent="0.35">
      <c r="U5422">
        <v>-60.836100000000002</v>
      </c>
    </row>
    <row r="5423" spans="1:21" x14ac:dyDescent="0.35">
      <c r="U5423">
        <v>1.1994</v>
      </c>
    </row>
    <row r="5424" spans="1:21" x14ac:dyDescent="0.35">
      <c r="U5424">
        <v>3.9312</v>
      </c>
    </row>
    <row r="5425" spans="1:21" x14ac:dyDescent="0.35">
      <c r="A5425" s="1"/>
      <c r="U5425">
        <v>11.88</v>
      </c>
    </row>
    <row r="5426" spans="1:21" x14ac:dyDescent="0.35">
      <c r="U5426">
        <v>1.0207999999999999</v>
      </c>
    </row>
    <row r="5427" spans="1:21" x14ac:dyDescent="0.35">
      <c r="A5427" s="1"/>
      <c r="U5427">
        <v>659.98</v>
      </c>
    </row>
    <row r="5428" spans="1:21" x14ac:dyDescent="0.35">
      <c r="A5428" s="1"/>
      <c r="U5428">
        <v>51.473999999999997</v>
      </c>
    </row>
    <row r="5429" spans="1:21" x14ac:dyDescent="0.35">
      <c r="U5429">
        <v>35.244999999999997</v>
      </c>
    </row>
    <row r="5430" spans="1:21" x14ac:dyDescent="0.35">
      <c r="A5430" s="1"/>
      <c r="U5430">
        <v>12.097799999999999</v>
      </c>
    </row>
    <row r="5431" spans="1:21" x14ac:dyDescent="0.35">
      <c r="A5431" s="1"/>
      <c r="U5431">
        <v>1.9990000000000001</v>
      </c>
    </row>
    <row r="5432" spans="1:21" x14ac:dyDescent="0.35">
      <c r="U5432">
        <v>16.1568</v>
      </c>
    </row>
    <row r="5433" spans="1:21" x14ac:dyDescent="0.35">
      <c r="U5433">
        <v>1.3715999999999999</v>
      </c>
    </row>
    <row r="5434" spans="1:21" x14ac:dyDescent="0.35">
      <c r="U5434">
        <v>-4.9728000000000003</v>
      </c>
    </row>
    <row r="5435" spans="1:21" x14ac:dyDescent="0.35">
      <c r="U5435">
        <v>0.66720000000000002</v>
      </c>
    </row>
    <row r="5436" spans="1:21" x14ac:dyDescent="0.35">
      <c r="U5436">
        <v>459.39600000000002</v>
      </c>
    </row>
    <row r="5437" spans="1:21" x14ac:dyDescent="0.35">
      <c r="U5437">
        <v>97.2</v>
      </c>
    </row>
    <row r="5438" spans="1:21" x14ac:dyDescent="0.35">
      <c r="A5438" s="1"/>
      <c r="U5438">
        <v>5.3680000000000003</v>
      </c>
    </row>
    <row r="5439" spans="1:21" x14ac:dyDescent="0.35">
      <c r="A5439" s="1"/>
      <c r="U5439">
        <v>-6.867</v>
      </c>
    </row>
    <row r="5440" spans="1:21" x14ac:dyDescent="0.35">
      <c r="A5440" s="1"/>
      <c r="U5440">
        <v>15.991199999999999</v>
      </c>
    </row>
    <row r="5441" spans="1:21" x14ac:dyDescent="0.35">
      <c r="A5441" s="1"/>
      <c r="U5441">
        <v>183.995</v>
      </c>
    </row>
    <row r="5442" spans="1:21" x14ac:dyDescent="0.35">
      <c r="U5442">
        <v>0.15479999999999999</v>
      </c>
    </row>
    <row r="5443" spans="1:21" x14ac:dyDescent="0.35">
      <c r="A5443" s="1"/>
      <c r="U5443">
        <v>2.3879999999999999</v>
      </c>
    </row>
    <row r="5444" spans="1:21" x14ac:dyDescent="0.35">
      <c r="U5444">
        <v>36.851999999999997</v>
      </c>
    </row>
    <row r="5445" spans="1:21" x14ac:dyDescent="0.35">
      <c r="U5445">
        <v>21.024899999999999</v>
      </c>
    </row>
    <row r="5446" spans="1:21" x14ac:dyDescent="0.35">
      <c r="U5446">
        <v>2.7846000000000002</v>
      </c>
    </row>
    <row r="5447" spans="1:21" x14ac:dyDescent="0.35">
      <c r="U5447">
        <v>7.0659000000000001</v>
      </c>
    </row>
    <row r="5448" spans="1:21" x14ac:dyDescent="0.35">
      <c r="U5448">
        <v>8.25</v>
      </c>
    </row>
    <row r="5449" spans="1:21" x14ac:dyDescent="0.35">
      <c r="U5449">
        <v>87.482500000000002</v>
      </c>
    </row>
    <row r="5450" spans="1:21" x14ac:dyDescent="0.35">
      <c r="A5450" s="1"/>
      <c r="U5450">
        <v>7.1585999999999999</v>
      </c>
    </row>
    <row r="5451" spans="1:21" x14ac:dyDescent="0.35">
      <c r="A5451" s="1"/>
      <c r="U5451">
        <v>10.906000000000001</v>
      </c>
    </row>
    <row r="5452" spans="1:21" x14ac:dyDescent="0.35">
      <c r="A5452" s="1"/>
      <c r="U5452">
        <v>149.38200000000001</v>
      </c>
    </row>
    <row r="5453" spans="1:21" x14ac:dyDescent="0.35">
      <c r="A5453" s="1"/>
      <c r="U5453">
        <v>12.979200000000001</v>
      </c>
    </row>
    <row r="5454" spans="1:21" x14ac:dyDescent="0.35">
      <c r="U5454">
        <v>24.998000000000001</v>
      </c>
    </row>
    <row r="5455" spans="1:21" x14ac:dyDescent="0.35">
      <c r="U5455">
        <v>13.780799999999999</v>
      </c>
    </row>
    <row r="5456" spans="1:21" x14ac:dyDescent="0.35">
      <c r="U5456">
        <v>0.73360000000000003</v>
      </c>
    </row>
    <row r="5457" spans="1:21" x14ac:dyDescent="0.35">
      <c r="U5457">
        <v>0.77039999999999997</v>
      </c>
    </row>
    <row r="5458" spans="1:21" x14ac:dyDescent="0.35">
      <c r="U5458">
        <v>9.6039999999999992</v>
      </c>
    </row>
    <row r="5459" spans="1:21" x14ac:dyDescent="0.35">
      <c r="U5459">
        <v>20.538</v>
      </c>
    </row>
    <row r="5460" spans="1:21" x14ac:dyDescent="0.35">
      <c r="A5460" s="1"/>
      <c r="U5460">
        <v>4.3368000000000002</v>
      </c>
    </row>
    <row r="5461" spans="1:21" x14ac:dyDescent="0.35">
      <c r="A5461" s="1"/>
      <c r="U5461">
        <v>92.391999999999996</v>
      </c>
    </row>
    <row r="5462" spans="1:21" x14ac:dyDescent="0.35">
      <c r="U5462">
        <v>-3.8645999999999998</v>
      </c>
    </row>
    <row r="5463" spans="1:21" x14ac:dyDescent="0.35">
      <c r="U5463">
        <v>4.4352</v>
      </c>
    </row>
    <row r="5464" spans="1:21" x14ac:dyDescent="0.35">
      <c r="U5464">
        <v>-23.716000000000001</v>
      </c>
    </row>
    <row r="5465" spans="1:21" x14ac:dyDescent="0.35">
      <c r="U5465">
        <v>19.622399999999999</v>
      </c>
    </row>
    <row r="5466" spans="1:21" x14ac:dyDescent="0.35">
      <c r="U5466">
        <v>36.692999999999998</v>
      </c>
    </row>
    <row r="5467" spans="1:21" x14ac:dyDescent="0.35">
      <c r="U5467">
        <v>-320.59699999999998</v>
      </c>
    </row>
    <row r="5468" spans="1:21" x14ac:dyDescent="0.35">
      <c r="U5468">
        <v>6.0659999999999998</v>
      </c>
    </row>
    <row r="5469" spans="1:21" x14ac:dyDescent="0.35">
      <c r="A5469" s="1"/>
      <c r="U5469">
        <v>13.7646</v>
      </c>
    </row>
    <row r="5470" spans="1:21" x14ac:dyDescent="0.35">
      <c r="U5470">
        <v>73.194000000000003</v>
      </c>
    </row>
    <row r="5471" spans="1:21" x14ac:dyDescent="0.35">
      <c r="U5471">
        <v>9.3312000000000008</v>
      </c>
    </row>
    <row r="5472" spans="1:21" x14ac:dyDescent="0.35">
      <c r="U5472">
        <v>9.2940000000000005</v>
      </c>
    </row>
    <row r="5473" spans="1:21" x14ac:dyDescent="0.35">
      <c r="U5473">
        <v>4.008</v>
      </c>
    </row>
    <row r="5474" spans="1:21" x14ac:dyDescent="0.35">
      <c r="U5474">
        <v>-17.607600000000001</v>
      </c>
    </row>
    <row r="5475" spans="1:21" x14ac:dyDescent="0.35">
      <c r="U5475">
        <v>-183.63239999999999</v>
      </c>
    </row>
    <row r="5476" spans="1:21" x14ac:dyDescent="0.35">
      <c r="U5476">
        <v>37.533999999999999</v>
      </c>
    </row>
    <row r="5477" spans="1:21" x14ac:dyDescent="0.35">
      <c r="U5477">
        <v>22.2</v>
      </c>
    </row>
    <row r="5478" spans="1:21" x14ac:dyDescent="0.35">
      <c r="U5478">
        <v>22.828499999999998</v>
      </c>
    </row>
    <row r="5479" spans="1:21" x14ac:dyDescent="0.35">
      <c r="U5479">
        <v>8.7905999999999995</v>
      </c>
    </row>
    <row r="5480" spans="1:21" x14ac:dyDescent="0.35">
      <c r="U5480">
        <v>62.915999999999997</v>
      </c>
    </row>
    <row r="5481" spans="1:21" x14ac:dyDescent="0.35">
      <c r="U5481">
        <v>-1.3083</v>
      </c>
    </row>
    <row r="5482" spans="1:21" x14ac:dyDescent="0.35">
      <c r="A5482" s="1"/>
      <c r="U5482">
        <v>11.6091</v>
      </c>
    </row>
    <row r="5483" spans="1:21" x14ac:dyDescent="0.35">
      <c r="A5483" s="1"/>
      <c r="U5483">
        <v>6.48</v>
      </c>
    </row>
    <row r="5484" spans="1:21" x14ac:dyDescent="0.35">
      <c r="A5484" s="1"/>
      <c r="U5484">
        <v>115.1808</v>
      </c>
    </row>
    <row r="5485" spans="1:21" x14ac:dyDescent="0.35">
      <c r="A5485" s="1"/>
      <c r="U5485">
        <v>0.40679999999999999</v>
      </c>
    </row>
    <row r="5486" spans="1:21" x14ac:dyDescent="0.35">
      <c r="U5486">
        <v>-68.1096</v>
      </c>
    </row>
    <row r="5487" spans="1:21" x14ac:dyDescent="0.35">
      <c r="A5487" s="1"/>
      <c r="U5487">
        <v>7.6284000000000001</v>
      </c>
    </row>
    <row r="5488" spans="1:21" x14ac:dyDescent="0.35">
      <c r="U5488">
        <v>-6.2859999999999996</v>
      </c>
    </row>
    <row r="5489" spans="1:21" x14ac:dyDescent="0.35">
      <c r="A5489" s="1"/>
      <c r="U5489">
        <v>-5.6943000000000001</v>
      </c>
    </row>
    <row r="5490" spans="1:21" x14ac:dyDescent="0.35">
      <c r="A5490" s="1"/>
      <c r="U5490">
        <v>2.0358000000000001</v>
      </c>
    </row>
    <row r="5491" spans="1:21" x14ac:dyDescent="0.35">
      <c r="A5491" s="1"/>
      <c r="U5491">
        <v>1.8207</v>
      </c>
    </row>
    <row r="5492" spans="1:21" x14ac:dyDescent="0.35">
      <c r="A5492" s="1"/>
      <c r="U5492">
        <v>-19.105799999999999</v>
      </c>
    </row>
    <row r="5493" spans="1:21" x14ac:dyDescent="0.35">
      <c r="U5493">
        <v>1.8160000000000001</v>
      </c>
    </row>
    <row r="5494" spans="1:21" x14ac:dyDescent="0.35">
      <c r="U5494">
        <v>0.1472</v>
      </c>
    </row>
    <row r="5495" spans="1:21" x14ac:dyDescent="0.35">
      <c r="U5495">
        <v>19.872</v>
      </c>
    </row>
    <row r="5496" spans="1:21" x14ac:dyDescent="0.35">
      <c r="U5496">
        <v>-4.8391999999999999</v>
      </c>
    </row>
    <row r="5497" spans="1:21" x14ac:dyDescent="0.35">
      <c r="A5497" s="1"/>
      <c r="U5497">
        <v>-6.1247999999999996</v>
      </c>
    </row>
    <row r="5498" spans="1:21" x14ac:dyDescent="0.35">
      <c r="A5498" s="1"/>
      <c r="U5498">
        <v>19.175999999999998</v>
      </c>
    </row>
    <row r="5499" spans="1:21" x14ac:dyDescent="0.35">
      <c r="U5499">
        <v>1.9024000000000001</v>
      </c>
    </row>
    <row r="5500" spans="1:21" x14ac:dyDescent="0.35">
      <c r="U5500">
        <v>3.6017999999999999</v>
      </c>
    </row>
    <row r="5501" spans="1:21" x14ac:dyDescent="0.35">
      <c r="U5501">
        <v>8.7989999999999995</v>
      </c>
    </row>
    <row r="5502" spans="1:21" x14ac:dyDescent="0.35">
      <c r="U5502">
        <v>88.552800000000005</v>
      </c>
    </row>
    <row r="5503" spans="1:21" x14ac:dyDescent="0.35">
      <c r="U5503">
        <v>4.3903999999999996</v>
      </c>
    </row>
    <row r="5504" spans="1:21" x14ac:dyDescent="0.35">
      <c r="A5504" s="1"/>
      <c r="U5504">
        <v>0.66239999999999999</v>
      </c>
    </row>
    <row r="5505" spans="1:21" x14ac:dyDescent="0.35">
      <c r="A5505" s="1"/>
      <c r="U5505">
        <v>1.2585</v>
      </c>
    </row>
    <row r="5506" spans="1:21" x14ac:dyDescent="0.35">
      <c r="A5506" s="1"/>
      <c r="U5506">
        <v>2.8782000000000001</v>
      </c>
    </row>
    <row r="5507" spans="1:21" x14ac:dyDescent="0.35">
      <c r="A5507" s="1"/>
      <c r="U5507">
        <v>-186.16</v>
      </c>
    </row>
    <row r="5508" spans="1:21" x14ac:dyDescent="0.35">
      <c r="A5508" s="1"/>
      <c r="U5508">
        <v>27.882000000000001</v>
      </c>
    </row>
    <row r="5509" spans="1:21" x14ac:dyDescent="0.35">
      <c r="A5509" s="1"/>
      <c r="U5509">
        <v>8.6015999999999995</v>
      </c>
    </row>
    <row r="5510" spans="1:21" x14ac:dyDescent="0.35">
      <c r="A5510" s="1"/>
      <c r="U5510">
        <v>62.737000000000002</v>
      </c>
    </row>
    <row r="5511" spans="1:21" x14ac:dyDescent="0.35">
      <c r="U5511">
        <v>19.137599999999999</v>
      </c>
    </row>
    <row r="5512" spans="1:21" x14ac:dyDescent="0.35">
      <c r="U5512">
        <v>3.4750000000000001</v>
      </c>
    </row>
    <row r="5513" spans="1:21" x14ac:dyDescent="0.35">
      <c r="U5513">
        <v>11.102399999999999</v>
      </c>
    </row>
    <row r="5514" spans="1:21" x14ac:dyDescent="0.35">
      <c r="U5514">
        <v>7.6868999999999996</v>
      </c>
    </row>
    <row r="5515" spans="1:21" x14ac:dyDescent="0.35">
      <c r="U5515">
        <v>2.3997000000000002</v>
      </c>
    </row>
    <row r="5516" spans="1:21" x14ac:dyDescent="0.35">
      <c r="U5516">
        <v>44.889600000000002</v>
      </c>
    </row>
    <row r="5517" spans="1:21" x14ac:dyDescent="0.35">
      <c r="U5517">
        <v>3.8654999999999999</v>
      </c>
    </row>
    <row r="5518" spans="1:21" x14ac:dyDescent="0.35">
      <c r="U5518">
        <v>527.98400000000004</v>
      </c>
    </row>
    <row r="5519" spans="1:21" x14ac:dyDescent="0.35">
      <c r="A5519" s="1"/>
      <c r="U5519">
        <v>-10.284000000000001</v>
      </c>
    </row>
    <row r="5520" spans="1:21" x14ac:dyDescent="0.35">
      <c r="A5520" s="1"/>
      <c r="U5520">
        <v>6.8460000000000001</v>
      </c>
    </row>
    <row r="5521" spans="1:21" x14ac:dyDescent="0.35">
      <c r="A5521" s="1"/>
      <c r="U5521">
        <v>3.1806000000000001</v>
      </c>
    </row>
    <row r="5522" spans="1:21" x14ac:dyDescent="0.35">
      <c r="A5522" s="1"/>
      <c r="U5522">
        <v>8.6709999999999994</v>
      </c>
    </row>
    <row r="5523" spans="1:21" x14ac:dyDescent="0.35">
      <c r="A5523" s="1"/>
      <c r="U5523">
        <v>-28.796399999999998</v>
      </c>
    </row>
    <row r="5524" spans="1:21" x14ac:dyDescent="0.35">
      <c r="A5524" s="1"/>
      <c r="U5524">
        <v>7.0044000000000004</v>
      </c>
    </row>
    <row r="5525" spans="1:21" x14ac:dyDescent="0.35">
      <c r="A5525" s="1"/>
      <c r="U5525">
        <v>15.7248</v>
      </c>
    </row>
    <row r="5526" spans="1:21" x14ac:dyDescent="0.35">
      <c r="A5526" s="1"/>
      <c r="U5526">
        <v>36.928800000000003</v>
      </c>
    </row>
    <row r="5527" spans="1:21" x14ac:dyDescent="0.35">
      <c r="U5527">
        <v>4.0098000000000003</v>
      </c>
    </row>
    <row r="5528" spans="1:21" x14ac:dyDescent="0.35">
      <c r="U5528">
        <v>0.65159999999999996</v>
      </c>
    </row>
    <row r="5529" spans="1:21" x14ac:dyDescent="0.35">
      <c r="A5529" s="1"/>
      <c r="U5529">
        <v>18.211200000000002</v>
      </c>
    </row>
    <row r="5530" spans="1:21" x14ac:dyDescent="0.35">
      <c r="U5530">
        <v>27.986000000000001</v>
      </c>
    </row>
    <row r="5531" spans="1:21" x14ac:dyDescent="0.35">
      <c r="A5531" s="1"/>
      <c r="U5531">
        <v>40.3536</v>
      </c>
    </row>
    <row r="5532" spans="1:21" x14ac:dyDescent="0.35">
      <c r="A5532" s="1"/>
      <c r="U5532">
        <v>743.98800000000006</v>
      </c>
    </row>
    <row r="5533" spans="1:21" x14ac:dyDescent="0.35">
      <c r="A5533" s="1"/>
      <c r="U5533">
        <v>75.574799999999996</v>
      </c>
    </row>
    <row r="5534" spans="1:21" x14ac:dyDescent="0.35">
      <c r="A5534" s="1"/>
      <c r="U5534">
        <v>5.1014999999999997</v>
      </c>
    </row>
    <row r="5535" spans="1:21" x14ac:dyDescent="0.35">
      <c r="A5535" s="1"/>
      <c r="U5535">
        <v>129.34800000000001</v>
      </c>
    </row>
    <row r="5536" spans="1:21" x14ac:dyDescent="0.35">
      <c r="A5536" s="1"/>
      <c r="U5536">
        <v>28.171800000000001</v>
      </c>
    </row>
    <row r="5537" spans="1:21" x14ac:dyDescent="0.35">
      <c r="A5537" s="1"/>
      <c r="U5537">
        <v>30.787199999999999</v>
      </c>
    </row>
    <row r="5538" spans="1:21" x14ac:dyDescent="0.35">
      <c r="A5538" s="1"/>
      <c r="U5538">
        <v>5.6016000000000004</v>
      </c>
    </row>
    <row r="5539" spans="1:21" x14ac:dyDescent="0.35">
      <c r="A5539" s="1"/>
      <c r="U5539">
        <v>6.2207999999999997</v>
      </c>
    </row>
    <row r="5540" spans="1:21" x14ac:dyDescent="0.35">
      <c r="U5540">
        <v>8.0177999999999994</v>
      </c>
    </row>
    <row r="5541" spans="1:21" x14ac:dyDescent="0.35">
      <c r="U5541">
        <v>-54.595799999999997</v>
      </c>
    </row>
    <row r="5542" spans="1:21" x14ac:dyDescent="0.35">
      <c r="U5542">
        <v>-2.6267999999999998</v>
      </c>
    </row>
    <row r="5543" spans="1:21" x14ac:dyDescent="0.35">
      <c r="U5543">
        <v>2.5137</v>
      </c>
    </row>
    <row r="5544" spans="1:21" x14ac:dyDescent="0.35">
      <c r="U5544">
        <v>-218.8656</v>
      </c>
    </row>
    <row r="5545" spans="1:21" x14ac:dyDescent="0.35">
      <c r="U5545">
        <v>-7.6559999999999997</v>
      </c>
    </row>
    <row r="5546" spans="1:21" x14ac:dyDescent="0.35">
      <c r="U5546">
        <v>-4.1711999999999998</v>
      </c>
    </row>
    <row r="5547" spans="1:21" x14ac:dyDescent="0.35">
      <c r="U5547">
        <v>17.524000000000001</v>
      </c>
    </row>
    <row r="5548" spans="1:21" x14ac:dyDescent="0.35">
      <c r="A5548" s="1"/>
      <c r="U5548">
        <v>10.5672</v>
      </c>
    </row>
    <row r="5549" spans="1:21" x14ac:dyDescent="0.35">
      <c r="A5549" s="1"/>
      <c r="U5549">
        <v>47.46</v>
      </c>
    </row>
    <row r="5550" spans="1:21" x14ac:dyDescent="0.35">
      <c r="U5550">
        <v>11.7936</v>
      </c>
    </row>
    <row r="5551" spans="1:21" x14ac:dyDescent="0.35">
      <c r="U5551">
        <v>34.982500000000002</v>
      </c>
    </row>
    <row r="5552" spans="1:21" x14ac:dyDescent="0.35">
      <c r="A5552" s="1"/>
      <c r="U5552">
        <v>0.33400000000000002</v>
      </c>
    </row>
    <row r="5553" spans="1:21" x14ac:dyDescent="0.35">
      <c r="A5553" s="1"/>
      <c r="U5553">
        <v>-3.1230000000000002</v>
      </c>
    </row>
    <row r="5554" spans="1:21" x14ac:dyDescent="0.35">
      <c r="A5554" s="1"/>
      <c r="U5554">
        <v>20.8719</v>
      </c>
    </row>
    <row r="5555" spans="1:21" x14ac:dyDescent="0.35">
      <c r="A5555" s="1"/>
      <c r="U5555">
        <v>12.700799999999999</v>
      </c>
    </row>
    <row r="5556" spans="1:21" x14ac:dyDescent="0.35">
      <c r="A5556" s="1"/>
      <c r="U5556">
        <v>-12.998699999999999</v>
      </c>
    </row>
    <row r="5557" spans="1:21" x14ac:dyDescent="0.35">
      <c r="A5557" s="1"/>
      <c r="U5557">
        <v>3.4544000000000001</v>
      </c>
    </row>
    <row r="5558" spans="1:21" x14ac:dyDescent="0.35">
      <c r="U5558">
        <v>1.9712000000000001</v>
      </c>
    </row>
    <row r="5559" spans="1:21" x14ac:dyDescent="0.35">
      <c r="U5559">
        <v>15.763999999999999</v>
      </c>
    </row>
    <row r="5560" spans="1:21" x14ac:dyDescent="0.35">
      <c r="A5560" s="1"/>
      <c r="U5560">
        <v>3.1103999999999998</v>
      </c>
    </row>
    <row r="5561" spans="1:21" x14ac:dyDescent="0.35">
      <c r="A5561" s="1"/>
      <c r="U5561">
        <v>238.65299999999999</v>
      </c>
    </row>
    <row r="5562" spans="1:21" x14ac:dyDescent="0.35">
      <c r="A5562" s="1"/>
      <c r="U5562">
        <v>6.8723999999999998</v>
      </c>
    </row>
    <row r="5563" spans="1:21" x14ac:dyDescent="0.35">
      <c r="U5563">
        <v>17.27</v>
      </c>
    </row>
    <row r="5564" spans="1:21" x14ac:dyDescent="0.35">
      <c r="U5564">
        <v>1439.9760000000001</v>
      </c>
    </row>
    <row r="5565" spans="1:21" x14ac:dyDescent="0.35">
      <c r="U5565">
        <v>30.7776</v>
      </c>
    </row>
    <row r="5566" spans="1:21" x14ac:dyDescent="0.35">
      <c r="U5566">
        <v>2.1888000000000001</v>
      </c>
    </row>
    <row r="5567" spans="1:21" x14ac:dyDescent="0.35">
      <c r="U5567">
        <v>8.9993999999999996</v>
      </c>
    </row>
    <row r="5568" spans="1:21" x14ac:dyDescent="0.35">
      <c r="U5568">
        <v>1.86</v>
      </c>
    </row>
    <row r="5569" spans="1:21" x14ac:dyDescent="0.35">
      <c r="U5569">
        <v>-2.5648</v>
      </c>
    </row>
    <row r="5570" spans="1:21" x14ac:dyDescent="0.35">
      <c r="U5570">
        <v>335.99439999999998</v>
      </c>
    </row>
    <row r="5571" spans="1:21" x14ac:dyDescent="0.35">
      <c r="U5571">
        <v>5.6375999999999999</v>
      </c>
    </row>
    <row r="5572" spans="1:21" x14ac:dyDescent="0.35">
      <c r="U5572">
        <v>-7.3014999999999999</v>
      </c>
    </row>
    <row r="5573" spans="1:21" x14ac:dyDescent="0.35">
      <c r="A5573" s="1"/>
      <c r="U5573">
        <v>35.661299999999997</v>
      </c>
    </row>
    <row r="5574" spans="1:21" x14ac:dyDescent="0.35">
      <c r="A5574" s="1"/>
      <c r="U5574">
        <v>-23.952000000000002</v>
      </c>
    </row>
    <row r="5575" spans="1:21" x14ac:dyDescent="0.35">
      <c r="A5575" s="1"/>
      <c r="U5575">
        <v>5.6783999999999999</v>
      </c>
    </row>
    <row r="5576" spans="1:21" x14ac:dyDescent="0.35">
      <c r="A5576" s="1"/>
      <c r="U5576">
        <v>-9.1844999999999999</v>
      </c>
    </row>
    <row r="5577" spans="1:21" x14ac:dyDescent="0.35">
      <c r="A5577" s="1"/>
      <c r="U5577">
        <v>-44.984999999999999</v>
      </c>
    </row>
    <row r="5578" spans="1:21" x14ac:dyDescent="0.35">
      <c r="A5578" s="1"/>
      <c r="U5578">
        <v>122.76479999999999</v>
      </c>
    </row>
    <row r="5579" spans="1:21" x14ac:dyDescent="0.35">
      <c r="A5579" s="1"/>
      <c r="U5579">
        <v>15.8256</v>
      </c>
    </row>
    <row r="5580" spans="1:21" x14ac:dyDescent="0.35">
      <c r="A5580" s="1"/>
      <c r="U5580">
        <v>1.9024000000000001</v>
      </c>
    </row>
    <row r="5581" spans="1:21" x14ac:dyDescent="0.35">
      <c r="A5581" s="1"/>
      <c r="U5581">
        <v>-15.244999999999999</v>
      </c>
    </row>
    <row r="5582" spans="1:21" x14ac:dyDescent="0.35">
      <c r="A5582" s="1"/>
      <c r="U5582">
        <v>22.8096</v>
      </c>
    </row>
    <row r="5583" spans="1:21" x14ac:dyDescent="0.35">
      <c r="A5583" s="1"/>
      <c r="U5583">
        <v>8.5914000000000001</v>
      </c>
    </row>
    <row r="5584" spans="1:21" x14ac:dyDescent="0.35">
      <c r="A5584" s="1"/>
      <c r="U5584">
        <v>3.44</v>
      </c>
    </row>
    <row r="5585" spans="1:21" x14ac:dyDescent="0.35">
      <c r="U5585">
        <v>1.9712000000000001</v>
      </c>
    </row>
    <row r="5586" spans="1:21" x14ac:dyDescent="0.35">
      <c r="U5586">
        <v>1.6712</v>
      </c>
    </row>
    <row r="5587" spans="1:21" x14ac:dyDescent="0.35">
      <c r="U5587">
        <v>163.81800000000001</v>
      </c>
    </row>
    <row r="5588" spans="1:21" x14ac:dyDescent="0.35">
      <c r="U5588">
        <v>5.3898000000000001</v>
      </c>
    </row>
    <row r="5589" spans="1:21" x14ac:dyDescent="0.35">
      <c r="U5589">
        <v>3.597</v>
      </c>
    </row>
    <row r="5590" spans="1:21" x14ac:dyDescent="0.35">
      <c r="U5590">
        <v>2.2098</v>
      </c>
    </row>
    <row r="5591" spans="1:21" x14ac:dyDescent="0.35">
      <c r="A5591" s="1"/>
      <c r="U5591">
        <v>9.5340000000000007</v>
      </c>
    </row>
    <row r="5592" spans="1:21" x14ac:dyDescent="0.35">
      <c r="A5592" s="1"/>
      <c r="U5592">
        <v>81.047399999999996</v>
      </c>
    </row>
    <row r="5593" spans="1:21" x14ac:dyDescent="0.35">
      <c r="U5593">
        <v>27.0578</v>
      </c>
    </row>
    <row r="5594" spans="1:21" x14ac:dyDescent="0.35">
      <c r="U5594">
        <v>9.4700000000000006</v>
      </c>
    </row>
    <row r="5595" spans="1:21" x14ac:dyDescent="0.35">
      <c r="U5595">
        <v>-45.933300000000003</v>
      </c>
    </row>
    <row r="5596" spans="1:21" x14ac:dyDescent="0.35">
      <c r="U5596">
        <v>109.7544</v>
      </c>
    </row>
    <row r="5597" spans="1:21" x14ac:dyDescent="0.35">
      <c r="U5597">
        <v>131.35499999999999</v>
      </c>
    </row>
    <row r="5598" spans="1:21" x14ac:dyDescent="0.35">
      <c r="U5598">
        <v>32.251399999999997</v>
      </c>
    </row>
    <row r="5599" spans="1:21" x14ac:dyDescent="0.35">
      <c r="U5599">
        <v>6.5052000000000003</v>
      </c>
    </row>
    <row r="5600" spans="1:21" x14ac:dyDescent="0.35">
      <c r="U5600">
        <v>2.7846000000000002</v>
      </c>
    </row>
    <row r="5601" spans="1:21" x14ac:dyDescent="0.35">
      <c r="A5601" s="1"/>
      <c r="U5601">
        <v>4.1988000000000003</v>
      </c>
    </row>
    <row r="5602" spans="1:21" x14ac:dyDescent="0.35">
      <c r="A5602" s="1"/>
      <c r="U5602">
        <v>4.8869999999999996</v>
      </c>
    </row>
    <row r="5603" spans="1:21" x14ac:dyDescent="0.35">
      <c r="A5603" s="1"/>
      <c r="U5603">
        <v>-3.5621999999999998</v>
      </c>
    </row>
    <row r="5604" spans="1:21" x14ac:dyDescent="0.35">
      <c r="U5604">
        <v>1.0620000000000001</v>
      </c>
    </row>
    <row r="5605" spans="1:21" x14ac:dyDescent="0.35">
      <c r="U5605">
        <v>27.972000000000001</v>
      </c>
    </row>
    <row r="5606" spans="1:21" x14ac:dyDescent="0.35">
      <c r="A5606" s="1"/>
      <c r="U5606">
        <v>206.6232</v>
      </c>
    </row>
    <row r="5607" spans="1:21" x14ac:dyDescent="0.35">
      <c r="U5607">
        <v>1.0680000000000001</v>
      </c>
    </row>
    <row r="5608" spans="1:21" x14ac:dyDescent="0.35">
      <c r="U5608">
        <v>-11.069100000000001</v>
      </c>
    </row>
    <row r="5609" spans="1:21" x14ac:dyDescent="0.35">
      <c r="U5609">
        <v>2.9834999999999998</v>
      </c>
    </row>
    <row r="5610" spans="1:21" x14ac:dyDescent="0.35">
      <c r="A5610" s="1"/>
      <c r="U5610">
        <v>2.0228000000000002</v>
      </c>
    </row>
    <row r="5611" spans="1:21" x14ac:dyDescent="0.35">
      <c r="U5611">
        <v>217.767</v>
      </c>
    </row>
    <row r="5612" spans="1:21" x14ac:dyDescent="0.35">
      <c r="A5612" s="1"/>
      <c r="U5612">
        <v>-4.641</v>
      </c>
    </row>
    <row r="5613" spans="1:21" x14ac:dyDescent="0.35">
      <c r="U5613">
        <v>371.31599999999997</v>
      </c>
    </row>
    <row r="5614" spans="1:21" x14ac:dyDescent="0.35">
      <c r="U5614">
        <v>224.42400000000001</v>
      </c>
    </row>
    <row r="5615" spans="1:21" x14ac:dyDescent="0.35">
      <c r="A5615" s="1"/>
      <c r="U5615">
        <v>5.8979999999999997</v>
      </c>
    </row>
    <row r="5616" spans="1:21" x14ac:dyDescent="0.35">
      <c r="U5616">
        <v>8.7330000000000005</v>
      </c>
    </row>
    <row r="5617" spans="1:21" x14ac:dyDescent="0.35">
      <c r="U5617">
        <v>281.01600000000002</v>
      </c>
    </row>
    <row r="5618" spans="1:21" x14ac:dyDescent="0.35">
      <c r="U5618">
        <v>7.9218000000000002</v>
      </c>
    </row>
    <row r="5619" spans="1:21" x14ac:dyDescent="0.35">
      <c r="U5619">
        <v>5.3680000000000003</v>
      </c>
    </row>
    <row r="5620" spans="1:21" x14ac:dyDescent="0.35">
      <c r="U5620">
        <v>8.8783999999999992</v>
      </c>
    </row>
    <row r="5621" spans="1:21" x14ac:dyDescent="0.35">
      <c r="U5621">
        <v>174.98249999999999</v>
      </c>
    </row>
    <row r="5622" spans="1:21" x14ac:dyDescent="0.35">
      <c r="U5622">
        <v>1.0336000000000001</v>
      </c>
    </row>
    <row r="5623" spans="1:21" x14ac:dyDescent="0.35">
      <c r="U5623">
        <v>50.49</v>
      </c>
    </row>
    <row r="5624" spans="1:21" x14ac:dyDescent="0.35">
      <c r="U5624">
        <v>17.16</v>
      </c>
    </row>
    <row r="5625" spans="1:21" x14ac:dyDescent="0.35">
      <c r="U5625">
        <v>21</v>
      </c>
    </row>
    <row r="5626" spans="1:21" x14ac:dyDescent="0.35">
      <c r="U5626">
        <v>21.598800000000001</v>
      </c>
    </row>
    <row r="5627" spans="1:21" x14ac:dyDescent="0.35">
      <c r="U5627">
        <v>2.9567999999999999</v>
      </c>
    </row>
    <row r="5628" spans="1:21" x14ac:dyDescent="0.35">
      <c r="U5628">
        <v>399.29939999999999</v>
      </c>
    </row>
    <row r="5629" spans="1:21" x14ac:dyDescent="0.35">
      <c r="U5629">
        <v>4.6818</v>
      </c>
    </row>
    <row r="5630" spans="1:21" x14ac:dyDescent="0.35">
      <c r="U5630">
        <v>-13.6776</v>
      </c>
    </row>
    <row r="5631" spans="1:21" x14ac:dyDescent="0.35">
      <c r="U5631">
        <v>-339.70499999999998</v>
      </c>
    </row>
    <row r="5632" spans="1:21" x14ac:dyDescent="0.35">
      <c r="A5632" s="1"/>
      <c r="U5632">
        <v>103.158</v>
      </c>
    </row>
    <row r="5633" spans="1:21" x14ac:dyDescent="0.35">
      <c r="A5633" s="1"/>
      <c r="U5633">
        <v>75.373199999999997</v>
      </c>
    </row>
    <row r="5634" spans="1:21" x14ac:dyDescent="0.35">
      <c r="A5634" s="1"/>
      <c r="U5634">
        <v>8.2062000000000008</v>
      </c>
    </row>
    <row r="5635" spans="1:21" x14ac:dyDescent="0.35">
      <c r="U5635">
        <v>3.6848000000000001</v>
      </c>
    </row>
    <row r="5636" spans="1:21" x14ac:dyDescent="0.35">
      <c r="A5636" s="1"/>
      <c r="U5636">
        <v>76.400000000000006</v>
      </c>
    </row>
    <row r="5637" spans="1:21" x14ac:dyDescent="0.35">
      <c r="A5637" s="1"/>
      <c r="U5637">
        <v>28.896000000000001</v>
      </c>
    </row>
    <row r="5638" spans="1:21" x14ac:dyDescent="0.35">
      <c r="A5638" s="1"/>
      <c r="U5638">
        <v>85.491</v>
      </c>
    </row>
    <row r="5639" spans="1:21" x14ac:dyDescent="0.35">
      <c r="U5639">
        <v>23.119199999999999</v>
      </c>
    </row>
    <row r="5640" spans="1:21" x14ac:dyDescent="0.35">
      <c r="U5640">
        <v>149.148</v>
      </c>
    </row>
    <row r="5641" spans="1:21" x14ac:dyDescent="0.35">
      <c r="U5641">
        <v>35.76</v>
      </c>
    </row>
    <row r="5642" spans="1:21" x14ac:dyDescent="0.35">
      <c r="U5642">
        <v>10.08</v>
      </c>
    </row>
    <row r="5643" spans="1:21" x14ac:dyDescent="0.35">
      <c r="A5643" s="1"/>
      <c r="U5643">
        <v>2.8912</v>
      </c>
    </row>
    <row r="5644" spans="1:21" x14ac:dyDescent="0.35">
      <c r="A5644" s="1"/>
      <c r="U5644">
        <v>3.0975999999999999</v>
      </c>
    </row>
    <row r="5645" spans="1:21" x14ac:dyDescent="0.35">
      <c r="U5645">
        <v>8.7905999999999995</v>
      </c>
    </row>
    <row r="5646" spans="1:21" x14ac:dyDescent="0.35">
      <c r="U5646">
        <v>11.297000000000001</v>
      </c>
    </row>
    <row r="5647" spans="1:21" x14ac:dyDescent="0.35">
      <c r="U5647">
        <v>20.101500000000001</v>
      </c>
    </row>
    <row r="5648" spans="1:21" x14ac:dyDescent="0.35">
      <c r="A5648" s="1"/>
      <c r="U5648">
        <v>69.199200000000005</v>
      </c>
    </row>
    <row r="5649" spans="1:21" x14ac:dyDescent="0.35">
      <c r="A5649" s="1"/>
      <c r="U5649">
        <v>9.3312000000000008</v>
      </c>
    </row>
    <row r="5650" spans="1:21" x14ac:dyDescent="0.35">
      <c r="U5650">
        <v>15.552</v>
      </c>
    </row>
    <row r="5651" spans="1:21" x14ac:dyDescent="0.35">
      <c r="U5651">
        <v>28.95</v>
      </c>
    </row>
    <row r="5652" spans="1:21" x14ac:dyDescent="0.35">
      <c r="U5652">
        <v>0</v>
      </c>
    </row>
    <row r="5653" spans="1:21" x14ac:dyDescent="0.35">
      <c r="U5653">
        <v>210.73500000000001</v>
      </c>
    </row>
    <row r="5654" spans="1:21" x14ac:dyDescent="0.35">
      <c r="A5654" s="1"/>
      <c r="U5654">
        <v>20.085100000000001</v>
      </c>
    </row>
    <row r="5655" spans="1:21" x14ac:dyDescent="0.35">
      <c r="A5655" s="1"/>
      <c r="U5655">
        <v>0.79379999999999995</v>
      </c>
    </row>
    <row r="5656" spans="1:21" x14ac:dyDescent="0.35">
      <c r="U5656">
        <v>-30.16</v>
      </c>
    </row>
    <row r="5657" spans="1:21" x14ac:dyDescent="0.35">
      <c r="U5657">
        <v>2.3359999999999999</v>
      </c>
    </row>
    <row r="5658" spans="1:21" x14ac:dyDescent="0.35">
      <c r="U5658">
        <v>3.7856000000000001</v>
      </c>
    </row>
    <row r="5659" spans="1:21" x14ac:dyDescent="0.35">
      <c r="U5659">
        <v>-8.4581999999999997</v>
      </c>
    </row>
    <row r="5660" spans="1:21" x14ac:dyDescent="0.35">
      <c r="U5660">
        <v>-264.21499999999997</v>
      </c>
    </row>
    <row r="5661" spans="1:21" x14ac:dyDescent="0.35">
      <c r="U5661">
        <v>5.1791999999999998</v>
      </c>
    </row>
    <row r="5662" spans="1:21" x14ac:dyDescent="0.35">
      <c r="U5662">
        <v>-7.17</v>
      </c>
    </row>
    <row r="5663" spans="1:21" x14ac:dyDescent="0.35">
      <c r="U5663">
        <v>7.5039999999999996</v>
      </c>
    </row>
    <row r="5664" spans="1:21" x14ac:dyDescent="0.35">
      <c r="U5664">
        <v>-95.822999999999993</v>
      </c>
    </row>
    <row r="5665" spans="1:21" x14ac:dyDescent="0.35">
      <c r="U5665">
        <v>1.3992</v>
      </c>
    </row>
    <row r="5666" spans="1:21" x14ac:dyDescent="0.35">
      <c r="U5666">
        <v>-8.1311999999999998</v>
      </c>
    </row>
    <row r="5667" spans="1:21" x14ac:dyDescent="0.35">
      <c r="U5667">
        <v>4.1680000000000001</v>
      </c>
    </row>
    <row r="5668" spans="1:21" x14ac:dyDescent="0.35">
      <c r="U5668">
        <v>8.7051999999999996</v>
      </c>
    </row>
    <row r="5669" spans="1:21" x14ac:dyDescent="0.35">
      <c r="A5669" s="1"/>
      <c r="U5669">
        <v>6.8714000000000004</v>
      </c>
    </row>
    <row r="5670" spans="1:21" x14ac:dyDescent="0.35">
      <c r="A5670" s="1"/>
      <c r="U5670">
        <v>17.544799999999999</v>
      </c>
    </row>
    <row r="5671" spans="1:21" x14ac:dyDescent="0.35">
      <c r="A5671" s="1"/>
      <c r="U5671">
        <v>132.5898</v>
      </c>
    </row>
    <row r="5672" spans="1:21" x14ac:dyDescent="0.35">
      <c r="A5672" s="1"/>
      <c r="U5672">
        <v>92.393600000000006</v>
      </c>
    </row>
    <row r="5673" spans="1:21" x14ac:dyDescent="0.35">
      <c r="A5673" s="1"/>
      <c r="U5673">
        <v>8.7735000000000003</v>
      </c>
    </row>
    <row r="5674" spans="1:21" x14ac:dyDescent="0.35">
      <c r="U5674">
        <v>5.5439999999999996</v>
      </c>
    </row>
    <row r="5675" spans="1:21" x14ac:dyDescent="0.35">
      <c r="U5675">
        <v>2.64</v>
      </c>
    </row>
    <row r="5676" spans="1:21" x14ac:dyDescent="0.35">
      <c r="U5676">
        <v>6.2207999999999997</v>
      </c>
    </row>
    <row r="5677" spans="1:21" x14ac:dyDescent="0.35">
      <c r="U5677">
        <v>5.7408000000000001</v>
      </c>
    </row>
    <row r="5678" spans="1:21" x14ac:dyDescent="0.35">
      <c r="U5678">
        <v>2.2080000000000002</v>
      </c>
    </row>
    <row r="5679" spans="1:21" x14ac:dyDescent="0.35">
      <c r="U5679">
        <v>-50.668799999999997</v>
      </c>
    </row>
    <row r="5680" spans="1:21" x14ac:dyDescent="0.35">
      <c r="U5680">
        <v>9.1980000000000004</v>
      </c>
    </row>
    <row r="5681" spans="1:21" x14ac:dyDescent="0.35">
      <c r="U5681">
        <v>53.860799999999998</v>
      </c>
    </row>
    <row r="5682" spans="1:21" x14ac:dyDescent="0.35">
      <c r="U5682">
        <v>2.9348000000000001</v>
      </c>
    </row>
    <row r="5683" spans="1:21" x14ac:dyDescent="0.35">
      <c r="U5683">
        <v>3.1103999999999998</v>
      </c>
    </row>
    <row r="5684" spans="1:21" x14ac:dyDescent="0.35">
      <c r="A5684" s="1"/>
      <c r="U5684">
        <v>7.1280000000000001</v>
      </c>
    </row>
    <row r="5685" spans="1:21" x14ac:dyDescent="0.35">
      <c r="A5685" s="1"/>
      <c r="U5685">
        <v>293.98039999999997</v>
      </c>
    </row>
    <row r="5686" spans="1:21" x14ac:dyDescent="0.35">
      <c r="A5686" s="1"/>
      <c r="U5686">
        <v>40.274000000000001</v>
      </c>
    </row>
    <row r="5687" spans="1:21" x14ac:dyDescent="0.35">
      <c r="A5687" s="1"/>
      <c r="U5687">
        <v>35.6526</v>
      </c>
    </row>
    <row r="5688" spans="1:21" x14ac:dyDescent="0.35">
      <c r="U5688">
        <v>5.1909999999999998</v>
      </c>
    </row>
    <row r="5689" spans="1:21" x14ac:dyDescent="0.35">
      <c r="U5689">
        <v>12.988799999999999</v>
      </c>
    </row>
    <row r="5690" spans="1:21" x14ac:dyDescent="0.35">
      <c r="U5690">
        <v>16.518599999999999</v>
      </c>
    </row>
    <row r="5691" spans="1:21" x14ac:dyDescent="0.35">
      <c r="U5691">
        <v>-90.376199999999997</v>
      </c>
    </row>
    <row r="5692" spans="1:21" x14ac:dyDescent="0.35">
      <c r="A5692" s="1"/>
      <c r="U5692">
        <v>9.3024000000000004</v>
      </c>
    </row>
    <row r="5693" spans="1:21" x14ac:dyDescent="0.35">
      <c r="A5693" s="1"/>
      <c r="U5693">
        <v>20.585000000000001</v>
      </c>
    </row>
    <row r="5694" spans="1:21" x14ac:dyDescent="0.35">
      <c r="A5694" s="1"/>
      <c r="U5694">
        <v>36.447299999999998</v>
      </c>
    </row>
    <row r="5695" spans="1:21" x14ac:dyDescent="0.35">
      <c r="A5695" s="1"/>
      <c r="U5695">
        <v>12.672000000000001</v>
      </c>
    </row>
    <row r="5696" spans="1:21" x14ac:dyDescent="0.35">
      <c r="A5696" s="1"/>
      <c r="U5696">
        <v>141.1644</v>
      </c>
    </row>
    <row r="5697" spans="1:21" x14ac:dyDescent="0.35">
      <c r="A5697" s="1"/>
      <c r="U5697">
        <v>-1.7771999999999999</v>
      </c>
    </row>
    <row r="5698" spans="1:21" x14ac:dyDescent="0.35">
      <c r="U5698">
        <v>-42.463799999999999</v>
      </c>
    </row>
    <row r="5699" spans="1:21" x14ac:dyDescent="0.35">
      <c r="U5699">
        <v>-23.547999999999998</v>
      </c>
    </row>
    <row r="5700" spans="1:21" x14ac:dyDescent="0.35">
      <c r="A5700" s="1"/>
      <c r="U5700">
        <v>4.4400000000000004</v>
      </c>
    </row>
    <row r="5701" spans="1:21" x14ac:dyDescent="0.35">
      <c r="A5701" s="1"/>
      <c r="U5701">
        <v>17.581199999999999</v>
      </c>
    </row>
    <row r="5702" spans="1:21" x14ac:dyDescent="0.35">
      <c r="U5702">
        <v>15.282</v>
      </c>
    </row>
    <row r="5703" spans="1:21" x14ac:dyDescent="0.35">
      <c r="U5703">
        <v>-22.743500000000001</v>
      </c>
    </row>
    <row r="5704" spans="1:21" x14ac:dyDescent="0.35">
      <c r="U5704">
        <v>0.29520000000000002</v>
      </c>
    </row>
    <row r="5705" spans="1:21" x14ac:dyDescent="0.35">
      <c r="U5705">
        <v>-52.336500000000001</v>
      </c>
    </row>
    <row r="5706" spans="1:21" x14ac:dyDescent="0.35">
      <c r="U5706">
        <v>42.893500000000003</v>
      </c>
    </row>
    <row r="5707" spans="1:21" x14ac:dyDescent="0.35">
      <c r="A5707" s="1"/>
      <c r="U5707">
        <v>3.3755999999999999</v>
      </c>
    </row>
    <row r="5708" spans="1:21" x14ac:dyDescent="0.35">
      <c r="U5708">
        <v>14.563800000000001</v>
      </c>
    </row>
    <row r="5709" spans="1:21" x14ac:dyDescent="0.35">
      <c r="A5709" s="1"/>
      <c r="U5709">
        <v>30.187200000000001</v>
      </c>
    </row>
    <row r="5710" spans="1:21" x14ac:dyDescent="0.35">
      <c r="A5710" s="1"/>
      <c r="U5710">
        <v>7.1585999999999999</v>
      </c>
    </row>
    <row r="5711" spans="1:21" x14ac:dyDescent="0.35">
      <c r="A5711" s="1"/>
      <c r="U5711">
        <v>21.294</v>
      </c>
    </row>
    <row r="5712" spans="1:21" x14ac:dyDescent="0.35">
      <c r="A5712" s="1"/>
      <c r="U5712">
        <v>1014.9797</v>
      </c>
    </row>
    <row r="5713" spans="1:21" x14ac:dyDescent="0.35">
      <c r="A5713" s="1"/>
      <c r="U5713">
        <v>9.3312000000000008</v>
      </c>
    </row>
    <row r="5714" spans="1:21" x14ac:dyDescent="0.35">
      <c r="U5714">
        <v>4.1391</v>
      </c>
    </row>
    <row r="5715" spans="1:21" x14ac:dyDescent="0.35">
      <c r="A5715" s="1"/>
      <c r="U5715">
        <v>1.6037999999999999</v>
      </c>
    </row>
    <row r="5716" spans="1:21" x14ac:dyDescent="0.35">
      <c r="U5716">
        <v>47.938499999999998</v>
      </c>
    </row>
    <row r="5717" spans="1:21" x14ac:dyDescent="0.35">
      <c r="A5717" s="1"/>
      <c r="U5717">
        <v>111.59099999999999</v>
      </c>
    </row>
    <row r="5718" spans="1:21" x14ac:dyDescent="0.35">
      <c r="A5718" s="1"/>
      <c r="U5718">
        <v>8.4564000000000004</v>
      </c>
    </row>
    <row r="5719" spans="1:21" x14ac:dyDescent="0.35">
      <c r="A5719" s="1"/>
      <c r="U5719">
        <v>27.241199999999999</v>
      </c>
    </row>
    <row r="5720" spans="1:21" x14ac:dyDescent="0.35">
      <c r="A5720" s="1"/>
      <c r="U5720">
        <v>5.2271999999999998</v>
      </c>
    </row>
    <row r="5721" spans="1:21" x14ac:dyDescent="0.35">
      <c r="U5721">
        <v>21.164000000000001</v>
      </c>
    </row>
    <row r="5722" spans="1:21" x14ac:dyDescent="0.35">
      <c r="U5722">
        <v>2.2890000000000001</v>
      </c>
    </row>
    <row r="5723" spans="1:21" x14ac:dyDescent="0.35">
      <c r="U5723">
        <v>4.5587999999999997</v>
      </c>
    </row>
    <row r="5724" spans="1:21" x14ac:dyDescent="0.35">
      <c r="U5724">
        <v>29.994</v>
      </c>
    </row>
    <row r="5725" spans="1:21" x14ac:dyDescent="0.35">
      <c r="U5725">
        <v>6.2207999999999997</v>
      </c>
    </row>
    <row r="5726" spans="1:21" x14ac:dyDescent="0.35">
      <c r="U5726">
        <v>-82.884</v>
      </c>
    </row>
    <row r="5727" spans="1:21" x14ac:dyDescent="0.35">
      <c r="U5727">
        <v>395.96039999999999</v>
      </c>
    </row>
    <row r="5728" spans="1:21" x14ac:dyDescent="0.35">
      <c r="A5728" s="1"/>
      <c r="U5728">
        <v>118.29300000000001</v>
      </c>
    </row>
    <row r="5729" spans="1:21" x14ac:dyDescent="0.35">
      <c r="A5729" s="1"/>
      <c r="U5729">
        <v>32.059800000000003</v>
      </c>
    </row>
    <row r="5730" spans="1:21" x14ac:dyDescent="0.35">
      <c r="A5730" s="1"/>
      <c r="U5730">
        <v>305.13</v>
      </c>
    </row>
    <row r="5731" spans="1:21" x14ac:dyDescent="0.35">
      <c r="A5731" s="1"/>
      <c r="U5731">
        <v>28.087599999999998</v>
      </c>
    </row>
    <row r="5732" spans="1:21" x14ac:dyDescent="0.35">
      <c r="A5732" s="1"/>
      <c r="U5732">
        <v>41.392800000000001</v>
      </c>
    </row>
    <row r="5733" spans="1:21" x14ac:dyDescent="0.35">
      <c r="A5733" s="1"/>
      <c r="U5733">
        <v>12.6592</v>
      </c>
    </row>
    <row r="5734" spans="1:21" x14ac:dyDescent="0.35">
      <c r="U5734">
        <v>185.2578</v>
      </c>
    </row>
    <row r="5735" spans="1:21" x14ac:dyDescent="0.35">
      <c r="U5735">
        <v>7.9794</v>
      </c>
    </row>
    <row r="5736" spans="1:21" x14ac:dyDescent="0.35">
      <c r="U5736">
        <v>8.5543999999999993</v>
      </c>
    </row>
    <row r="5737" spans="1:21" x14ac:dyDescent="0.35">
      <c r="U5737">
        <v>4.8719999999999999</v>
      </c>
    </row>
    <row r="5738" spans="1:21" x14ac:dyDescent="0.35">
      <c r="U5738">
        <v>9.2927999999999997</v>
      </c>
    </row>
    <row r="5739" spans="1:21" x14ac:dyDescent="0.35">
      <c r="U5739">
        <v>5.79</v>
      </c>
    </row>
    <row r="5740" spans="1:21" x14ac:dyDescent="0.35">
      <c r="U5740">
        <v>13.4316</v>
      </c>
    </row>
    <row r="5741" spans="1:21" x14ac:dyDescent="0.35">
      <c r="U5741">
        <v>6.3503999999999996</v>
      </c>
    </row>
    <row r="5742" spans="1:21" x14ac:dyDescent="0.35">
      <c r="U5742">
        <v>10.0624</v>
      </c>
    </row>
    <row r="5743" spans="1:21" x14ac:dyDescent="0.35">
      <c r="U5743">
        <v>53.271999999999998</v>
      </c>
    </row>
    <row r="5744" spans="1:21" x14ac:dyDescent="0.35">
      <c r="U5744">
        <v>12.8256</v>
      </c>
    </row>
    <row r="5745" spans="1:21" x14ac:dyDescent="0.35">
      <c r="U5745">
        <v>9.6191999999999993</v>
      </c>
    </row>
    <row r="5746" spans="1:21" x14ac:dyDescent="0.35">
      <c r="U5746">
        <v>7.9547999999999996</v>
      </c>
    </row>
    <row r="5747" spans="1:21" x14ac:dyDescent="0.35">
      <c r="U5747">
        <v>6.8992000000000004</v>
      </c>
    </row>
    <row r="5748" spans="1:21" x14ac:dyDescent="0.35">
      <c r="A5748" s="1"/>
      <c r="U5748">
        <v>31.198</v>
      </c>
    </row>
    <row r="5749" spans="1:21" x14ac:dyDescent="0.35">
      <c r="A5749" s="1"/>
      <c r="U5749">
        <v>17.8794</v>
      </c>
    </row>
    <row r="5750" spans="1:21" x14ac:dyDescent="0.35">
      <c r="A5750" s="1"/>
      <c r="U5750">
        <v>-2.484</v>
      </c>
    </row>
    <row r="5751" spans="1:21" x14ac:dyDescent="0.35">
      <c r="U5751">
        <v>36.725499999999997</v>
      </c>
    </row>
    <row r="5752" spans="1:21" x14ac:dyDescent="0.35">
      <c r="U5752">
        <v>-184.8366</v>
      </c>
    </row>
    <row r="5753" spans="1:21" x14ac:dyDescent="0.35">
      <c r="U5753">
        <v>22.2</v>
      </c>
    </row>
    <row r="5754" spans="1:21" x14ac:dyDescent="0.35">
      <c r="U5754">
        <v>9.4990000000000006</v>
      </c>
    </row>
    <row r="5755" spans="1:21" x14ac:dyDescent="0.35">
      <c r="A5755" s="1"/>
      <c r="U5755">
        <v>225.26400000000001</v>
      </c>
    </row>
    <row r="5756" spans="1:21" x14ac:dyDescent="0.35">
      <c r="U5756">
        <v>1.4456</v>
      </c>
    </row>
    <row r="5757" spans="1:21" x14ac:dyDescent="0.35">
      <c r="U5757">
        <v>-8.532</v>
      </c>
    </row>
    <row r="5758" spans="1:21" x14ac:dyDescent="0.35">
      <c r="U5758">
        <v>624.98749999999995</v>
      </c>
    </row>
    <row r="5759" spans="1:21" x14ac:dyDescent="0.35">
      <c r="A5759" s="1"/>
      <c r="U5759">
        <v>12.1149</v>
      </c>
    </row>
    <row r="5760" spans="1:21" x14ac:dyDescent="0.35">
      <c r="U5760">
        <v>-1.9791000000000001</v>
      </c>
    </row>
    <row r="5761" spans="1:21" x14ac:dyDescent="0.35">
      <c r="U5761">
        <v>125.14319999999999</v>
      </c>
    </row>
    <row r="5762" spans="1:21" x14ac:dyDescent="0.35">
      <c r="U5762">
        <v>2.1545999999999998</v>
      </c>
    </row>
    <row r="5763" spans="1:21" x14ac:dyDescent="0.35">
      <c r="A5763" s="1"/>
      <c r="U5763">
        <v>152.0232</v>
      </c>
    </row>
    <row r="5764" spans="1:21" x14ac:dyDescent="0.35">
      <c r="A5764" s="1"/>
      <c r="U5764">
        <v>19.7712</v>
      </c>
    </row>
    <row r="5765" spans="1:21" x14ac:dyDescent="0.35">
      <c r="A5765" s="1"/>
      <c r="U5765">
        <v>209.274</v>
      </c>
    </row>
    <row r="5766" spans="1:21" x14ac:dyDescent="0.35">
      <c r="A5766" s="1"/>
      <c r="U5766">
        <v>17.693999999999999</v>
      </c>
    </row>
    <row r="5767" spans="1:21" x14ac:dyDescent="0.35">
      <c r="A5767" s="1"/>
      <c r="U5767">
        <v>25.0182</v>
      </c>
    </row>
    <row r="5768" spans="1:21" x14ac:dyDescent="0.35">
      <c r="A5768" s="1"/>
      <c r="U5768">
        <v>20.2986</v>
      </c>
    </row>
    <row r="5769" spans="1:21" x14ac:dyDescent="0.35">
      <c r="A5769" s="1"/>
      <c r="U5769">
        <v>20.234999999999999</v>
      </c>
    </row>
    <row r="5770" spans="1:21" x14ac:dyDescent="0.35">
      <c r="U5770">
        <v>1.512</v>
      </c>
    </row>
    <row r="5771" spans="1:21" x14ac:dyDescent="0.35">
      <c r="U5771">
        <v>10.224</v>
      </c>
    </row>
    <row r="5772" spans="1:21" x14ac:dyDescent="0.35">
      <c r="U5772">
        <v>4.6220999999999997</v>
      </c>
    </row>
    <row r="5773" spans="1:21" x14ac:dyDescent="0.35">
      <c r="U5773">
        <v>335.85480000000001</v>
      </c>
    </row>
    <row r="5774" spans="1:21" x14ac:dyDescent="0.35">
      <c r="U5774">
        <v>233.99610000000001</v>
      </c>
    </row>
    <row r="5775" spans="1:21" x14ac:dyDescent="0.35">
      <c r="U5775">
        <v>2.3967999999999998</v>
      </c>
    </row>
    <row r="5776" spans="1:21" x14ac:dyDescent="0.35">
      <c r="A5776" s="1"/>
      <c r="U5776">
        <v>-31.914400000000001</v>
      </c>
    </row>
    <row r="5777" spans="1:21" x14ac:dyDescent="0.35">
      <c r="A5777" s="1"/>
      <c r="U5777">
        <v>4.6227999999999998</v>
      </c>
    </row>
    <row r="5778" spans="1:21" x14ac:dyDescent="0.35">
      <c r="A5778" s="1"/>
      <c r="U5778">
        <v>5.8230000000000004</v>
      </c>
    </row>
    <row r="5779" spans="1:21" x14ac:dyDescent="0.35">
      <c r="A5779" s="1"/>
      <c r="U5779">
        <v>50.328000000000003</v>
      </c>
    </row>
    <row r="5780" spans="1:21" x14ac:dyDescent="0.35">
      <c r="A5780" s="1"/>
      <c r="U5780">
        <v>7.9248000000000003</v>
      </c>
    </row>
    <row r="5781" spans="1:21" x14ac:dyDescent="0.35">
      <c r="A5781" s="1"/>
      <c r="U5781">
        <v>11.264799999999999</v>
      </c>
    </row>
    <row r="5782" spans="1:21" x14ac:dyDescent="0.35">
      <c r="A5782" s="1"/>
      <c r="U5782">
        <v>24.291899999999998</v>
      </c>
    </row>
    <row r="5783" spans="1:21" x14ac:dyDescent="0.35">
      <c r="A5783" s="1"/>
      <c r="U5783">
        <v>0.59670000000000001</v>
      </c>
    </row>
    <row r="5784" spans="1:21" x14ac:dyDescent="0.35">
      <c r="A5784" s="1"/>
      <c r="U5784">
        <v>7.4496000000000002</v>
      </c>
    </row>
    <row r="5785" spans="1:21" x14ac:dyDescent="0.35">
      <c r="A5785" s="1"/>
      <c r="U5785">
        <v>16.398</v>
      </c>
    </row>
    <row r="5786" spans="1:21" x14ac:dyDescent="0.35">
      <c r="A5786" s="1"/>
      <c r="U5786">
        <v>-384.71640000000002</v>
      </c>
    </row>
    <row r="5787" spans="1:21" x14ac:dyDescent="0.35">
      <c r="A5787" s="1"/>
      <c r="U5787">
        <v>4.3956</v>
      </c>
    </row>
    <row r="5788" spans="1:21" x14ac:dyDescent="0.35">
      <c r="A5788" s="1"/>
      <c r="U5788">
        <v>-16.601199999999999</v>
      </c>
    </row>
    <row r="5789" spans="1:21" x14ac:dyDescent="0.35">
      <c r="A5789" s="1"/>
      <c r="U5789">
        <v>10.7037</v>
      </c>
    </row>
    <row r="5790" spans="1:21" x14ac:dyDescent="0.35">
      <c r="A5790" s="1"/>
      <c r="U5790">
        <v>1.8480000000000001</v>
      </c>
    </row>
    <row r="5791" spans="1:21" x14ac:dyDescent="0.35">
      <c r="A5791" s="1"/>
      <c r="U5791">
        <v>-3.0933000000000002</v>
      </c>
    </row>
    <row r="5792" spans="1:21" x14ac:dyDescent="0.35">
      <c r="U5792">
        <v>16.8</v>
      </c>
    </row>
    <row r="5793" spans="1:21" x14ac:dyDescent="0.35">
      <c r="U5793">
        <v>0</v>
      </c>
    </row>
    <row r="5794" spans="1:21" x14ac:dyDescent="0.35">
      <c r="U5794">
        <v>25.438400000000001</v>
      </c>
    </row>
    <row r="5795" spans="1:21" x14ac:dyDescent="0.35">
      <c r="U5795">
        <v>15.525</v>
      </c>
    </row>
    <row r="5796" spans="1:21" x14ac:dyDescent="0.35">
      <c r="U5796">
        <v>16.3352</v>
      </c>
    </row>
    <row r="5797" spans="1:21" x14ac:dyDescent="0.35">
      <c r="U5797">
        <v>362.84039999999999</v>
      </c>
    </row>
    <row r="5798" spans="1:21" x14ac:dyDescent="0.35">
      <c r="U5798">
        <v>36.381599999999999</v>
      </c>
    </row>
    <row r="5799" spans="1:21" x14ac:dyDescent="0.35">
      <c r="U5799">
        <v>8.6940000000000008</v>
      </c>
    </row>
    <row r="5800" spans="1:21" x14ac:dyDescent="0.35">
      <c r="U5800">
        <v>37.9848</v>
      </c>
    </row>
    <row r="5801" spans="1:21" x14ac:dyDescent="0.35">
      <c r="U5801">
        <v>-6.0195999999999996</v>
      </c>
    </row>
    <row r="5802" spans="1:21" x14ac:dyDescent="0.35">
      <c r="A5802" s="1"/>
      <c r="U5802">
        <v>43.197600000000001</v>
      </c>
    </row>
    <row r="5803" spans="1:21" x14ac:dyDescent="0.35">
      <c r="A5803" s="1"/>
      <c r="U5803">
        <v>3.6288</v>
      </c>
    </row>
    <row r="5804" spans="1:21" x14ac:dyDescent="0.35">
      <c r="U5804">
        <v>1.1988000000000001</v>
      </c>
    </row>
    <row r="5805" spans="1:21" x14ac:dyDescent="0.35">
      <c r="A5805" s="1"/>
      <c r="U5805">
        <v>1.1556</v>
      </c>
    </row>
    <row r="5806" spans="1:21" x14ac:dyDescent="0.35">
      <c r="U5806">
        <v>6.1791999999999998</v>
      </c>
    </row>
    <row r="5807" spans="1:21" x14ac:dyDescent="0.35">
      <c r="U5807">
        <v>-27.264600000000002</v>
      </c>
    </row>
    <row r="5808" spans="1:21" x14ac:dyDescent="0.35">
      <c r="A5808" s="1"/>
      <c r="U5808">
        <v>4.1147999999999998</v>
      </c>
    </row>
    <row r="5809" spans="1:21" x14ac:dyDescent="0.35">
      <c r="A5809" s="1"/>
      <c r="U5809">
        <v>8.7167999999999992</v>
      </c>
    </row>
    <row r="5810" spans="1:21" x14ac:dyDescent="0.35">
      <c r="A5810" s="1"/>
      <c r="U5810">
        <v>8.3328000000000007</v>
      </c>
    </row>
    <row r="5811" spans="1:21" x14ac:dyDescent="0.35">
      <c r="A5811" s="1"/>
      <c r="U5811">
        <v>-18.180800000000001</v>
      </c>
    </row>
    <row r="5812" spans="1:21" x14ac:dyDescent="0.35">
      <c r="U5812">
        <v>48.539200000000001</v>
      </c>
    </row>
    <row r="5813" spans="1:21" x14ac:dyDescent="0.35">
      <c r="U5813">
        <v>15.6332</v>
      </c>
    </row>
    <row r="5814" spans="1:21" x14ac:dyDescent="0.35">
      <c r="U5814">
        <v>185.99700000000001</v>
      </c>
    </row>
    <row r="5815" spans="1:21" x14ac:dyDescent="0.35">
      <c r="A5815" s="1"/>
      <c r="U5815">
        <v>9.3312000000000008</v>
      </c>
    </row>
    <row r="5816" spans="1:21" x14ac:dyDescent="0.35">
      <c r="U5816">
        <v>-0.72950000000000004</v>
      </c>
    </row>
    <row r="5817" spans="1:21" x14ac:dyDescent="0.35">
      <c r="U5817">
        <v>78.388800000000003</v>
      </c>
    </row>
    <row r="5818" spans="1:21" x14ac:dyDescent="0.35">
      <c r="U5818">
        <v>4.6806000000000001</v>
      </c>
    </row>
    <row r="5819" spans="1:21" x14ac:dyDescent="0.35">
      <c r="U5819">
        <v>5.7671999999999999</v>
      </c>
    </row>
    <row r="5820" spans="1:21" x14ac:dyDescent="0.35">
      <c r="U5820">
        <v>44.712000000000003</v>
      </c>
    </row>
    <row r="5821" spans="1:21" x14ac:dyDescent="0.35">
      <c r="U5821">
        <v>5.6448</v>
      </c>
    </row>
    <row r="5822" spans="1:21" x14ac:dyDescent="0.35">
      <c r="A5822" s="1"/>
      <c r="U5822">
        <v>4.7724000000000002</v>
      </c>
    </row>
    <row r="5823" spans="1:21" x14ac:dyDescent="0.35">
      <c r="A5823" s="1"/>
      <c r="U5823">
        <v>2.0979000000000001</v>
      </c>
    </row>
    <row r="5824" spans="1:21" x14ac:dyDescent="0.35">
      <c r="A5824" s="1"/>
      <c r="U5824">
        <v>-10.705500000000001</v>
      </c>
    </row>
    <row r="5825" spans="1:21" x14ac:dyDescent="0.35">
      <c r="A5825" s="1"/>
      <c r="U5825">
        <v>6.4691999999999998</v>
      </c>
    </row>
    <row r="5826" spans="1:21" x14ac:dyDescent="0.35">
      <c r="A5826" s="1"/>
      <c r="U5826">
        <v>1.9601999999999999</v>
      </c>
    </row>
    <row r="5827" spans="1:21" x14ac:dyDescent="0.35">
      <c r="A5827" s="1"/>
      <c r="U5827">
        <v>201.31200000000001</v>
      </c>
    </row>
    <row r="5828" spans="1:21" x14ac:dyDescent="0.35">
      <c r="A5828" s="1"/>
      <c r="U5828">
        <v>14.124599999999999</v>
      </c>
    </row>
    <row r="5829" spans="1:21" x14ac:dyDescent="0.35">
      <c r="A5829" s="1"/>
      <c r="U5829">
        <v>-8.0784000000000002</v>
      </c>
    </row>
    <row r="5830" spans="1:21" x14ac:dyDescent="0.35">
      <c r="A5830" s="1"/>
      <c r="U5830">
        <v>2.2240000000000002</v>
      </c>
    </row>
    <row r="5831" spans="1:21" x14ac:dyDescent="0.35">
      <c r="A5831" s="1"/>
      <c r="U5831">
        <v>104.75279999999999</v>
      </c>
    </row>
    <row r="5832" spans="1:21" x14ac:dyDescent="0.35">
      <c r="A5832" s="1"/>
      <c r="U5832">
        <v>8.0945999999999998</v>
      </c>
    </row>
    <row r="5833" spans="1:21" x14ac:dyDescent="0.35">
      <c r="U5833">
        <v>176.78639999999999</v>
      </c>
    </row>
    <row r="5834" spans="1:21" x14ac:dyDescent="0.35">
      <c r="U5834">
        <v>2.0358000000000001</v>
      </c>
    </row>
    <row r="5835" spans="1:21" x14ac:dyDescent="0.35">
      <c r="U5835">
        <v>0</v>
      </c>
    </row>
    <row r="5836" spans="1:21" x14ac:dyDescent="0.35">
      <c r="A5836" s="1"/>
      <c r="U5836">
        <v>-42.8</v>
      </c>
    </row>
    <row r="5837" spans="1:21" x14ac:dyDescent="0.35">
      <c r="A5837" s="1"/>
      <c r="U5837">
        <v>-26.963999999999999</v>
      </c>
    </row>
    <row r="5838" spans="1:21" x14ac:dyDescent="0.35">
      <c r="A5838" s="1"/>
      <c r="U5838">
        <v>-8.1675000000000004</v>
      </c>
    </row>
    <row r="5839" spans="1:21" x14ac:dyDescent="0.35">
      <c r="U5839">
        <v>5.7568000000000001</v>
      </c>
    </row>
    <row r="5840" spans="1:21" x14ac:dyDescent="0.35">
      <c r="U5840">
        <v>3.3479999999999999</v>
      </c>
    </row>
    <row r="5841" spans="1:21" x14ac:dyDescent="0.35">
      <c r="U5841">
        <v>15.552</v>
      </c>
    </row>
    <row r="5842" spans="1:21" x14ac:dyDescent="0.35">
      <c r="U5842">
        <v>11.035399999999999</v>
      </c>
    </row>
    <row r="5843" spans="1:21" x14ac:dyDescent="0.35">
      <c r="U5843">
        <v>51.996000000000002</v>
      </c>
    </row>
    <row r="5844" spans="1:21" x14ac:dyDescent="0.35">
      <c r="U5844">
        <v>6.0979999999999999</v>
      </c>
    </row>
    <row r="5845" spans="1:21" x14ac:dyDescent="0.35">
      <c r="U5845">
        <v>29.145600000000002</v>
      </c>
    </row>
    <row r="5846" spans="1:21" x14ac:dyDescent="0.35">
      <c r="U5846">
        <v>54.404699999999998</v>
      </c>
    </row>
    <row r="5847" spans="1:21" x14ac:dyDescent="0.35">
      <c r="U5847">
        <v>15.552</v>
      </c>
    </row>
    <row r="5848" spans="1:21" x14ac:dyDescent="0.35">
      <c r="U5848">
        <v>2.8195999999999999</v>
      </c>
    </row>
    <row r="5849" spans="1:21" x14ac:dyDescent="0.35">
      <c r="U5849">
        <v>15.372</v>
      </c>
    </row>
    <row r="5850" spans="1:21" x14ac:dyDescent="0.35">
      <c r="A5850" s="1"/>
      <c r="U5850">
        <v>178.91</v>
      </c>
    </row>
    <row r="5851" spans="1:21" x14ac:dyDescent="0.35">
      <c r="A5851" s="1"/>
      <c r="U5851">
        <v>143.1918</v>
      </c>
    </row>
    <row r="5852" spans="1:21" x14ac:dyDescent="0.35">
      <c r="A5852" s="1"/>
      <c r="U5852">
        <v>274.995</v>
      </c>
    </row>
    <row r="5853" spans="1:21" x14ac:dyDescent="0.35">
      <c r="A5853" s="1"/>
      <c r="U5853">
        <v>34.389600000000002</v>
      </c>
    </row>
    <row r="5854" spans="1:21" x14ac:dyDescent="0.35">
      <c r="A5854" s="1"/>
      <c r="U5854">
        <v>12.8568</v>
      </c>
    </row>
    <row r="5855" spans="1:21" x14ac:dyDescent="0.35">
      <c r="A5855" s="1"/>
      <c r="U5855">
        <v>4.7236000000000002</v>
      </c>
    </row>
    <row r="5856" spans="1:21" x14ac:dyDescent="0.35">
      <c r="A5856" s="1"/>
      <c r="U5856">
        <v>-1.2558</v>
      </c>
    </row>
    <row r="5857" spans="1:21" x14ac:dyDescent="0.35">
      <c r="A5857" s="1"/>
      <c r="U5857">
        <v>-4.8959999999999999</v>
      </c>
    </row>
    <row r="5858" spans="1:21" x14ac:dyDescent="0.35">
      <c r="A5858" s="1"/>
      <c r="U5858">
        <v>-2.1791999999999998</v>
      </c>
    </row>
    <row r="5859" spans="1:21" x14ac:dyDescent="0.35">
      <c r="A5859" s="1"/>
      <c r="U5859">
        <v>-11.439</v>
      </c>
    </row>
    <row r="5860" spans="1:21" x14ac:dyDescent="0.35">
      <c r="A5860" s="1"/>
      <c r="U5860">
        <v>14.098000000000001</v>
      </c>
    </row>
    <row r="5861" spans="1:21" x14ac:dyDescent="0.35">
      <c r="A5861" s="1"/>
      <c r="U5861">
        <v>45.293999999999997</v>
      </c>
    </row>
    <row r="5862" spans="1:21" x14ac:dyDescent="0.35">
      <c r="U5862">
        <v>2.8883999999999999</v>
      </c>
    </row>
    <row r="5863" spans="1:21" x14ac:dyDescent="0.35">
      <c r="A5863" s="1"/>
      <c r="U5863">
        <v>53.860799999999998</v>
      </c>
    </row>
    <row r="5864" spans="1:21" x14ac:dyDescent="0.35">
      <c r="A5864" s="1"/>
      <c r="U5864">
        <v>9.3312000000000008</v>
      </c>
    </row>
    <row r="5865" spans="1:21" x14ac:dyDescent="0.35">
      <c r="A5865" s="1"/>
      <c r="U5865">
        <v>4.3524000000000003</v>
      </c>
    </row>
    <row r="5866" spans="1:21" x14ac:dyDescent="0.35">
      <c r="A5866" s="1"/>
      <c r="U5866">
        <v>22.2516</v>
      </c>
    </row>
    <row r="5867" spans="1:21" x14ac:dyDescent="0.35">
      <c r="A5867" s="1"/>
      <c r="U5867">
        <v>2.0064000000000002</v>
      </c>
    </row>
    <row r="5868" spans="1:21" x14ac:dyDescent="0.35">
      <c r="A5868" s="1"/>
      <c r="U5868">
        <v>294.67099999999999</v>
      </c>
    </row>
    <row r="5869" spans="1:21" x14ac:dyDescent="0.35">
      <c r="A5869" s="1"/>
      <c r="U5869">
        <v>0.58399999999999996</v>
      </c>
    </row>
    <row r="5870" spans="1:21" x14ac:dyDescent="0.35">
      <c r="A5870" s="1"/>
      <c r="U5870">
        <v>-80.177999999999997</v>
      </c>
    </row>
    <row r="5871" spans="1:21" x14ac:dyDescent="0.35">
      <c r="A5871" s="1"/>
      <c r="U5871">
        <v>100.196</v>
      </c>
    </row>
    <row r="5872" spans="1:21" x14ac:dyDescent="0.35">
      <c r="U5872">
        <v>80.843000000000004</v>
      </c>
    </row>
    <row r="5873" spans="1:21" x14ac:dyDescent="0.35">
      <c r="U5873">
        <v>21.7515</v>
      </c>
    </row>
    <row r="5874" spans="1:21" x14ac:dyDescent="0.35">
      <c r="U5874">
        <v>16.732800000000001</v>
      </c>
    </row>
    <row r="5875" spans="1:21" x14ac:dyDescent="0.35">
      <c r="A5875" s="1"/>
      <c r="U5875">
        <v>54.04</v>
      </c>
    </row>
    <row r="5876" spans="1:21" x14ac:dyDescent="0.35">
      <c r="A5876" s="1"/>
      <c r="U5876">
        <v>4.3883999999999999</v>
      </c>
    </row>
    <row r="5877" spans="1:21" x14ac:dyDescent="0.35">
      <c r="A5877" s="1"/>
      <c r="U5877">
        <v>1.0268999999999999</v>
      </c>
    </row>
    <row r="5878" spans="1:21" x14ac:dyDescent="0.35">
      <c r="U5878">
        <v>219.45140000000001</v>
      </c>
    </row>
    <row r="5879" spans="1:21" x14ac:dyDescent="0.35">
      <c r="U5879">
        <v>8.7905999999999995</v>
      </c>
    </row>
    <row r="5880" spans="1:21" x14ac:dyDescent="0.35">
      <c r="U5880">
        <v>68.846400000000003</v>
      </c>
    </row>
    <row r="5881" spans="1:21" x14ac:dyDescent="0.35">
      <c r="A5881" s="1"/>
      <c r="U5881">
        <v>92.236800000000002</v>
      </c>
    </row>
    <row r="5882" spans="1:21" x14ac:dyDescent="0.35">
      <c r="U5882">
        <v>50.097999999999999</v>
      </c>
    </row>
    <row r="5883" spans="1:21" x14ac:dyDescent="0.35">
      <c r="U5883">
        <v>180.76589999999999</v>
      </c>
    </row>
    <row r="5884" spans="1:21" x14ac:dyDescent="0.35">
      <c r="U5884">
        <v>-99.621899999999997</v>
      </c>
    </row>
    <row r="5885" spans="1:21" x14ac:dyDescent="0.35">
      <c r="U5885">
        <v>7.3528000000000002</v>
      </c>
    </row>
    <row r="5886" spans="1:21" x14ac:dyDescent="0.35">
      <c r="U5886">
        <v>196.50360000000001</v>
      </c>
    </row>
    <row r="5887" spans="1:21" x14ac:dyDescent="0.35">
      <c r="U5887">
        <v>5.0232000000000001</v>
      </c>
    </row>
    <row r="5888" spans="1:21" x14ac:dyDescent="0.35">
      <c r="U5888">
        <v>86.385599999999997</v>
      </c>
    </row>
    <row r="5889" spans="1:21" x14ac:dyDescent="0.35">
      <c r="A5889" s="1"/>
      <c r="U5889">
        <v>11.117599999999999</v>
      </c>
    </row>
    <row r="5890" spans="1:21" x14ac:dyDescent="0.35">
      <c r="A5890" s="1"/>
      <c r="U5890">
        <v>21.012799999999999</v>
      </c>
    </row>
    <row r="5891" spans="1:21" x14ac:dyDescent="0.35">
      <c r="U5891">
        <v>11.7782</v>
      </c>
    </row>
    <row r="5892" spans="1:21" x14ac:dyDescent="0.35">
      <c r="U5892">
        <v>13.4512</v>
      </c>
    </row>
    <row r="5893" spans="1:21" x14ac:dyDescent="0.35">
      <c r="U5893">
        <v>1.6175999999999999</v>
      </c>
    </row>
    <row r="5894" spans="1:21" x14ac:dyDescent="0.35">
      <c r="U5894">
        <v>2.0394000000000001</v>
      </c>
    </row>
    <row r="5895" spans="1:21" x14ac:dyDescent="0.35">
      <c r="A5895" s="1"/>
      <c r="U5895">
        <v>1.3622000000000001</v>
      </c>
    </row>
    <row r="5896" spans="1:21" x14ac:dyDescent="0.35">
      <c r="A5896" s="1"/>
      <c r="U5896">
        <v>23.968800000000002</v>
      </c>
    </row>
    <row r="5897" spans="1:21" x14ac:dyDescent="0.35">
      <c r="A5897" s="1"/>
      <c r="U5897">
        <v>22.2</v>
      </c>
    </row>
    <row r="5898" spans="1:21" x14ac:dyDescent="0.35">
      <c r="A5898" s="1"/>
      <c r="U5898">
        <v>9.6300000000000008</v>
      </c>
    </row>
    <row r="5899" spans="1:21" x14ac:dyDescent="0.35">
      <c r="A5899" s="1"/>
      <c r="U5899">
        <v>22.0472</v>
      </c>
    </row>
    <row r="5900" spans="1:21" x14ac:dyDescent="0.35">
      <c r="A5900" s="1"/>
      <c r="U5900">
        <v>124.7808</v>
      </c>
    </row>
    <row r="5901" spans="1:21" x14ac:dyDescent="0.35">
      <c r="A5901" s="1"/>
      <c r="U5901">
        <v>4.8899999999999997</v>
      </c>
    </row>
    <row r="5902" spans="1:21" x14ac:dyDescent="0.35">
      <c r="U5902">
        <v>7.56</v>
      </c>
    </row>
    <row r="5903" spans="1:21" x14ac:dyDescent="0.35">
      <c r="U5903">
        <v>10.4148</v>
      </c>
    </row>
    <row r="5904" spans="1:21" x14ac:dyDescent="0.35">
      <c r="A5904" s="1"/>
      <c r="U5904">
        <v>28.171800000000001</v>
      </c>
    </row>
    <row r="5905" spans="1:21" x14ac:dyDescent="0.35">
      <c r="A5905" s="1"/>
      <c r="U5905">
        <v>22.226400000000002</v>
      </c>
    </row>
    <row r="5906" spans="1:21" x14ac:dyDescent="0.35">
      <c r="A5906" s="1"/>
      <c r="U5906">
        <v>12.672000000000001</v>
      </c>
    </row>
    <row r="5907" spans="1:21" x14ac:dyDescent="0.35">
      <c r="A5907" s="1"/>
      <c r="U5907">
        <v>19.872</v>
      </c>
    </row>
    <row r="5908" spans="1:21" x14ac:dyDescent="0.35">
      <c r="A5908" s="1"/>
      <c r="U5908">
        <v>1.0169999999999999</v>
      </c>
    </row>
    <row r="5909" spans="1:21" x14ac:dyDescent="0.35">
      <c r="A5909" s="1"/>
      <c r="U5909">
        <v>9.2639999999999993</v>
      </c>
    </row>
    <row r="5910" spans="1:21" x14ac:dyDescent="0.35">
      <c r="A5910" s="1"/>
      <c r="U5910">
        <v>26.864999999999998</v>
      </c>
    </row>
    <row r="5911" spans="1:21" x14ac:dyDescent="0.35">
      <c r="A5911" s="1"/>
      <c r="U5911">
        <v>5.6627999999999998</v>
      </c>
    </row>
    <row r="5912" spans="1:21" x14ac:dyDescent="0.35">
      <c r="A5912" s="1"/>
      <c r="U5912">
        <v>33.8598</v>
      </c>
    </row>
    <row r="5913" spans="1:21" x14ac:dyDescent="0.35">
      <c r="U5913">
        <v>13.0284</v>
      </c>
    </row>
    <row r="5914" spans="1:21" x14ac:dyDescent="0.35">
      <c r="U5914">
        <v>6.63</v>
      </c>
    </row>
    <row r="5915" spans="1:21" x14ac:dyDescent="0.35">
      <c r="U5915">
        <v>1.0429999999999999</v>
      </c>
    </row>
    <row r="5916" spans="1:21" x14ac:dyDescent="0.35">
      <c r="U5916">
        <v>41.223700000000001</v>
      </c>
    </row>
    <row r="5917" spans="1:21" x14ac:dyDescent="0.35">
      <c r="U5917">
        <v>8.8783999999999992</v>
      </c>
    </row>
    <row r="5918" spans="1:21" x14ac:dyDescent="0.35">
      <c r="U5918">
        <v>27.434000000000001</v>
      </c>
    </row>
    <row r="5919" spans="1:21" x14ac:dyDescent="0.35">
      <c r="U5919">
        <v>158.57640000000001</v>
      </c>
    </row>
    <row r="5920" spans="1:21" x14ac:dyDescent="0.35">
      <c r="U5920">
        <v>-25.048999999999999</v>
      </c>
    </row>
    <row r="5921" spans="1:21" x14ac:dyDescent="0.35">
      <c r="U5921">
        <v>58.791600000000003</v>
      </c>
    </row>
    <row r="5922" spans="1:21" x14ac:dyDescent="0.35">
      <c r="U5922">
        <v>217.767</v>
      </c>
    </row>
    <row r="5923" spans="1:21" x14ac:dyDescent="0.35">
      <c r="U5923">
        <v>53.260800000000003</v>
      </c>
    </row>
    <row r="5924" spans="1:21" x14ac:dyDescent="0.35">
      <c r="U5924">
        <v>1.3560000000000001</v>
      </c>
    </row>
    <row r="5925" spans="1:21" x14ac:dyDescent="0.35">
      <c r="U5925">
        <v>-120.0508</v>
      </c>
    </row>
    <row r="5926" spans="1:21" x14ac:dyDescent="0.35">
      <c r="U5926">
        <v>6.6584000000000003</v>
      </c>
    </row>
    <row r="5927" spans="1:21" x14ac:dyDescent="0.35">
      <c r="A5927" s="1"/>
      <c r="U5927">
        <v>362.83499999999998</v>
      </c>
    </row>
    <row r="5928" spans="1:21" x14ac:dyDescent="0.35">
      <c r="A5928" s="1"/>
      <c r="U5928">
        <v>316.13920000000002</v>
      </c>
    </row>
    <row r="5929" spans="1:21" x14ac:dyDescent="0.35">
      <c r="A5929" s="1"/>
      <c r="U5929">
        <v>3.4357000000000002</v>
      </c>
    </row>
    <row r="5930" spans="1:21" x14ac:dyDescent="0.35">
      <c r="A5930" s="1"/>
      <c r="U5930">
        <v>3.9247999999999998</v>
      </c>
    </row>
    <row r="5931" spans="1:21" x14ac:dyDescent="0.35">
      <c r="A5931" s="1"/>
      <c r="U5931">
        <v>-45.349200000000003</v>
      </c>
    </row>
    <row r="5932" spans="1:21" x14ac:dyDescent="0.35">
      <c r="A5932" s="1"/>
      <c r="U5932">
        <v>5.4432</v>
      </c>
    </row>
    <row r="5933" spans="1:21" x14ac:dyDescent="0.35">
      <c r="A5933" s="1"/>
      <c r="U5933">
        <v>-113.998</v>
      </c>
    </row>
    <row r="5934" spans="1:21" x14ac:dyDescent="0.35">
      <c r="A5934" s="1"/>
      <c r="U5934">
        <v>1.0044</v>
      </c>
    </row>
    <row r="5935" spans="1:21" x14ac:dyDescent="0.35">
      <c r="A5935" s="1"/>
      <c r="U5935">
        <v>4.8231000000000002</v>
      </c>
    </row>
    <row r="5936" spans="1:21" x14ac:dyDescent="0.35">
      <c r="A5936" s="1"/>
      <c r="U5936">
        <v>85.787000000000006</v>
      </c>
    </row>
    <row r="5937" spans="1:21" x14ac:dyDescent="0.35">
      <c r="A5937" s="1"/>
      <c r="U5937">
        <v>8.6359999999999992</v>
      </c>
    </row>
    <row r="5938" spans="1:21" x14ac:dyDescent="0.35">
      <c r="A5938" s="1"/>
      <c r="U5938">
        <v>19.9665</v>
      </c>
    </row>
    <row r="5939" spans="1:21" x14ac:dyDescent="0.35">
      <c r="A5939" s="1"/>
      <c r="U5939">
        <v>8.9969999999999999</v>
      </c>
    </row>
    <row r="5940" spans="1:21" x14ac:dyDescent="0.35">
      <c r="U5940">
        <v>9.5991999999999997</v>
      </c>
    </row>
    <row r="5941" spans="1:21" x14ac:dyDescent="0.35">
      <c r="U5941">
        <v>4.2952000000000004</v>
      </c>
    </row>
    <row r="5942" spans="1:21" x14ac:dyDescent="0.35">
      <c r="A5942" s="1"/>
      <c r="U5942">
        <v>130.75200000000001</v>
      </c>
    </row>
    <row r="5943" spans="1:21" x14ac:dyDescent="0.35">
      <c r="A5943" s="1"/>
      <c r="U5943">
        <v>1.5875999999999999</v>
      </c>
    </row>
    <row r="5944" spans="1:21" x14ac:dyDescent="0.35">
      <c r="A5944" s="1"/>
      <c r="U5944">
        <v>18.4772</v>
      </c>
    </row>
    <row r="5945" spans="1:21" x14ac:dyDescent="0.35">
      <c r="U5945">
        <v>2.6375999999999999</v>
      </c>
    </row>
    <row r="5946" spans="1:21" x14ac:dyDescent="0.35">
      <c r="U5946">
        <v>30.431999999999999</v>
      </c>
    </row>
    <row r="5947" spans="1:21" x14ac:dyDescent="0.35">
      <c r="U5947">
        <v>12.441599999999999</v>
      </c>
    </row>
    <row r="5948" spans="1:21" x14ac:dyDescent="0.35">
      <c r="U5948">
        <v>13.1868</v>
      </c>
    </row>
    <row r="5949" spans="1:21" x14ac:dyDescent="0.35">
      <c r="U5949">
        <v>12.691000000000001</v>
      </c>
    </row>
    <row r="5950" spans="1:21" x14ac:dyDescent="0.35">
      <c r="A5950" s="1"/>
      <c r="U5950">
        <v>19.6328</v>
      </c>
    </row>
    <row r="5951" spans="1:21" x14ac:dyDescent="0.35">
      <c r="A5951" s="1"/>
      <c r="U5951">
        <v>125.98739999999999</v>
      </c>
    </row>
    <row r="5952" spans="1:21" x14ac:dyDescent="0.35">
      <c r="A5952" s="1"/>
      <c r="U5952">
        <v>78.671999999999997</v>
      </c>
    </row>
    <row r="5953" spans="1:21" x14ac:dyDescent="0.35">
      <c r="A5953" s="1"/>
      <c r="U5953">
        <v>112.4928</v>
      </c>
    </row>
    <row r="5954" spans="1:21" x14ac:dyDescent="0.35">
      <c r="U5954">
        <v>7.2576000000000001</v>
      </c>
    </row>
    <row r="5955" spans="1:21" x14ac:dyDescent="0.35">
      <c r="U5955">
        <v>2.94</v>
      </c>
    </row>
    <row r="5956" spans="1:21" x14ac:dyDescent="0.35">
      <c r="A5956" s="1"/>
      <c r="U5956">
        <v>7.7896000000000001</v>
      </c>
    </row>
    <row r="5957" spans="1:21" x14ac:dyDescent="0.35">
      <c r="A5957" s="1"/>
      <c r="U5957">
        <v>-250.54079999999999</v>
      </c>
    </row>
    <row r="5958" spans="1:21" x14ac:dyDescent="0.35">
      <c r="A5958" s="1"/>
      <c r="U5958">
        <v>6.7655000000000003</v>
      </c>
    </row>
    <row r="5959" spans="1:21" x14ac:dyDescent="0.35">
      <c r="A5959" s="1"/>
      <c r="U5959">
        <v>40.274000000000001</v>
      </c>
    </row>
    <row r="5960" spans="1:21" x14ac:dyDescent="0.35">
      <c r="A5960" s="1"/>
      <c r="U5960">
        <v>14.974399999999999</v>
      </c>
    </row>
    <row r="5961" spans="1:21" x14ac:dyDescent="0.35">
      <c r="A5961" s="1"/>
      <c r="U5961">
        <v>77.035200000000003</v>
      </c>
    </row>
    <row r="5962" spans="1:21" x14ac:dyDescent="0.35">
      <c r="A5962" s="1"/>
      <c r="U5962">
        <v>6.5472000000000001</v>
      </c>
    </row>
    <row r="5963" spans="1:21" x14ac:dyDescent="0.35">
      <c r="A5963" s="1"/>
      <c r="U5963">
        <v>57.592799999999997</v>
      </c>
    </row>
    <row r="5964" spans="1:21" x14ac:dyDescent="0.35">
      <c r="A5964" s="1"/>
      <c r="U5964">
        <v>2.0228000000000002</v>
      </c>
    </row>
    <row r="5965" spans="1:21" x14ac:dyDescent="0.35">
      <c r="A5965" s="1"/>
      <c r="U5965">
        <v>55.764000000000003</v>
      </c>
    </row>
    <row r="5966" spans="1:21" x14ac:dyDescent="0.35">
      <c r="U5966">
        <v>5.1660000000000004</v>
      </c>
    </row>
    <row r="5967" spans="1:21" x14ac:dyDescent="0.35">
      <c r="U5967">
        <v>63.436799999999998</v>
      </c>
    </row>
    <row r="5968" spans="1:21" x14ac:dyDescent="0.35">
      <c r="U5968">
        <v>10.788</v>
      </c>
    </row>
    <row r="5969" spans="1:21" x14ac:dyDescent="0.35">
      <c r="U5969">
        <v>40.170200000000001</v>
      </c>
    </row>
    <row r="5970" spans="1:21" x14ac:dyDescent="0.35">
      <c r="U5970">
        <v>50.328000000000003</v>
      </c>
    </row>
    <row r="5971" spans="1:21" x14ac:dyDescent="0.35">
      <c r="U5971">
        <v>3.1551999999999998</v>
      </c>
    </row>
    <row r="5972" spans="1:21" x14ac:dyDescent="0.35">
      <c r="U5972">
        <v>9.7607999999999997</v>
      </c>
    </row>
    <row r="5973" spans="1:21" x14ac:dyDescent="0.35">
      <c r="U5973">
        <v>15.4872</v>
      </c>
    </row>
    <row r="5974" spans="1:21" x14ac:dyDescent="0.35">
      <c r="A5974" s="1"/>
      <c r="U5974">
        <v>30.097999999999999</v>
      </c>
    </row>
    <row r="5975" spans="1:21" x14ac:dyDescent="0.35">
      <c r="U5975">
        <v>124.488</v>
      </c>
    </row>
    <row r="5976" spans="1:21" x14ac:dyDescent="0.35">
      <c r="A5976" s="1"/>
      <c r="U5976">
        <v>-67.850999999999999</v>
      </c>
    </row>
    <row r="5977" spans="1:21" x14ac:dyDescent="0.35">
      <c r="U5977">
        <v>93.698800000000006</v>
      </c>
    </row>
    <row r="5978" spans="1:21" x14ac:dyDescent="0.35">
      <c r="U5978">
        <v>6.2375999999999996</v>
      </c>
    </row>
    <row r="5979" spans="1:21" x14ac:dyDescent="0.35">
      <c r="U5979">
        <v>34.5</v>
      </c>
    </row>
    <row r="5980" spans="1:21" x14ac:dyDescent="0.35">
      <c r="A5980" s="1"/>
      <c r="U5980">
        <v>111.774</v>
      </c>
    </row>
    <row r="5981" spans="1:21" x14ac:dyDescent="0.35">
      <c r="A5981" s="1"/>
      <c r="U5981">
        <v>15.3888</v>
      </c>
    </row>
    <row r="5982" spans="1:21" x14ac:dyDescent="0.35">
      <c r="A5982" s="1"/>
      <c r="U5982">
        <v>45.348799999999997</v>
      </c>
    </row>
    <row r="5983" spans="1:21" x14ac:dyDescent="0.35">
      <c r="A5983" s="1"/>
      <c r="U5983">
        <v>5.7594000000000003</v>
      </c>
    </row>
    <row r="5984" spans="1:21" x14ac:dyDescent="0.35">
      <c r="U5984">
        <v>6.3503999999999996</v>
      </c>
    </row>
    <row r="5985" spans="1:21" x14ac:dyDescent="0.35">
      <c r="U5985">
        <v>6.42</v>
      </c>
    </row>
    <row r="5986" spans="1:21" x14ac:dyDescent="0.35">
      <c r="U5986">
        <v>76.087800000000001</v>
      </c>
    </row>
    <row r="5987" spans="1:21" x14ac:dyDescent="0.35">
      <c r="U5987">
        <v>35.677599999999998</v>
      </c>
    </row>
    <row r="5988" spans="1:21" x14ac:dyDescent="0.35">
      <c r="U5988">
        <v>0.87919999999999998</v>
      </c>
    </row>
    <row r="5989" spans="1:21" x14ac:dyDescent="0.35">
      <c r="U5989">
        <v>120.5106</v>
      </c>
    </row>
    <row r="5990" spans="1:21" x14ac:dyDescent="0.35">
      <c r="U5990">
        <v>4.0419999999999998</v>
      </c>
    </row>
    <row r="5991" spans="1:21" x14ac:dyDescent="0.35">
      <c r="U5991">
        <v>126.22499999999999</v>
      </c>
    </row>
    <row r="5992" spans="1:21" x14ac:dyDescent="0.35">
      <c r="U5992">
        <v>884.05799999999999</v>
      </c>
    </row>
    <row r="5993" spans="1:21" x14ac:dyDescent="0.35">
      <c r="U5993">
        <v>32.335099999999997</v>
      </c>
    </row>
    <row r="5994" spans="1:21" x14ac:dyDescent="0.35">
      <c r="U5994">
        <v>-20.784600000000001</v>
      </c>
    </row>
    <row r="5995" spans="1:21" x14ac:dyDescent="0.35">
      <c r="A5995" s="1"/>
      <c r="U5995">
        <v>-4.0599999999999996</v>
      </c>
    </row>
    <row r="5996" spans="1:21" x14ac:dyDescent="0.35">
      <c r="A5996" s="1"/>
      <c r="U5996">
        <v>1.69</v>
      </c>
    </row>
    <row r="5997" spans="1:21" x14ac:dyDescent="0.35">
      <c r="A5997" s="1"/>
      <c r="U5997">
        <v>-137.529</v>
      </c>
    </row>
    <row r="5998" spans="1:21" x14ac:dyDescent="0.35">
      <c r="A5998" s="1"/>
      <c r="U5998">
        <v>24.196000000000002</v>
      </c>
    </row>
    <row r="5999" spans="1:21" x14ac:dyDescent="0.35">
      <c r="A5999" s="1"/>
      <c r="U5999">
        <v>-147.8655</v>
      </c>
    </row>
    <row r="6000" spans="1:21" x14ac:dyDescent="0.35">
      <c r="A6000" s="1"/>
      <c r="U6000">
        <v>4.2294</v>
      </c>
    </row>
    <row r="6001" spans="1:21" x14ac:dyDescent="0.35">
      <c r="A6001" s="1"/>
      <c r="U6001">
        <v>12.441599999999999</v>
      </c>
    </row>
    <row r="6002" spans="1:21" x14ac:dyDescent="0.35">
      <c r="A6002" s="1"/>
      <c r="U6002">
        <v>42.025599999999997</v>
      </c>
    </row>
    <row r="6003" spans="1:21" x14ac:dyDescent="0.35">
      <c r="U6003">
        <v>7.6965000000000003</v>
      </c>
    </row>
    <row r="6004" spans="1:21" x14ac:dyDescent="0.35">
      <c r="U6004">
        <v>-4.1711999999999998</v>
      </c>
    </row>
    <row r="6005" spans="1:21" x14ac:dyDescent="0.35">
      <c r="U6005">
        <v>-8.6058000000000003</v>
      </c>
    </row>
    <row r="6006" spans="1:21" x14ac:dyDescent="0.35">
      <c r="A6006" s="1"/>
      <c r="U6006">
        <v>8.2992000000000008</v>
      </c>
    </row>
    <row r="6007" spans="1:21" x14ac:dyDescent="0.35">
      <c r="A6007" s="1"/>
      <c r="U6007">
        <v>8.5372000000000003</v>
      </c>
    </row>
    <row r="6008" spans="1:21" x14ac:dyDescent="0.35">
      <c r="A6008" s="1"/>
      <c r="U6008">
        <v>3.8654999999999999</v>
      </c>
    </row>
    <row r="6009" spans="1:21" x14ac:dyDescent="0.35">
      <c r="A6009" s="1"/>
      <c r="U6009">
        <v>21.7515</v>
      </c>
    </row>
    <row r="6010" spans="1:21" x14ac:dyDescent="0.35">
      <c r="U6010">
        <v>31.519200000000001</v>
      </c>
    </row>
    <row r="6011" spans="1:21" x14ac:dyDescent="0.35">
      <c r="U6011">
        <v>14.2386</v>
      </c>
    </row>
    <row r="6012" spans="1:21" x14ac:dyDescent="0.35">
      <c r="U6012">
        <v>286.71300000000002</v>
      </c>
    </row>
    <row r="6013" spans="1:21" x14ac:dyDescent="0.35">
      <c r="U6013">
        <v>122.148</v>
      </c>
    </row>
    <row r="6014" spans="1:21" x14ac:dyDescent="0.35">
      <c r="U6014">
        <v>35.984999999999999</v>
      </c>
    </row>
    <row r="6015" spans="1:21" x14ac:dyDescent="0.35">
      <c r="A6015" s="1"/>
      <c r="U6015">
        <v>7.1520000000000001</v>
      </c>
    </row>
    <row r="6016" spans="1:21" x14ac:dyDescent="0.35">
      <c r="A6016" s="1"/>
      <c r="U6016">
        <v>363.90480000000002</v>
      </c>
    </row>
    <row r="6017" spans="1:21" x14ac:dyDescent="0.35">
      <c r="A6017" s="1"/>
      <c r="U6017">
        <v>15.6332</v>
      </c>
    </row>
    <row r="6018" spans="1:21" x14ac:dyDescent="0.35">
      <c r="A6018" s="1"/>
      <c r="U6018">
        <v>12.9129</v>
      </c>
    </row>
    <row r="6019" spans="1:21" x14ac:dyDescent="0.35">
      <c r="A6019" s="1"/>
      <c r="U6019">
        <v>9.3312000000000008</v>
      </c>
    </row>
    <row r="6020" spans="1:21" x14ac:dyDescent="0.35">
      <c r="A6020" s="1"/>
      <c r="U6020">
        <v>26.630400000000002</v>
      </c>
    </row>
    <row r="6021" spans="1:21" x14ac:dyDescent="0.35">
      <c r="A6021" s="1"/>
      <c r="U6021">
        <v>11.49</v>
      </c>
    </row>
    <row r="6022" spans="1:21" x14ac:dyDescent="0.35">
      <c r="U6022">
        <v>4.6818</v>
      </c>
    </row>
    <row r="6023" spans="1:21" x14ac:dyDescent="0.35">
      <c r="U6023">
        <v>15.1158</v>
      </c>
    </row>
    <row r="6024" spans="1:21" x14ac:dyDescent="0.35">
      <c r="U6024">
        <v>2.4780000000000002</v>
      </c>
    </row>
    <row r="6025" spans="1:21" x14ac:dyDescent="0.35">
      <c r="U6025">
        <v>4.8986000000000001</v>
      </c>
    </row>
    <row r="6026" spans="1:21" x14ac:dyDescent="0.35">
      <c r="U6026">
        <v>64.627200000000002</v>
      </c>
    </row>
    <row r="6027" spans="1:21" x14ac:dyDescent="0.35">
      <c r="U6027">
        <v>3.7584</v>
      </c>
    </row>
    <row r="6028" spans="1:21" x14ac:dyDescent="0.35">
      <c r="U6028">
        <v>0.33600000000000002</v>
      </c>
    </row>
    <row r="6029" spans="1:21" x14ac:dyDescent="0.35">
      <c r="U6029">
        <v>25.186</v>
      </c>
    </row>
    <row r="6030" spans="1:21" x14ac:dyDescent="0.35">
      <c r="U6030">
        <v>6.0060000000000002</v>
      </c>
    </row>
    <row r="6031" spans="1:21" x14ac:dyDescent="0.35">
      <c r="U6031">
        <v>2.8536000000000001</v>
      </c>
    </row>
    <row r="6032" spans="1:21" x14ac:dyDescent="0.35">
      <c r="A6032" s="1"/>
      <c r="U6032">
        <v>23.923999999999999</v>
      </c>
    </row>
    <row r="6033" spans="1:21" x14ac:dyDescent="0.35">
      <c r="U6033">
        <v>6.5472000000000001</v>
      </c>
    </row>
    <row r="6034" spans="1:21" x14ac:dyDescent="0.35">
      <c r="U6034">
        <v>15.372</v>
      </c>
    </row>
    <row r="6035" spans="1:21" x14ac:dyDescent="0.35">
      <c r="U6035">
        <v>5.1816000000000004</v>
      </c>
    </row>
    <row r="6036" spans="1:21" x14ac:dyDescent="0.35">
      <c r="U6036">
        <v>-52.833599999999997</v>
      </c>
    </row>
    <row r="6037" spans="1:21" x14ac:dyDescent="0.35">
      <c r="U6037">
        <v>-512.14679999999998</v>
      </c>
    </row>
    <row r="6038" spans="1:21" x14ac:dyDescent="0.35">
      <c r="A6038" s="1"/>
      <c r="U6038">
        <v>16.614000000000001</v>
      </c>
    </row>
    <row r="6039" spans="1:21" x14ac:dyDescent="0.35">
      <c r="A6039" s="1"/>
      <c r="U6039">
        <v>54.691200000000002</v>
      </c>
    </row>
    <row r="6040" spans="1:21" x14ac:dyDescent="0.35">
      <c r="A6040" s="1"/>
      <c r="U6040">
        <v>5.1967999999999996</v>
      </c>
    </row>
    <row r="6041" spans="1:21" x14ac:dyDescent="0.35">
      <c r="A6041" s="1"/>
      <c r="U6041">
        <v>2.5344000000000002</v>
      </c>
    </row>
    <row r="6042" spans="1:21" x14ac:dyDescent="0.35">
      <c r="U6042">
        <v>75.180000000000007</v>
      </c>
    </row>
    <row r="6043" spans="1:21" x14ac:dyDescent="0.35">
      <c r="U6043">
        <v>177.19800000000001</v>
      </c>
    </row>
    <row r="6044" spans="1:21" x14ac:dyDescent="0.35">
      <c r="A6044" s="1"/>
      <c r="U6044">
        <v>3.9512</v>
      </c>
    </row>
    <row r="6045" spans="1:21" x14ac:dyDescent="0.35">
      <c r="U6045">
        <v>-35.364600000000003</v>
      </c>
    </row>
    <row r="6046" spans="1:21" x14ac:dyDescent="0.35">
      <c r="U6046">
        <v>10.109400000000001</v>
      </c>
    </row>
    <row r="6047" spans="1:21" x14ac:dyDescent="0.35">
      <c r="A6047" s="1"/>
      <c r="U6047">
        <v>89.307000000000002</v>
      </c>
    </row>
    <row r="6048" spans="1:21" x14ac:dyDescent="0.35">
      <c r="A6048" s="1"/>
      <c r="U6048">
        <v>173.23500000000001</v>
      </c>
    </row>
    <row r="6049" spans="1:21" x14ac:dyDescent="0.35">
      <c r="A6049" s="1"/>
      <c r="U6049">
        <v>-12.9168</v>
      </c>
    </row>
    <row r="6050" spans="1:21" x14ac:dyDescent="0.35">
      <c r="A6050" s="1"/>
      <c r="U6050">
        <v>-1031.5385000000001</v>
      </c>
    </row>
    <row r="6051" spans="1:21" x14ac:dyDescent="0.35">
      <c r="U6051">
        <v>54.215000000000003</v>
      </c>
    </row>
    <row r="6052" spans="1:21" x14ac:dyDescent="0.35">
      <c r="U6052">
        <v>16.170000000000002</v>
      </c>
    </row>
    <row r="6053" spans="1:21" x14ac:dyDescent="0.35">
      <c r="U6053">
        <v>76.272000000000006</v>
      </c>
    </row>
    <row r="6054" spans="1:21" x14ac:dyDescent="0.35">
      <c r="U6054">
        <v>4.0338000000000003</v>
      </c>
    </row>
    <row r="6055" spans="1:21" x14ac:dyDescent="0.35">
      <c r="U6055">
        <v>7.7</v>
      </c>
    </row>
    <row r="6056" spans="1:21" x14ac:dyDescent="0.35">
      <c r="U6056">
        <v>-9.7607999999999997</v>
      </c>
    </row>
    <row r="6057" spans="1:21" x14ac:dyDescent="0.35">
      <c r="U6057">
        <v>-3.4121999999999999</v>
      </c>
    </row>
    <row r="6058" spans="1:21" x14ac:dyDescent="0.35">
      <c r="U6058">
        <v>30.391999999999999</v>
      </c>
    </row>
    <row r="6059" spans="1:21" x14ac:dyDescent="0.35">
      <c r="A6059" s="1"/>
      <c r="U6059">
        <v>5.3391999999999999</v>
      </c>
    </row>
    <row r="6060" spans="1:21" x14ac:dyDescent="0.35">
      <c r="A6060" s="1"/>
      <c r="U6060">
        <v>17.472000000000001</v>
      </c>
    </row>
    <row r="6061" spans="1:21" x14ac:dyDescent="0.35">
      <c r="U6061">
        <v>6.992</v>
      </c>
    </row>
    <row r="6062" spans="1:21" x14ac:dyDescent="0.35">
      <c r="A6062" s="1"/>
      <c r="U6062">
        <v>38.3508</v>
      </c>
    </row>
    <row r="6063" spans="1:21" x14ac:dyDescent="0.35">
      <c r="A6063" s="1"/>
      <c r="U6063">
        <v>6.0147000000000004</v>
      </c>
    </row>
    <row r="6064" spans="1:21" x14ac:dyDescent="0.35">
      <c r="U6064">
        <v>224.99250000000001</v>
      </c>
    </row>
    <row r="6065" spans="1:21" x14ac:dyDescent="0.35">
      <c r="U6065">
        <v>6.1740000000000004</v>
      </c>
    </row>
    <row r="6066" spans="1:21" x14ac:dyDescent="0.35">
      <c r="U6066">
        <v>8.0730000000000004</v>
      </c>
    </row>
    <row r="6067" spans="1:21" x14ac:dyDescent="0.35">
      <c r="A6067" s="1"/>
      <c r="U6067">
        <v>7.7687999999999997</v>
      </c>
    </row>
    <row r="6068" spans="1:21" x14ac:dyDescent="0.35">
      <c r="U6068">
        <v>10.007999999999999</v>
      </c>
    </row>
    <row r="6069" spans="1:21" x14ac:dyDescent="0.35">
      <c r="U6069">
        <v>-97.176000000000002</v>
      </c>
    </row>
    <row r="6070" spans="1:21" x14ac:dyDescent="0.35">
      <c r="U6070">
        <v>3.3504</v>
      </c>
    </row>
    <row r="6071" spans="1:21" x14ac:dyDescent="0.35">
      <c r="U6071">
        <v>38.61</v>
      </c>
    </row>
    <row r="6072" spans="1:21" x14ac:dyDescent="0.35">
      <c r="U6072">
        <v>5.9211</v>
      </c>
    </row>
    <row r="6073" spans="1:21" x14ac:dyDescent="0.35">
      <c r="U6073">
        <v>-26.720400000000001</v>
      </c>
    </row>
    <row r="6074" spans="1:21" x14ac:dyDescent="0.35">
      <c r="U6074">
        <v>0.56679999999999997</v>
      </c>
    </row>
    <row r="6075" spans="1:21" x14ac:dyDescent="0.35">
      <c r="U6075">
        <v>-1.3248</v>
      </c>
    </row>
    <row r="6076" spans="1:21" x14ac:dyDescent="0.35">
      <c r="U6076">
        <v>51.823799999999999</v>
      </c>
    </row>
    <row r="6077" spans="1:21" x14ac:dyDescent="0.35">
      <c r="U6077">
        <v>2.7061999999999999</v>
      </c>
    </row>
    <row r="6078" spans="1:21" x14ac:dyDescent="0.35">
      <c r="A6078" s="1"/>
      <c r="U6078">
        <v>206.316</v>
      </c>
    </row>
    <row r="6079" spans="1:21" x14ac:dyDescent="0.35">
      <c r="A6079" s="1"/>
      <c r="U6079">
        <v>30.441600000000001</v>
      </c>
    </row>
    <row r="6080" spans="1:21" x14ac:dyDescent="0.35">
      <c r="A6080" s="1"/>
      <c r="U6080">
        <v>3.2850000000000001</v>
      </c>
    </row>
    <row r="6081" spans="1:21" x14ac:dyDescent="0.35">
      <c r="A6081" s="1"/>
      <c r="U6081">
        <v>61.382399999999997</v>
      </c>
    </row>
    <row r="6082" spans="1:21" x14ac:dyDescent="0.35">
      <c r="A6082" s="1"/>
      <c r="U6082">
        <v>7.5528000000000004</v>
      </c>
    </row>
    <row r="6083" spans="1:21" x14ac:dyDescent="0.35">
      <c r="U6083">
        <v>-11.321999999999999</v>
      </c>
    </row>
    <row r="6084" spans="1:21" x14ac:dyDescent="0.35">
      <c r="U6084">
        <v>-9.6348000000000003</v>
      </c>
    </row>
    <row r="6085" spans="1:21" x14ac:dyDescent="0.35">
      <c r="U6085">
        <v>2.6568000000000001</v>
      </c>
    </row>
    <row r="6086" spans="1:21" x14ac:dyDescent="0.35">
      <c r="U6086">
        <v>-0.6008</v>
      </c>
    </row>
    <row r="6087" spans="1:21" x14ac:dyDescent="0.35">
      <c r="U6087">
        <v>0.67859999999999998</v>
      </c>
    </row>
    <row r="6088" spans="1:21" x14ac:dyDescent="0.35">
      <c r="U6088">
        <v>-6.7320000000000002</v>
      </c>
    </row>
    <row r="6089" spans="1:21" x14ac:dyDescent="0.35">
      <c r="U6089">
        <v>12.8568</v>
      </c>
    </row>
    <row r="6090" spans="1:21" x14ac:dyDescent="0.35">
      <c r="U6090">
        <v>3.1103999999999998</v>
      </c>
    </row>
    <row r="6091" spans="1:21" x14ac:dyDescent="0.35">
      <c r="U6091">
        <v>-0.99</v>
      </c>
    </row>
    <row r="6092" spans="1:21" x14ac:dyDescent="0.35">
      <c r="U6092">
        <v>18.176400000000001</v>
      </c>
    </row>
    <row r="6093" spans="1:21" x14ac:dyDescent="0.35">
      <c r="U6093">
        <v>95.76</v>
      </c>
    </row>
    <row r="6094" spans="1:21" x14ac:dyDescent="0.35">
      <c r="U6094">
        <v>18.104399999999998</v>
      </c>
    </row>
    <row r="6095" spans="1:21" x14ac:dyDescent="0.35">
      <c r="U6095">
        <v>21.792000000000002</v>
      </c>
    </row>
    <row r="6096" spans="1:21" x14ac:dyDescent="0.35">
      <c r="U6096">
        <v>12.712</v>
      </c>
    </row>
    <row r="6097" spans="1:21" x14ac:dyDescent="0.35">
      <c r="U6097">
        <v>6.3296000000000001</v>
      </c>
    </row>
    <row r="6098" spans="1:21" x14ac:dyDescent="0.35">
      <c r="U6098">
        <v>8.0991</v>
      </c>
    </row>
    <row r="6099" spans="1:21" x14ac:dyDescent="0.35">
      <c r="U6099">
        <v>3.9771000000000001</v>
      </c>
    </row>
    <row r="6100" spans="1:21" x14ac:dyDescent="0.35">
      <c r="U6100">
        <v>1.7876000000000001</v>
      </c>
    </row>
    <row r="6101" spans="1:21" x14ac:dyDescent="0.35">
      <c r="U6101">
        <v>609.71569999999997</v>
      </c>
    </row>
    <row r="6102" spans="1:21" x14ac:dyDescent="0.35">
      <c r="U6102">
        <v>350.90820000000002</v>
      </c>
    </row>
    <row r="6103" spans="1:21" x14ac:dyDescent="0.35">
      <c r="U6103">
        <v>375.73500000000001</v>
      </c>
    </row>
    <row r="6104" spans="1:21" x14ac:dyDescent="0.35">
      <c r="U6104">
        <v>28.3095</v>
      </c>
    </row>
    <row r="6105" spans="1:21" x14ac:dyDescent="0.35">
      <c r="U6105">
        <v>20.389800000000001</v>
      </c>
    </row>
    <row r="6106" spans="1:21" x14ac:dyDescent="0.35">
      <c r="U6106">
        <v>-83.875200000000007</v>
      </c>
    </row>
    <row r="6107" spans="1:21" x14ac:dyDescent="0.35">
      <c r="U6107">
        <v>3.5783999999999998</v>
      </c>
    </row>
    <row r="6108" spans="1:21" x14ac:dyDescent="0.35">
      <c r="U6108">
        <v>-49.551600000000001</v>
      </c>
    </row>
    <row r="6109" spans="1:21" x14ac:dyDescent="0.35">
      <c r="U6109">
        <v>-8.18</v>
      </c>
    </row>
    <row r="6110" spans="1:21" x14ac:dyDescent="0.35">
      <c r="A6110" s="1"/>
      <c r="U6110">
        <v>2.1</v>
      </c>
    </row>
    <row r="6111" spans="1:21" x14ac:dyDescent="0.35">
      <c r="A6111" s="1"/>
      <c r="U6111">
        <v>-3.2435999999999998</v>
      </c>
    </row>
    <row r="6112" spans="1:21" x14ac:dyDescent="0.35">
      <c r="A6112" s="1"/>
      <c r="U6112">
        <v>-21.0686</v>
      </c>
    </row>
    <row r="6113" spans="1:21" x14ac:dyDescent="0.35">
      <c r="A6113" s="1"/>
      <c r="U6113">
        <v>33.028799999999997</v>
      </c>
    </row>
    <row r="6114" spans="1:21" x14ac:dyDescent="0.35">
      <c r="A6114" s="1"/>
      <c r="U6114">
        <v>5.4443999999999999</v>
      </c>
    </row>
    <row r="6115" spans="1:21" x14ac:dyDescent="0.35">
      <c r="A6115" s="1"/>
      <c r="U6115">
        <v>0</v>
      </c>
    </row>
    <row r="6116" spans="1:21" x14ac:dyDescent="0.35">
      <c r="A6116" s="1"/>
      <c r="U6116">
        <v>-12.8392</v>
      </c>
    </row>
    <row r="6117" spans="1:21" x14ac:dyDescent="0.35">
      <c r="U6117">
        <v>14.1426</v>
      </c>
    </row>
    <row r="6118" spans="1:21" x14ac:dyDescent="0.35">
      <c r="U6118">
        <v>592.78959999999995</v>
      </c>
    </row>
    <row r="6119" spans="1:21" x14ac:dyDescent="0.35">
      <c r="U6119">
        <v>6.8723999999999998</v>
      </c>
    </row>
    <row r="6120" spans="1:21" x14ac:dyDescent="0.35">
      <c r="U6120">
        <v>19.197600000000001</v>
      </c>
    </row>
    <row r="6121" spans="1:21" x14ac:dyDescent="0.35">
      <c r="U6121">
        <v>6.5537999999999998</v>
      </c>
    </row>
    <row r="6122" spans="1:21" x14ac:dyDescent="0.35">
      <c r="U6122">
        <v>61.382399999999997</v>
      </c>
    </row>
    <row r="6123" spans="1:21" x14ac:dyDescent="0.35">
      <c r="U6123">
        <v>-128.2388</v>
      </c>
    </row>
    <row r="6124" spans="1:21" x14ac:dyDescent="0.35">
      <c r="A6124" s="1"/>
      <c r="U6124">
        <v>4.6176000000000004</v>
      </c>
    </row>
    <row r="6125" spans="1:21" x14ac:dyDescent="0.35">
      <c r="U6125">
        <v>6.8120000000000003</v>
      </c>
    </row>
    <row r="6126" spans="1:21" x14ac:dyDescent="0.35">
      <c r="A6126" s="1"/>
      <c r="U6126">
        <v>8.5024999999999995</v>
      </c>
    </row>
    <row r="6127" spans="1:21" x14ac:dyDescent="0.35">
      <c r="A6127" s="1"/>
      <c r="U6127">
        <v>5.3819999999999997</v>
      </c>
    </row>
    <row r="6128" spans="1:21" x14ac:dyDescent="0.35">
      <c r="A6128" s="1"/>
      <c r="U6128">
        <v>1.2714000000000001</v>
      </c>
    </row>
    <row r="6129" spans="1:21" x14ac:dyDescent="0.35">
      <c r="U6129">
        <v>54.665999999999997</v>
      </c>
    </row>
    <row r="6130" spans="1:21" x14ac:dyDescent="0.35">
      <c r="U6130">
        <v>18.527999999999999</v>
      </c>
    </row>
    <row r="6131" spans="1:21" x14ac:dyDescent="0.35">
      <c r="U6131">
        <v>20.767499999999998</v>
      </c>
    </row>
    <row r="6132" spans="1:21" x14ac:dyDescent="0.35">
      <c r="U6132">
        <v>1.3160000000000001</v>
      </c>
    </row>
    <row r="6133" spans="1:21" x14ac:dyDescent="0.35">
      <c r="U6133">
        <v>161.9674</v>
      </c>
    </row>
    <row r="6134" spans="1:21" x14ac:dyDescent="0.35">
      <c r="U6134">
        <v>59.435499999999998</v>
      </c>
    </row>
    <row r="6135" spans="1:21" x14ac:dyDescent="0.35">
      <c r="U6135">
        <v>12.096</v>
      </c>
    </row>
    <row r="6136" spans="1:21" x14ac:dyDescent="0.35">
      <c r="A6136" s="1"/>
      <c r="U6136">
        <v>55.911999999999999</v>
      </c>
    </row>
    <row r="6137" spans="1:21" x14ac:dyDescent="0.35">
      <c r="U6137">
        <v>3.4620000000000002</v>
      </c>
    </row>
    <row r="6138" spans="1:21" x14ac:dyDescent="0.35">
      <c r="U6138">
        <v>-186.56819999999999</v>
      </c>
    </row>
    <row r="6139" spans="1:21" x14ac:dyDescent="0.35">
      <c r="U6139">
        <v>11.2224</v>
      </c>
    </row>
    <row r="6140" spans="1:21" x14ac:dyDescent="0.35">
      <c r="U6140">
        <v>-12.098000000000001</v>
      </c>
    </row>
    <row r="6141" spans="1:21" x14ac:dyDescent="0.35">
      <c r="U6141">
        <v>30.014399999999998</v>
      </c>
    </row>
    <row r="6142" spans="1:21" x14ac:dyDescent="0.35">
      <c r="A6142" s="1"/>
      <c r="U6142">
        <v>134.65199999999999</v>
      </c>
    </row>
    <row r="6143" spans="1:21" x14ac:dyDescent="0.35">
      <c r="A6143" s="1"/>
      <c r="U6143">
        <v>3.9127999999999998</v>
      </c>
    </row>
    <row r="6144" spans="1:21" x14ac:dyDescent="0.35">
      <c r="A6144" s="1"/>
      <c r="U6144">
        <v>74.8142</v>
      </c>
    </row>
    <row r="6145" spans="1:21" x14ac:dyDescent="0.35">
      <c r="A6145" s="1"/>
      <c r="U6145">
        <v>48.806399999999996</v>
      </c>
    </row>
    <row r="6146" spans="1:21" x14ac:dyDescent="0.35">
      <c r="U6146">
        <v>9.2322000000000006</v>
      </c>
    </row>
    <row r="6147" spans="1:21" x14ac:dyDescent="0.35">
      <c r="U6147">
        <v>3.1751999999999998</v>
      </c>
    </row>
    <row r="6148" spans="1:21" x14ac:dyDescent="0.35">
      <c r="U6148">
        <v>3.1751999999999998</v>
      </c>
    </row>
    <row r="6149" spans="1:21" x14ac:dyDescent="0.35">
      <c r="U6149">
        <v>14.7668</v>
      </c>
    </row>
    <row r="6150" spans="1:21" x14ac:dyDescent="0.35">
      <c r="U6150">
        <v>12.599</v>
      </c>
    </row>
    <row r="6151" spans="1:21" x14ac:dyDescent="0.35">
      <c r="U6151">
        <v>-34.070399999999999</v>
      </c>
    </row>
    <row r="6152" spans="1:21" x14ac:dyDescent="0.35">
      <c r="A6152" s="1"/>
      <c r="U6152">
        <v>88.724999999999994</v>
      </c>
    </row>
    <row r="6153" spans="1:21" x14ac:dyDescent="0.35">
      <c r="U6153">
        <v>70.489999999999995</v>
      </c>
    </row>
    <row r="6154" spans="1:21" x14ac:dyDescent="0.35">
      <c r="A6154" s="1"/>
      <c r="U6154">
        <v>0.87919999999999998</v>
      </c>
    </row>
    <row r="6155" spans="1:21" x14ac:dyDescent="0.35">
      <c r="U6155">
        <v>10.393599999999999</v>
      </c>
    </row>
    <row r="6156" spans="1:21" x14ac:dyDescent="0.35">
      <c r="U6156">
        <v>5.7752999999999997</v>
      </c>
    </row>
    <row r="6157" spans="1:21" x14ac:dyDescent="0.35">
      <c r="U6157">
        <v>33.270400000000002</v>
      </c>
    </row>
    <row r="6158" spans="1:21" x14ac:dyDescent="0.35">
      <c r="U6158">
        <v>9.5418000000000003</v>
      </c>
    </row>
    <row r="6159" spans="1:21" x14ac:dyDescent="0.35">
      <c r="A6159" s="1"/>
      <c r="U6159">
        <v>38.323799999999999</v>
      </c>
    </row>
    <row r="6160" spans="1:21" x14ac:dyDescent="0.35">
      <c r="A6160" s="1"/>
      <c r="U6160">
        <v>23.4192</v>
      </c>
    </row>
    <row r="6161" spans="1:21" x14ac:dyDescent="0.35">
      <c r="A6161" s="1"/>
      <c r="U6161">
        <v>108.1752</v>
      </c>
    </row>
    <row r="6162" spans="1:21" x14ac:dyDescent="0.35">
      <c r="U6162">
        <v>28.347899999999999</v>
      </c>
    </row>
    <row r="6163" spans="1:21" x14ac:dyDescent="0.35">
      <c r="U6163">
        <v>3.9851999999999999</v>
      </c>
    </row>
    <row r="6164" spans="1:21" x14ac:dyDescent="0.35">
      <c r="U6164">
        <v>1.962</v>
      </c>
    </row>
    <row r="6165" spans="1:21" x14ac:dyDescent="0.35">
      <c r="U6165">
        <v>-25.736999999999998</v>
      </c>
    </row>
    <row r="6166" spans="1:21" x14ac:dyDescent="0.35">
      <c r="U6166">
        <v>1.3728</v>
      </c>
    </row>
    <row r="6167" spans="1:21" x14ac:dyDescent="0.35">
      <c r="U6167">
        <v>5.5044000000000004</v>
      </c>
    </row>
    <row r="6168" spans="1:21" x14ac:dyDescent="0.35">
      <c r="U6168">
        <v>53.2</v>
      </c>
    </row>
    <row r="6169" spans="1:21" x14ac:dyDescent="0.35">
      <c r="U6169">
        <v>44.045999999999999</v>
      </c>
    </row>
    <row r="6170" spans="1:21" x14ac:dyDescent="0.35">
      <c r="U6170">
        <v>11.250400000000001</v>
      </c>
    </row>
    <row r="6171" spans="1:21" x14ac:dyDescent="0.35">
      <c r="U6171">
        <v>6.4127999999999998</v>
      </c>
    </row>
    <row r="6172" spans="1:21" x14ac:dyDescent="0.35">
      <c r="U6172">
        <v>11.5587</v>
      </c>
    </row>
    <row r="6173" spans="1:21" x14ac:dyDescent="0.35">
      <c r="U6173">
        <v>1.0207999999999999</v>
      </c>
    </row>
    <row r="6174" spans="1:21" x14ac:dyDescent="0.35">
      <c r="A6174" s="1"/>
      <c r="U6174">
        <v>12.548999999999999</v>
      </c>
    </row>
    <row r="6175" spans="1:21" x14ac:dyDescent="0.35">
      <c r="A6175" s="1"/>
      <c r="U6175">
        <v>9.1159999999999997</v>
      </c>
    </row>
    <row r="6176" spans="1:21" x14ac:dyDescent="0.35">
      <c r="A6176" s="1"/>
      <c r="U6176">
        <v>226.36259999999999</v>
      </c>
    </row>
    <row r="6177" spans="1:21" x14ac:dyDescent="0.35">
      <c r="U6177">
        <v>422.51</v>
      </c>
    </row>
    <row r="6178" spans="1:21" x14ac:dyDescent="0.35">
      <c r="U6178">
        <v>24.0688</v>
      </c>
    </row>
    <row r="6179" spans="1:21" x14ac:dyDescent="0.35">
      <c r="U6179">
        <v>57.321199999999997</v>
      </c>
    </row>
    <row r="6180" spans="1:21" x14ac:dyDescent="0.35">
      <c r="U6180">
        <v>11.720800000000001</v>
      </c>
    </row>
    <row r="6181" spans="1:21" x14ac:dyDescent="0.35">
      <c r="U6181">
        <v>6.3959999999999999</v>
      </c>
    </row>
    <row r="6182" spans="1:21" x14ac:dyDescent="0.35">
      <c r="U6182">
        <v>176.386</v>
      </c>
    </row>
    <row r="6183" spans="1:21" x14ac:dyDescent="0.35">
      <c r="U6183">
        <v>32.981699999999996</v>
      </c>
    </row>
    <row r="6184" spans="1:21" x14ac:dyDescent="0.35">
      <c r="U6184">
        <v>6.8620000000000001</v>
      </c>
    </row>
    <row r="6185" spans="1:21" x14ac:dyDescent="0.35">
      <c r="U6185">
        <v>17.756799999999998</v>
      </c>
    </row>
    <row r="6186" spans="1:21" x14ac:dyDescent="0.35">
      <c r="A6186" s="1"/>
      <c r="U6186">
        <v>25.245000000000001</v>
      </c>
    </row>
    <row r="6187" spans="1:21" x14ac:dyDescent="0.35">
      <c r="A6187" s="1"/>
      <c r="U6187">
        <v>10.68</v>
      </c>
    </row>
    <row r="6188" spans="1:21" x14ac:dyDescent="0.35">
      <c r="U6188">
        <v>20.575500000000002</v>
      </c>
    </row>
    <row r="6189" spans="1:21" x14ac:dyDescent="0.35">
      <c r="U6189">
        <v>11.7936</v>
      </c>
    </row>
    <row r="6190" spans="1:21" x14ac:dyDescent="0.35">
      <c r="U6190">
        <v>35.712000000000003</v>
      </c>
    </row>
    <row r="6191" spans="1:21" x14ac:dyDescent="0.35">
      <c r="A6191" s="1"/>
      <c r="U6191">
        <v>47.98</v>
      </c>
    </row>
    <row r="6192" spans="1:21" x14ac:dyDescent="0.35">
      <c r="U6192">
        <v>207.88560000000001</v>
      </c>
    </row>
    <row r="6193" spans="1:21" x14ac:dyDescent="0.35">
      <c r="U6193">
        <v>8.4887999999999995</v>
      </c>
    </row>
    <row r="6194" spans="1:21" x14ac:dyDescent="0.35">
      <c r="U6194">
        <v>9.0719999999999992</v>
      </c>
    </row>
    <row r="6195" spans="1:21" x14ac:dyDescent="0.35">
      <c r="U6195">
        <v>-9.8115000000000006</v>
      </c>
    </row>
    <row r="6196" spans="1:21" x14ac:dyDescent="0.35">
      <c r="U6196">
        <v>26.558</v>
      </c>
    </row>
    <row r="6197" spans="1:21" x14ac:dyDescent="0.35">
      <c r="U6197">
        <v>-76.997200000000007</v>
      </c>
    </row>
    <row r="6198" spans="1:21" x14ac:dyDescent="0.35">
      <c r="U6198">
        <v>-4.4610000000000003</v>
      </c>
    </row>
    <row r="6199" spans="1:21" x14ac:dyDescent="0.35">
      <c r="U6199">
        <v>28.6965</v>
      </c>
    </row>
    <row r="6200" spans="1:21" x14ac:dyDescent="0.35">
      <c r="U6200">
        <v>13.2522</v>
      </c>
    </row>
    <row r="6201" spans="1:21" x14ac:dyDescent="0.35">
      <c r="U6201">
        <v>46.118400000000001</v>
      </c>
    </row>
    <row r="6202" spans="1:21" x14ac:dyDescent="0.35">
      <c r="U6202">
        <v>485.98919999999998</v>
      </c>
    </row>
    <row r="6203" spans="1:21" x14ac:dyDescent="0.35">
      <c r="U6203">
        <v>-4.9005000000000001</v>
      </c>
    </row>
    <row r="6204" spans="1:21" x14ac:dyDescent="0.35">
      <c r="U6204">
        <v>7.0490000000000004</v>
      </c>
    </row>
    <row r="6205" spans="1:21" x14ac:dyDescent="0.35">
      <c r="U6205">
        <v>-47.0304</v>
      </c>
    </row>
    <row r="6206" spans="1:21" x14ac:dyDescent="0.35">
      <c r="A6206" s="1"/>
      <c r="U6206">
        <v>1.7352000000000001</v>
      </c>
    </row>
    <row r="6207" spans="1:21" x14ac:dyDescent="0.35">
      <c r="U6207">
        <v>15.942500000000001</v>
      </c>
    </row>
    <row r="6208" spans="1:21" x14ac:dyDescent="0.35">
      <c r="U6208">
        <v>7.89</v>
      </c>
    </row>
    <row r="6209" spans="1:21" x14ac:dyDescent="0.35">
      <c r="U6209">
        <v>-14.5764</v>
      </c>
    </row>
    <row r="6210" spans="1:21" x14ac:dyDescent="0.35">
      <c r="U6210">
        <v>-6.3959999999999999</v>
      </c>
    </row>
    <row r="6211" spans="1:21" x14ac:dyDescent="0.35">
      <c r="U6211">
        <v>942.81569999999999</v>
      </c>
    </row>
    <row r="6212" spans="1:21" x14ac:dyDescent="0.35">
      <c r="U6212">
        <v>290.00580000000002</v>
      </c>
    </row>
    <row r="6213" spans="1:21" x14ac:dyDescent="0.35">
      <c r="U6213">
        <v>22.419599999999999</v>
      </c>
    </row>
    <row r="6214" spans="1:21" x14ac:dyDescent="0.35">
      <c r="A6214" s="1"/>
      <c r="U6214">
        <v>9.1199999999999992</v>
      </c>
    </row>
    <row r="6215" spans="1:21" x14ac:dyDescent="0.35">
      <c r="A6215" s="1"/>
      <c r="U6215">
        <v>22.0748</v>
      </c>
    </row>
    <row r="6216" spans="1:21" x14ac:dyDescent="0.35">
      <c r="A6216" s="1"/>
      <c r="U6216">
        <v>3.7435999999999998</v>
      </c>
    </row>
    <row r="6217" spans="1:21" x14ac:dyDescent="0.35">
      <c r="U6217">
        <v>27.945599999999999</v>
      </c>
    </row>
    <row r="6218" spans="1:21" x14ac:dyDescent="0.35">
      <c r="U6218">
        <v>29.252800000000001</v>
      </c>
    </row>
    <row r="6219" spans="1:21" x14ac:dyDescent="0.35">
      <c r="U6219">
        <v>0.29970000000000002</v>
      </c>
    </row>
    <row r="6220" spans="1:21" x14ac:dyDescent="0.35">
      <c r="U6220">
        <v>35.195999999999998</v>
      </c>
    </row>
    <row r="6221" spans="1:21" x14ac:dyDescent="0.35">
      <c r="U6221">
        <v>51.834600000000002</v>
      </c>
    </row>
    <row r="6222" spans="1:21" x14ac:dyDescent="0.35">
      <c r="U6222">
        <v>1.4601999999999999</v>
      </c>
    </row>
    <row r="6223" spans="1:21" x14ac:dyDescent="0.35">
      <c r="U6223">
        <v>26.082000000000001</v>
      </c>
    </row>
    <row r="6224" spans="1:21" x14ac:dyDescent="0.35">
      <c r="U6224">
        <v>19.084800000000001</v>
      </c>
    </row>
    <row r="6225" spans="1:21" x14ac:dyDescent="0.35">
      <c r="U6225">
        <v>1.0730999999999999</v>
      </c>
    </row>
    <row r="6226" spans="1:21" x14ac:dyDescent="0.35">
      <c r="U6226">
        <v>-54.588000000000001</v>
      </c>
    </row>
    <row r="6227" spans="1:21" x14ac:dyDescent="0.35">
      <c r="A6227" s="1"/>
      <c r="U6227">
        <v>-103.86060000000001</v>
      </c>
    </row>
    <row r="6228" spans="1:21" x14ac:dyDescent="0.35">
      <c r="A6228" s="1"/>
      <c r="U6228">
        <v>-14.558400000000001</v>
      </c>
    </row>
    <row r="6229" spans="1:21" x14ac:dyDescent="0.35">
      <c r="A6229" s="1"/>
      <c r="U6229">
        <v>7.7679</v>
      </c>
    </row>
    <row r="6230" spans="1:21" x14ac:dyDescent="0.35">
      <c r="U6230">
        <v>-20.235600000000002</v>
      </c>
    </row>
    <row r="6231" spans="1:21" x14ac:dyDescent="0.35">
      <c r="U6231">
        <v>15.863099999999999</v>
      </c>
    </row>
    <row r="6232" spans="1:21" x14ac:dyDescent="0.35">
      <c r="A6232" s="1"/>
      <c r="U6232">
        <v>11.8248</v>
      </c>
    </row>
    <row r="6233" spans="1:21" x14ac:dyDescent="0.35">
      <c r="A6233" s="1"/>
      <c r="U6233">
        <v>8.8783999999999992</v>
      </c>
    </row>
    <row r="6234" spans="1:21" x14ac:dyDescent="0.35">
      <c r="A6234" s="1"/>
      <c r="U6234">
        <v>9.3312000000000008</v>
      </c>
    </row>
    <row r="6235" spans="1:21" x14ac:dyDescent="0.35">
      <c r="A6235" s="1"/>
      <c r="U6235">
        <v>34.214399999999998</v>
      </c>
    </row>
    <row r="6236" spans="1:21" x14ac:dyDescent="0.35">
      <c r="A6236" s="1"/>
      <c r="U6236">
        <v>459.98750000000001</v>
      </c>
    </row>
    <row r="6237" spans="1:21" x14ac:dyDescent="0.35">
      <c r="A6237" s="1"/>
      <c r="U6237">
        <v>-17.991</v>
      </c>
    </row>
    <row r="6238" spans="1:21" x14ac:dyDescent="0.35">
      <c r="U6238">
        <v>21.591000000000001</v>
      </c>
    </row>
    <row r="6239" spans="1:21" x14ac:dyDescent="0.35">
      <c r="U6239">
        <v>9.2175999999999991</v>
      </c>
    </row>
    <row r="6240" spans="1:21" x14ac:dyDescent="0.35">
      <c r="A6240" s="1"/>
      <c r="U6240">
        <v>21.645</v>
      </c>
    </row>
    <row r="6241" spans="1:21" x14ac:dyDescent="0.35">
      <c r="A6241" s="1"/>
      <c r="U6241">
        <v>93.698800000000006</v>
      </c>
    </row>
    <row r="6242" spans="1:21" x14ac:dyDescent="0.35">
      <c r="U6242">
        <v>3.8168000000000002</v>
      </c>
    </row>
    <row r="6243" spans="1:21" x14ac:dyDescent="0.35">
      <c r="U6243">
        <v>101.4504</v>
      </c>
    </row>
    <row r="6244" spans="1:21" x14ac:dyDescent="0.35">
      <c r="U6244">
        <v>-14.592000000000001</v>
      </c>
    </row>
    <row r="6245" spans="1:21" x14ac:dyDescent="0.35">
      <c r="U6245">
        <v>7.6050000000000004</v>
      </c>
    </row>
    <row r="6246" spans="1:21" x14ac:dyDescent="0.35">
      <c r="U6246">
        <v>30.950399999999998</v>
      </c>
    </row>
    <row r="6247" spans="1:21" x14ac:dyDescent="0.35">
      <c r="U6247">
        <v>6.4206000000000003</v>
      </c>
    </row>
    <row r="6248" spans="1:21" x14ac:dyDescent="0.35">
      <c r="U6248">
        <v>6.0114000000000001</v>
      </c>
    </row>
    <row r="6249" spans="1:21" x14ac:dyDescent="0.35">
      <c r="U6249">
        <v>19.968599999999999</v>
      </c>
    </row>
    <row r="6250" spans="1:21" x14ac:dyDescent="0.35">
      <c r="U6250">
        <v>2.6208</v>
      </c>
    </row>
    <row r="6251" spans="1:21" x14ac:dyDescent="0.35">
      <c r="U6251">
        <v>120.94159999999999</v>
      </c>
    </row>
    <row r="6252" spans="1:21" x14ac:dyDescent="0.35">
      <c r="U6252">
        <v>3.99</v>
      </c>
    </row>
    <row r="6253" spans="1:21" x14ac:dyDescent="0.35">
      <c r="A6253" s="1"/>
      <c r="U6253">
        <v>-6.3441000000000001</v>
      </c>
    </row>
    <row r="6254" spans="1:21" x14ac:dyDescent="0.35">
      <c r="A6254" s="1"/>
      <c r="U6254">
        <v>27.993600000000001</v>
      </c>
    </row>
    <row r="6255" spans="1:21" x14ac:dyDescent="0.35">
      <c r="A6255" s="1"/>
      <c r="U6255">
        <v>50.2425</v>
      </c>
    </row>
    <row r="6256" spans="1:21" x14ac:dyDescent="0.35">
      <c r="A6256" s="1"/>
      <c r="U6256">
        <v>8.1167999999999996</v>
      </c>
    </row>
    <row r="6257" spans="1:21" x14ac:dyDescent="0.35">
      <c r="A6257" s="1"/>
      <c r="U6257">
        <v>3.4496000000000002</v>
      </c>
    </row>
    <row r="6258" spans="1:21" x14ac:dyDescent="0.35">
      <c r="A6258" s="1"/>
      <c r="U6258">
        <v>-2.5255999999999998</v>
      </c>
    </row>
    <row r="6259" spans="1:21" x14ac:dyDescent="0.35">
      <c r="A6259" s="1"/>
      <c r="U6259">
        <v>-81.725800000000007</v>
      </c>
    </row>
    <row r="6260" spans="1:21" x14ac:dyDescent="0.35">
      <c r="U6260">
        <v>11.2308</v>
      </c>
    </row>
    <row r="6261" spans="1:21" x14ac:dyDescent="0.35">
      <c r="U6261">
        <v>5.5663999999999998</v>
      </c>
    </row>
    <row r="6262" spans="1:21" x14ac:dyDescent="0.35">
      <c r="A6262" s="1"/>
      <c r="U6262">
        <v>4.9248000000000003</v>
      </c>
    </row>
    <row r="6263" spans="1:21" x14ac:dyDescent="0.35">
      <c r="U6263">
        <v>19.872</v>
      </c>
    </row>
    <row r="6264" spans="1:21" x14ac:dyDescent="0.35">
      <c r="U6264">
        <v>-729.91380000000004</v>
      </c>
    </row>
    <row r="6265" spans="1:21" x14ac:dyDescent="0.35">
      <c r="A6265" s="1"/>
      <c r="U6265">
        <v>15.525</v>
      </c>
    </row>
    <row r="6266" spans="1:21" x14ac:dyDescent="0.35">
      <c r="A6266" s="1"/>
      <c r="U6266">
        <v>14.425000000000001</v>
      </c>
    </row>
    <row r="6267" spans="1:21" x14ac:dyDescent="0.35">
      <c r="A6267" s="1"/>
      <c r="U6267">
        <v>1.1772</v>
      </c>
    </row>
    <row r="6268" spans="1:21" x14ac:dyDescent="0.35">
      <c r="A6268" s="1"/>
      <c r="U6268">
        <v>48.551400000000001</v>
      </c>
    </row>
    <row r="6269" spans="1:21" x14ac:dyDescent="0.35">
      <c r="A6269" s="1"/>
      <c r="U6269">
        <v>93.593999999999994</v>
      </c>
    </row>
    <row r="6270" spans="1:21" x14ac:dyDescent="0.35">
      <c r="A6270" s="1"/>
      <c r="U6270">
        <v>10.327</v>
      </c>
    </row>
    <row r="6271" spans="1:21" x14ac:dyDescent="0.35">
      <c r="A6271" s="1"/>
      <c r="U6271">
        <v>-7.9984000000000002</v>
      </c>
    </row>
    <row r="6272" spans="1:21" x14ac:dyDescent="0.35">
      <c r="A6272" s="1"/>
      <c r="U6272">
        <v>43.464599999999997</v>
      </c>
    </row>
    <row r="6273" spans="1:21" x14ac:dyDescent="0.35">
      <c r="A6273" s="1"/>
      <c r="U6273">
        <v>44.975000000000001</v>
      </c>
    </row>
    <row r="6274" spans="1:21" x14ac:dyDescent="0.35">
      <c r="A6274" s="1"/>
      <c r="U6274">
        <v>23.2624</v>
      </c>
    </row>
    <row r="6275" spans="1:21" x14ac:dyDescent="0.35">
      <c r="U6275">
        <v>4.4711999999999996</v>
      </c>
    </row>
    <row r="6276" spans="1:21" x14ac:dyDescent="0.35">
      <c r="U6276">
        <v>89.963999999999999</v>
      </c>
    </row>
    <row r="6277" spans="1:21" x14ac:dyDescent="0.35">
      <c r="U6277">
        <v>10.89</v>
      </c>
    </row>
    <row r="6278" spans="1:21" x14ac:dyDescent="0.35">
      <c r="U6278">
        <v>41.223700000000001</v>
      </c>
    </row>
    <row r="6279" spans="1:21" x14ac:dyDescent="0.35">
      <c r="U6279">
        <v>17.38</v>
      </c>
    </row>
    <row r="6280" spans="1:21" x14ac:dyDescent="0.35">
      <c r="U6280">
        <v>-4.6764000000000001</v>
      </c>
    </row>
    <row r="6281" spans="1:21" x14ac:dyDescent="0.35">
      <c r="U6281">
        <v>4.1651999999999996</v>
      </c>
    </row>
    <row r="6282" spans="1:21" x14ac:dyDescent="0.35">
      <c r="A6282" s="1"/>
      <c r="U6282">
        <v>1.9925999999999999</v>
      </c>
    </row>
    <row r="6283" spans="1:21" x14ac:dyDescent="0.35">
      <c r="U6283">
        <v>9.5736000000000008</v>
      </c>
    </row>
    <row r="6284" spans="1:21" x14ac:dyDescent="0.35">
      <c r="U6284">
        <v>-26.541</v>
      </c>
    </row>
    <row r="6285" spans="1:21" x14ac:dyDescent="0.35">
      <c r="U6285">
        <v>143.303</v>
      </c>
    </row>
    <row r="6286" spans="1:21" x14ac:dyDescent="0.35">
      <c r="U6286">
        <v>56.323999999999998</v>
      </c>
    </row>
    <row r="6287" spans="1:21" x14ac:dyDescent="0.35">
      <c r="U6287">
        <v>-231.41159999999999</v>
      </c>
    </row>
    <row r="6288" spans="1:21" x14ac:dyDescent="0.35">
      <c r="U6288">
        <v>17.998200000000001</v>
      </c>
    </row>
    <row r="6289" spans="1:21" x14ac:dyDescent="0.35">
      <c r="A6289" s="1"/>
      <c r="U6289">
        <v>-87.935400000000001</v>
      </c>
    </row>
    <row r="6290" spans="1:21" x14ac:dyDescent="0.35">
      <c r="A6290" s="1"/>
      <c r="U6290">
        <v>68.846400000000003</v>
      </c>
    </row>
    <row r="6291" spans="1:21" x14ac:dyDescent="0.35">
      <c r="U6291">
        <v>102.9528</v>
      </c>
    </row>
    <row r="6292" spans="1:21" x14ac:dyDescent="0.35">
      <c r="U6292">
        <v>91.772800000000004</v>
      </c>
    </row>
    <row r="6293" spans="1:21" x14ac:dyDescent="0.35">
      <c r="A6293" s="1"/>
      <c r="U6293">
        <v>168.47040000000001</v>
      </c>
    </row>
    <row r="6294" spans="1:21" x14ac:dyDescent="0.35">
      <c r="U6294">
        <v>7.7679</v>
      </c>
    </row>
    <row r="6295" spans="1:21" x14ac:dyDescent="0.35">
      <c r="U6295">
        <v>16.676400000000001</v>
      </c>
    </row>
    <row r="6296" spans="1:21" x14ac:dyDescent="0.35">
      <c r="U6296">
        <v>12.582000000000001</v>
      </c>
    </row>
    <row r="6297" spans="1:21" x14ac:dyDescent="0.35">
      <c r="U6297">
        <v>503.78219999999999</v>
      </c>
    </row>
    <row r="6298" spans="1:21" x14ac:dyDescent="0.35">
      <c r="U6298">
        <v>84.51</v>
      </c>
    </row>
    <row r="6299" spans="1:21" x14ac:dyDescent="0.35">
      <c r="U6299">
        <v>66.627200000000002</v>
      </c>
    </row>
    <row r="6300" spans="1:21" x14ac:dyDescent="0.35">
      <c r="U6300">
        <v>12.2715</v>
      </c>
    </row>
    <row r="6301" spans="1:21" x14ac:dyDescent="0.35">
      <c r="U6301">
        <v>9.5571000000000002</v>
      </c>
    </row>
    <row r="6302" spans="1:21" x14ac:dyDescent="0.35">
      <c r="A6302" s="1"/>
      <c r="U6302">
        <v>-38.111400000000003</v>
      </c>
    </row>
    <row r="6303" spans="1:21" x14ac:dyDescent="0.35">
      <c r="A6303" s="1"/>
      <c r="U6303">
        <v>4.7195999999999998</v>
      </c>
    </row>
    <row r="6304" spans="1:21" x14ac:dyDescent="0.35">
      <c r="U6304">
        <v>19.596</v>
      </c>
    </row>
    <row r="6305" spans="1:21" x14ac:dyDescent="0.35">
      <c r="U6305">
        <v>23.234999999999999</v>
      </c>
    </row>
    <row r="6306" spans="1:21" x14ac:dyDescent="0.35">
      <c r="A6306" s="1"/>
      <c r="U6306">
        <v>3.2063999999999999</v>
      </c>
    </row>
    <row r="6307" spans="1:21" x14ac:dyDescent="0.35">
      <c r="A6307" s="1"/>
      <c r="U6307">
        <v>-4.1761999999999997</v>
      </c>
    </row>
    <row r="6308" spans="1:21" x14ac:dyDescent="0.35">
      <c r="A6308" s="1"/>
      <c r="U6308">
        <v>-14.4078</v>
      </c>
    </row>
    <row r="6309" spans="1:21" x14ac:dyDescent="0.35">
      <c r="A6309" s="1"/>
      <c r="U6309">
        <v>16.783200000000001</v>
      </c>
    </row>
    <row r="6310" spans="1:21" x14ac:dyDescent="0.35">
      <c r="A6310" s="1"/>
      <c r="U6310">
        <v>-97.552800000000005</v>
      </c>
    </row>
    <row r="6311" spans="1:21" x14ac:dyDescent="0.35">
      <c r="A6311" s="1"/>
      <c r="U6311">
        <v>228.07919999999999</v>
      </c>
    </row>
    <row r="6312" spans="1:21" x14ac:dyDescent="0.35">
      <c r="A6312" s="1"/>
      <c r="U6312">
        <v>5.3116000000000003</v>
      </c>
    </row>
    <row r="6313" spans="1:21" x14ac:dyDescent="0.35">
      <c r="A6313" s="1"/>
      <c r="U6313">
        <v>21.7515</v>
      </c>
    </row>
    <row r="6314" spans="1:21" x14ac:dyDescent="0.35">
      <c r="U6314">
        <v>81.131399999999999</v>
      </c>
    </row>
    <row r="6315" spans="1:21" x14ac:dyDescent="0.35">
      <c r="U6315">
        <v>7.3451000000000004</v>
      </c>
    </row>
    <row r="6316" spans="1:21" x14ac:dyDescent="0.35">
      <c r="U6316">
        <v>45.576000000000001</v>
      </c>
    </row>
    <row r="6317" spans="1:21" x14ac:dyDescent="0.35">
      <c r="U6317">
        <v>96.343800000000002</v>
      </c>
    </row>
    <row r="6318" spans="1:21" x14ac:dyDescent="0.35">
      <c r="U6318">
        <v>69.177599999999998</v>
      </c>
    </row>
    <row r="6319" spans="1:21" x14ac:dyDescent="0.35">
      <c r="U6319">
        <v>7.98</v>
      </c>
    </row>
    <row r="6320" spans="1:21" x14ac:dyDescent="0.35">
      <c r="U6320">
        <v>3.4965000000000002</v>
      </c>
    </row>
    <row r="6321" spans="1:21" x14ac:dyDescent="0.35">
      <c r="U6321">
        <v>15.336</v>
      </c>
    </row>
    <row r="6322" spans="1:21" x14ac:dyDescent="0.35">
      <c r="U6322">
        <v>3.6288</v>
      </c>
    </row>
    <row r="6323" spans="1:21" x14ac:dyDescent="0.35">
      <c r="U6323">
        <v>2.8100999999999998</v>
      </c>
    </row>
    <row r="6324" spans="1:21" x14ac:dyDescent="0.35">
      <c r="A6324" s="1"/>
      <c r="U6324">
        <v>7.4871999999999996</v>
      </c>
    </row>
    <row r="6325" spans="1:21" x14ac:dyDescent="0.35">
      <c r="U6325">
        <v>31.0059</v>
      </c>
    </row>
    <row r="6326" spans="1:21" x14ac:dyDescent="0.35">
      <c r="U6326">
        <v>16.032</v>
      </c>
    </row>
    <row r="6327" spans="1:21" x14ac:dyDescent="0.35">
      <c r="U6327">
        <v>103.3116</v>
      </c>
    </row>
    <row r="6328" spans="1:21" x14ac:dyDescent="0.35">
      <c r="U6328">
        <v>4.0541999999999998</v>
      </c>
    </row>
    <row r="6329" spans="1:21" x14ac:dyDescent="0.35">
      <c r="U6329">
        <v>30.023399999999999</v>
      </c>
    </row>
    <row r="6330" spans="1:21" x14ac:dyDescent="0.35">
      <c r="U6330">
        <v>8.9535</v>
      </c>
    </row>
    <row r="6331" spans="1:21" x14ac:dyDescent="0.35">
      <c r="U6331">
        <v>93.581599999999995</v>
      </c>
    </row>
    <row r="6332" spans="1:21" x14ac:dyDescent="0.35">
      <c r="U6332">
        <v>15.979200000000001</v>
      </c>
    </row>
    <row r="6333" spans="1:21" x14ac:dyDescent="0.35">
      <c r="U6333">
        <v>12.736800000000001</v>
      </c>
    </row>
    <row r="6334" spans="1:21" x14ac:dyDescent="0.35">
      <c r="U6334">
        <v>4.8609</v>
      </c>
    </row>
    <row r="6335" spans="1:21" x14ac:dyDescent="0.35">
      <c r="U6335">
        <v>13.365</v>
      </c>
    </row>
    <row r="6336" spans="1:21" x14ac:dyDescent="0.35">
      <c r="A6336" s="1"/>
      <c r="U6336">
        <v>23.086400000000001</v>
      </c>
    </row>
    <row r="6337" spans="1:21" x14ac:dyDescent="0.35">
      <c r="A6337" s="1"/>
      <c r="U6337">
        <v>6.3979999999999997</v>
      </c>
    </row>
    <row r="6338" spans="1:21" x14ac:dyDescent="0.35">
      <c r="U6338">
        <v>15.993600000000001</v>
      </c>
    </row>
    <row r="6339" spans="1:21" x14ac:dyDescent="0.35">
      <c r="U6339">
        <v>42.494999999999997</v>
      </c>
    </row>
    <row r="6340" spans="1:21" x14ac:dyDescent="0.35">
      <c r="A6340" s="1"/>
      <c r="U6340">
        <v>43.9</v>
      </c>
    </row>
    <row r="6341" spans="1:21" x14ac:dyDescent="0.35">
      <c r="A6341" s="1"/>
      <c r="U6341">
        <v>2.4598</v>
      </c>
    </row>
    <row r="6342" spans="1:21" x14ac:dyDescent="0.35">
      <c r="A6342" s="1"/>
      <c r="U6342">
        <v>1351.9896000000001</v>
      </c>
    </row>
    <row r="6343" spans="1:21" x14ac:dyDescent="0.35">
      <c r="U6343">
        <v>-35.215200000000003</v>
      </c>
    </row>
    <row r="6344" spans="1:21" x14ac:dyDescent="0.35">
      <c r="A6344" s="1"/>
      <c r="U6344">
        <v>52.734000000000002</v>
      </c>
    </row>
    <row r="6345" spans="1:21" x14ac:dyDescent="0.35">
      <c r="A6345" s="1"/>
      <c r="U6345">
        <v>14.9156</v>
      </c>
    </row>
    <row r="6346" spans="1:21" x14ac:dyDescent="0.35">
      <c r="A6346" s="1"/>
      <c r="U6346">
        <v>33.254399999999997</v>
      </c>
    </row>
    <row r="6347" spans="1:21" x14ac:dyDescent="0.35">
      <c r="A6347" s="1"/>
      <c r="U6347">
        <v>170.51130000000001</v>
      </c>
    </row>
    <row r="6348" spans="1:21" x14ac:dyDescent="0.35">
      <c r="U6348">
        <v>12.029500000000001</v>
      </c>
    </row>
    <row r="6349" spans="1:21" x14ac:dyDescent="0.35">
      <c r="A6349" s="1"/>
      <c r="U6349">
        <v>4.4138000000000002</v>
      </c>
    </row>
    <row r="6350" spans="1:21" x14ac:dyDescent="0.35">
      <c r="A6350" s="1"/>
      <c r="U6350">
        <v>10.4496</v>
      </c>
    </row>
    <row r="6351" spans="1:21" x14ac:dyDescent="0.35">
      <c r="A6351" s="1"/>
      <c r="U6351">
        <v>10.518000000000001</v>
      </c>
    </row>
    <row r="6352" spans="1:21" x14ac:dyDescent="0.35">
      <c r="A6352" s="1"/>
      <c r="U6352">
        <v>-105.69</v>
      </c>
    </row>
    <row r="6353" spans="1:21" x14ac:dyDescent="0.35">
      <c r="A6353" s="1"/>
      <c r="U6353">
        <v>27.103200000000001</v>
      </c>
    </row>
    <row r="6354" spans="1:21" x14ac:dyDescent="0.35">
      <c r="U6354">
        <v>-2.0099999999999998</v>
      </c>
    </row>
    <row r="6355" spans="1:21" x14ac:dyDescent="0.35">
      <c r="A6355" s="1"/>
      <c r="U6355">
        <v>2.0975000000000001</v>
      </c>
    </row>
    <row r="6356" spans="1:21" x14ac:dyDescent="0.35">
      <c r="A6356" s="1"/>
      <c r="U6356">
        <v>101.39400000000001</v>
      </c>
    </row>
    <row r="6357" spans="1:21" x14ac:dyDescent="0.35">
      <c r="A6357" s="1"/>
      <c r="U6357">
        <v>-13.637</v>
      </c>
    </row>
    <row r="6358" spans="1:21" x14ac:dyDescent="0.35">
      <c r="U6358">
        <v>6.8879999999999999</v>
      </c>
    </row>
    <row r="6359" spans="1:21" x14ac:dyDescent="0.35">
      <c r="U6359">
        <v>12.441599999999999</v>
      </c>
    </row>
    <row r="6360" spans="1:21" x14ac:dyDescent="0.35">
      <c r="U6360">
        <v>3.1103999999999998</v>
      </c>
    </row>
    <row r="6361" spans="1:21" x14ac:dyDescent="0.35">
      <c r="U6361">
        <v>8.6351999999999993</v>
      </c>
    </row>
    <row r="6362" spans="1:21" x14ac:dyDescent="0.35">
      <c r="A6362" s="1"/>
      <c r="U6362">
        <v>15.763999999999999</v>
      </c>
    </row>
    <row r="6363" spans="1:21" x14ac:dyDescent="0.35">
      <c r="U6363">
        <v>8.2901000000000007</v>
      </c>
    </row>
    <row r="6364" spans="1:21" x14ac:dyDescent="0.35">
      <c r="U6364">
        <v>56.55</v>
      </c>
    </row>
    <row r="6365" spans="1:21" x14ac:dyDescent="0.35">
      <c r="U6365">
        <v>103.9992</v>
      </c>
    </row>
    <row r="6366" spans="1:21" x14ac:dyDescent="0.35">
      <c r="U6366">
        <v>24.883199999999999</v>
      </c>
    </row>
    <row r="6367" spans="1:21" x14ac:dyDescent="0.35">
      <c r="A6367" s="1"/>
      <c r="U6367">
        <v>11.1294</v>
      </c>
    </row>
    <row r="6368" spans="1:21" x14ac:dyDescent="0.35">
      <c r="A6368" s="1"/>
      <c r="U6368">
        <v>7.2111000000000001</v>
      </c>
    </row>
    <row r="6369" spans="1:21" x14ac:dyDescent="0.35">
      <c r="A6369" s="1"/>
      <c r="U6369">
        <v>33.325600000000001</v>
      </c>
    </row>
    <row r="6370" spans="1:21" x14ac:dyDescent="0.35">
      <c r="U6370">
        <v>49.92</v>
      </c>
    </row>
    <row r="6371" spans="1:21" x14ac:dyDescent="0.35">
      <c r="A6371" s="1"/>
      <c r="U6371">
        <v>-29.512</v>
      </c>
    </row>
    <row r="6372" spans="1:21" x14ac:dyDescent="0.35">
      <c r="U6372">
        <v>12.776400000000001</v>
      </c>
    </row>
    <row r="6373" spans="1:21" x14ac:dyDescent="0.35">
      <c r="A6373" s="1"/>
      <c r="U6373">
        <v>21.819199999999999</v>
      </c>
    </row>
    <row r="6374" spans="1:21" x14ac:dyDescent="0.35">
      <c r="A6374" s="1"/>
      <c r="U6374">
        <v>3.1160999999999999</v>
      </c>
    </row>
    <row r="6375" spans="1:21" x14ac:dyDescent="0.35">
      <c r="A6375" s="1"/>
      <c r="U6375">
        <v>66.954599999999999</v>
      </c>
    </row>
    <row r="6376" spans="1:21" x14ac:dyDescent="0.35">
      <c r="U6376">
        <v>70.197999999999993</v>
      </c>
    </row>
    <row r="6377" spans="1:21" x14ac:dyDescent="0.35">
      <c r="U6377">
        <v>-1.2490000000000001</v>
      </c>
    </row>
    <row r="6378" spans="1:21" x14ac:dyDescent="0.35">
      <c r="A6378" s="1"/>
      <c r="U6378">
        <v>1.7248000000000001</v>
      </c>
    </row>
    <row r="6379" spans="1:21" x14ac:dyDescent="0.35">
      <c r="U6379">
        <v>4.2804000000000002</v>
      </c>
    </row>
    <row r="6380" spans="1:21" x14ac:dyDescent="0.35">
      <c r="A6380" s="1"/>
      <c r="U6380">
        <v>41.995800000000003</v>
      </c>
    </row>
    <row r="6381" spans="1:21" x14ac:dyDescent="0.35">
      <c r="A6381" s="1"/>
      <c r="U6381">
        <v>71.537499999999994</v>
      </c>
    </row>
    <row r="6382" spans="1:21" x14ac:dyDescent="0.35">
      <c r="A6382" s="1"/>
      <c r="U6382">
        <v>-11.8256</v>
      </c>
    </row>
    <row r="6383" spans="1:21" x14ac:dyDescent="0.35">
      <c r="U6383">
        <v>-167.98599999999999</v>
      </c>
    </row>
    <row r="6384" spans="1:21" x14ac:dyDescent="0.35">
      <c r="U6384">
        <v>-36.9544</v>
      </c>
    </row>
    <row r="6385" spans="1:21" x14ac:dyDescent="0.35">
      <c r="U6385">
        <v>-52.4544</v>
      </c>
    </row>
    <row r="6386" spans="1:21" x14ac:dyDescent="0.35">
      <c r="U6386">
        <v>14.395200000000001</v>
      </c>
    </row>
    <row r="6387" spans="1:21" x14ac:dyDescent="0.35">
      <c r="U6387">
        <v>13.300800000000001</v>
      </c>
    </row>
    <row r="6388" spans="1:21" x14ac:dyDescent="0.35">
      <c r="U6388">
        <v>-6.6277999999999997</v>
      </c>
    </row>
    <row r="6389" spans="1:21" x14ac:dyDescent="0.35">
      <c r="U6389">
        <v>4.7519999999999998</v>
      </c>
    </row>
    <row r="6390" spans="1:21" x14ac:dyDescent="0.35">
      <c r="U6390">
        <v>6.8982000000000001</v>
      </c>
    </row>
    <row r="6391" spans="1:21" x14ac:dyDescent="0.35">
      <c r="A6391" s="1"/>
      <c r="U6391">
        <v>146.2405</v>
      </c>
    </row>
    <row r="6392" spans="1:21" x14ac:dyDescent="0.35">
      <c r="A6392" s="1"/>
      <c r="U6392">
        <v>6.3503999999999996</v>
      </c>
    </row>
    <row r="6393" spans="1:21" x14ac:dyDescent="0.35">
      <c r="U6393">
        <v>6.7252000000000001</v>
      </c>
    </row>
    <row r="6394" spans="1:21" x14ac:dyDescent="0.35">
      <c r="U6394">
        <v>2.8224</v>
      </c>
    </row>
    <row r="6395" spans="1:21" x14ac:dyDescent="0.35">
      <c r="U6395">
        <v>10.5252</v>
      </c>
    </row>
    <row r="6396" spans="1:21" x14ac:dyDescent="0.35">
      <c r="U6396">
        <v>198.46</v>
      </c>
    </row>
    <row r="6397" spans="1:21" x14ac:dyDescent="0.35">
      <c r="U6397">
        <v>4.6304999999999996</v>
      </c>
    </row>
    <row r="6398" spans="1:21" x14ac:dyDescent="0.35">
      <c r="U6398">
        <v>7.8029999999999999</v>
      </c>
    </row>
    <row r="6399" spans="1:21" x14ac:dyDescent="0.35">
      <c r="U6399">
        <v>0.59040000000000004</v>
      </c>
    </row>
    <row r="6400" spans="1:21" x14ac:dyDescent="0.35">
      <c r="A6400" s="1"/>
      <c r="U6400">
        <v>247.48500000000001</v>
      </c>
    </row>
    <row r="6401" spans="1:21" x14ac:dyDescent="0.35">
      <c r="A6401" s="1"/>
      <c r="U6401">
        <v>11.827199999999999</v>
      </c>
    </row>
    <row r="6402" spans="1:21" x14ac:dyDescent="0.35">
      <c r="A6402" s="1"/>
      <c r="U6402">
        <v>68.364000000000004</v>
      </c>
    </row>
    <row r="6403" spans="1:21" x14ac:dyDescent="0.35">
      <c r="U6403">
        <v>33.874400000000001</v>
      </c>
    </row>
    <row r="6404" spans="1:21" x14ac:dyDescent="0.35">
      <c r="U6404">
        <v>1.8672</v>
      </c>
    </row>
    <row r="6405" spans="1:21" x14ac:dyDescent="0.35">
      <c r="U6405">
        <v>3.0438000000000001</v>
      </c>
    </row>
    <row r="6406" spans="1:21" x14ac:dyDescent="0.35">
      <c r="U6406">
        <v>19.9665</v>
      </c>
    </row>
    <row r="6407" spans="1:21" x14ac:dyDescent="0.35">
      <c r="U6407">
        <v>7.1196000000000002</v>
      </c>
    </row>
    <row r="6408" spans="1:21" x14ac:dyDescent="0.35">
      <c r="U6408">
        <v>43.421700000000001</v>
      </c>
    </row>
    <row r="6409" spans="1:21" x14ac:dyDescent="0.35">
      <c r="U6409">
        <v>-12.849</v>
      </c>
    </row>
    <row r="6410" spans="1:21" x14ac:dyDescent="0.35">
      <c r="U6410">
        <v>5.7750000000000004</v>
      </c>
    </row>
    <row r="6411" spans="1:21" x14ac:dyDescent="0.35">
      <c r="U6411">
        <v>16.183800000000002</v>
      </c>
    </row>
    <row r="6412" spans="1:21" x14ac:dyDescent="0.35">
      <c r="U6412">
        <v>0.69930000000000003</v>
      </c>
    </row>
    <row r="6413" spans="1:21" x14ac:dyDescent="0.35">
      <c r="U6413">
        <v>26.9024</v>
      </c>
    </row>
    <row r="6414" spans="1:21" x14ac:dyDescent="0.35">
      <c r="U6414">
        <v>48.377099999999999</v>
      </c>
    </row>
    <row r="6415" spans="1:21" x14ac:dyDescent="0.35">
      <c r="U6415">
        <v>9.8160000000000007</v>
      </c>
    </row>
    <row r="6416" spans="1:21" x14ac:dyDescent="0.35">
      <c r="A6416" s="1"/>
      <c r="U6416">
        <v>-7.68</v>
      </c>
    </row>
    <row r="6417" spans="1:21" x14ac:dyDescent="0.35">
      <c r="U6417">
        <v>29.358000000000001</v>
      </c>
    </row>
    <row r="6418" spans="1:21" x14ac:dyDescent="0.35">
      <c r="A6418" s="1"/>
      <c r="U6418">
        <v>-25.334399999999999</v>
      </c>
    </row>
    <row r="6419" spans="1:21" x14ac:dyDescent="0.35">
      <c r="A6419" s="1"/>
      <c r="U6419">
        <v>-1.3464</v>
      </c>
    </row>
    <row r="6420" spans="1:21" x14ac:dyDescent="0.35">
      <c r="U6420">
        <v>6.1487999999999996</v>
      </c>
    </row>
    <row r="6421" spans="1:21" x14ac:dyDescent="0.35">
      <c r="U6421">
        <v>81.173400000000001</v>
      </c>
    </row>
    <row r="6422" spans="1:21" x14ac:dyDescent="0.35">
      <c r="U6422">
        <v>3.4691999999999998</v>
      </c>
    </row>
    <row r="6423" spans="1:21" x14ac:dyDescent="0.35">
      <c r="U6423">
        <v>9.9882000000000009</v>
      </c>
    </row>
    <row r="6424" spans="1:21" x14ac:dyDescent="0.35">
      <c r="U6424">
        <v>34.698300000000003</v>
      </c>
    </row>
    <row r="6425" spans="1:21" x14ac:dyDescent="0.35">
      <c r="U6425">
        <v>-73.819199999999995</v>
      </c>
    </row>
    <row r="6426" spans="1:21" x14ac:dyDescent="0.35">
      <c r="U6426">
        <v>9.3312000000000008</v>
      </c>
    </row>
    <row r="6427" spans="1:21" x14ac:dyDescent="0.35">
      <c r="U6427">
        <v>1119.9967999999999</v>
      </c>
    </row>
    <row r="6428" spans="1:21" x14ac:dyDescent="0.35">
      <c r="U6428">
        <v>-4.1959999999999997</v>
      </c>
    </row>
    <row r="6429" spans="1:21" x14ac:dyDescent="0.35">
      <c r="U6429">
        <v>3.6288</v>
      </c>
    </row>
    <row r="6430" spans="1:21" x14ac:dyDescent="0.35">
      <c r="U6430">
        <v>-24.476400000000002</v>
      </c>
    </row>
    <row r="6431" spans="1:21" x14ac:dyDescent="0.35">
      <c r="A6431" s="1"/>
      <c r="U6431">
        <v>-1.6240000000000001</v>
      </c>
    </row>
    <row r="6432" spans="1:21" x14ac:dyDescent="0.35">
      <c r="A6432" s="1"/>
      <c r="U6432">
        <v>-299.26139999999998</v>
      </c>
    </row>
    <row r="6433" spans="1:21" x14ac:dyDescent="0.35">
      <c r="A6433" s="1"/>
      <c r="U6433">
        <v>-10.487399999999999</v>
      </c>
    </row>
    <row r="6434" spans="1:21" x14ac:dyDescent="0.35">
      <c r="A6434" s="1"/>
      <c r="U6434">
        <v>-51.293999999999997</v>
      </c>
    </row>
    <row r="6435" spans="1:21" x14ac:dyDescent="0.35">
      <c r="U6435">
        <v>8.5259999999999998</v>
      </c>
    </row>
    <row r="6436" spans="1:21" x14ac:dyDescent="0.35">
      <c r="U6436">
        <v>13.571999999999999</v>
      </c>
    </row>
    <row r="6437" spans="1:21" x14ac:dyDescent="0.35">
      <c r="U6437">
        <v>14.7</v>
      </c>
    </row>
    <row r="6438" spans="1:21" x14ac:dyDescent="0.35">
      <c r="U6438">
        <v>28.629000000000001</v>
      </c>
    </row>
    <row r="6439" spans="1:21" x14ac:dyDescent="0.35">
      <c r="U6439">
        <v>22.6782</v>
      </c>
    </row>
    <row r="6440" spans="1:21" x14ac:dyDescent="0.35">
      <c r="U6440">
        <v>-97.498800000000003</v>
      </c>
    </row>
    <row r="6441" spans="1:21" x14ac:dyDescent="0.35">
      <c r="A6441" s="1"/>
      <c r="U6441">
        <v>-6.5490000000000004</v>
      </c>
    </row>
    <row r="6442" spans="1:21" x14ac:dyDescent="0.35">
      <c r="U6442">
        <v>12.492000000000001</v>
      </c>
    </row>
    <row r="6443" spans="1:21" x14ac:dyDescent="0.35">
      <c r="U6443">
        <v>23.968800000000002</v>
      </c>
    </row>
    <row r="6444" spans="1:21" x14ac:dyDescent="0.35">
      <c r="U6444">
        <v>18.211200000000002</v>
      </c>
    </row>
    <row r="6445" spans="1:21" x14ac:dyDescent="0.35">
      <c r="U6445">
        <v>11.454000000000001</v>
      </c>
    </row>
    <row r="6446" spans="1:21" x14ac:dyDescent="0.35">
      <c r="U6446">
        <v>33.726599999999998</v>
      </c>
    </row>
    <row r="6447" spans="1:21" x14ac:dyDescent="0.35">
      <c r="A6447" s="1"/>
      <c r="U6447">
        <v>2.4864000000000002</v>
      </c>
    </row>
    <row r="6448" spans="1:21" x14ac:dyDescent="0.35">
      <c r="A6448" s="1"/>
      <c r="U6448">
        <v>-77.625</v>
      </c>
    </row>
    <row r="6449" spans="1:21" x14ac:dyDescent="0.35">
      <c r="A6449" s="1"/>
      <c r="U6449">
        <v>0.86240000000000006</v>
      </c>
    </row>
    <row r="6450" spans="1:21" x14ac:dyDescent="0.35">
      <c r="A6450" s="1"/>
      <c r="U6450">
        <v>0.65400000000000003</v>
      </c>
    </row>
    <row r="6451" spans="1:21" x14ac:dyDescent="0.35">
      <c r="U6451">
        <v>5.1647999999999996</v>
      </c>
    </row>
    <row r="6452" spans="1:21" x14ac:dyDescent="0.35">
      <c r="U6452">
        <v>21.012799999999999</v>
      </c>
    </row>
    <row r="6453" spans="1:21" x14ac:dyDescent="0.35">
      <c r="U6453">
        <v>2.2109999999999999</v>
      </c>
    </row>
    <row r="6454" spans="1:21" x14ac:dyDescent="0.35">
      <c r="U6454">
        <v>13.857900000000001</v>
      </c>
    </row>
    <row r="6455" spans="1:21" x14ac:dyDescent="0.35">
      <c r="A6455" s="1"/>
      <c r="U6455">
        <v>0.55900000000000005</v>
      </c>
    </row>
    <row r="6456" spans="1:21" x14ac:dyDescent="0.35">
      <c r="U6456">
        <v>15.2712</v>
      </c>
    </row>
    <row r="6457" spans="1:21" x14ac:dyDescent="0.35">
      <c r="U6457">
        <v>11.457599999999999</v>
      </c>
    </row>
    <row r="6458" spans="1:21" x14ac:dyDescent="0.35">
      <c r="A6458" s="1"/>
      <c r="U6458">
        <v>36.717300000000002</v>
      </c>
    </row>
    <row r="6459" spans="1:21" x14ac:dyDescent="0.35">
      <c r="A6459" s="1"/>
      <c r="U6459">
        <v>7.0224000000000002</v>
      </c>
    </row>
    <row r="6460" spans="1:21" x14ac:dyDescent="0.35">
      <c r="U6460">
        <v>1.0904</v>
      </c>
    </row>
    <row r="6461" spans="1:21" x14ac:dyDescent="0.35">
      <c r="U6461">
        <v>6.6150000000000002</v>
      </c>
    </row>
    <row r="6462" spans="1:21" x14ac:dyDescent="0.35">
      <c r="U6462">
        <v>9.3000000000000007</v>
      </c>
    </row>
    <row r="6463" spans="1:21" x14ac:dyDescent="0.35">
      <c r="U6463">
        <v>18.893699999999999</v>
      </c>
    </row>
    <row r="6464" spans="1:21" x14ac:dyDescent="0.35">
      <c r="U6464">
        <v>23.5764</v>
      </c>
    </row>
    <row r="6465" spans="1:21" x14ac:dyDescent="0.35">
      <c r="U6465">
        <v>37</v>
      </c>
    </row>
    <row r="6466" spans="1:21" x14ac:dyDescent="0.35">
      <c r="U6466">
        <v>6.3743999999999996</v>
      </c>
    </row>
    <row r="6467" spans="1:21" x14ac:dyDescent="0.35">
      <c r="U6467">
        <v>6.3719999999999999</v>
      </c>
    </row>
    <row r="6468" spans="1:21" x14ac:dyDescent="0.35">
      <c r="U6468">
        <v>25.330200000000001</v>
      </c>
    </row>
    <row r="6469" spans="1:21" x14ac:dyDescent="0.35">
      <c r="A6469" s="1"/>
      <c r="U6469">
        <v>582.23199999999997</v>
      </c>
    </row>
    <row r="6470" spans="1:21" x14ac:dyDescent="0.35">
      <c r="A6470" s="1"/>
      <c r="U6470">
        <v>176.386</v>
      </c>
    </row>
    <row r="6471" spans="1:21" x14ac:dyDescent="0.35">
      <c r="A6471" s="1"/>
      <c r="U6471">
        <v>23.898599999999998</v>
      </c>
    </row>
    <row r="6472" spans="1:21" x14ac:dyDescent="0.35">
      <c r="U6472">
        <v>35.634599999999999</v>
      </c>
    </row>
    <row r="6473" spans="1:21" x14ac:dyDescent="0.35">
      <c r="U6473">
        <v>11.452</v>
      </c>
    </row>
    <row r="6474" spans="1:21" x14ac:dyDescent="0.35">
      <c r="A6474" s="1"/>
      <c r="U6474">
        <v>33.831000000000003</v>
      </c>
    </row>
    <row r="6475" spans="1:21" x14ac:dyDescent="0.35">
      <c r="U6475">
        <v>87.18</v>
      </c>
    </row>
    <row r="6476" spans="1:21" x14ac:dyDescent="0.35">
      <c r="U6476">
        <v>-53.285600000000002</v>
      </c>
    </row>
    <row r="6477" spans="1:21" x14ac:dyDescent="0.35">
      <c r="A6477" s="1"/>
      <c r="U6477">
        <v>-3.4914000000000001</v>
      </c>
    </row>
    <row r="6478" spans="1:21" x14ac:dyDescent="0.35">
      <c r="A6478" s="1"/>
      <c r="U6478">
        <v>0.58499999999999996</v>
      </c>
    </row>
    <row r="6479" spans="1:21" x14ac:dyDescent="0.35">
      <c r="A6479" s="1"/>
      <c r="U6479">
        <v>-2.5749</v>
      </c>
    </row>
    <row r="6480" spans="1:21" x14ac:dyDescent="0.35">
      <c r="A6480" s="1"/>
      <c r="U6480">
        <v>5.4432</v>
      </c>
    </row>
    <row r="6481" spans="1:21" x14ac:dyDescent="0.35">
      <c r="A6481" s="1"/>
      <c r="U6481">
        <v>50.396000000000001</v>
      </c>
    </row>
    <row r="6482" spans="1:21" x14ac:dyDescent="0.35">
      <c r="A6482" s="1"/>
      <c r="U6482">
        <v>1.8353999999999999</v>
      </c>
    </row>
    <row r="6483" spans="1:21" x14ac:dyDescent="0.35">
      <c r="A6483" s="1"/>
      <c r="U6483">
        <v>0</v>
      </c>
    </row>
    <row r="6484" spans="1:21" x14ac:dyDescent="0.35">
      <c r="A6484" s="1"/>
      <c r="U6484">
        <v>-4.1399999999999997</v>
      </c>
    </row>
    <row r="6485" spans="1:21" x14ac:dyDescent="0.35">
      <c r="A6485" s="1"/>
      <c r="U6485">
        <v>-115.43040000000001</v>
      </c>
    </row>
    <row r="6486" spans="1:21" x14ac:dyDescent="0.35">
      <c r="A6486" s="1"/>
      <c r="U6486">
        <v>36.183599999999998</v>
      </c>
    </row>
    <row r="6487" spans="1:21" x14ac:dyDescent="0.35">
      <c r="A6487" s="1"/>
      <c r="U6487">
        <v>22.226400000000002</v>
      </c>
    </row>
    <row r="6488" spans="1:21" x14ac:dyDescent="0.35">
      <c r="U6488">
        <v>156.33799999999999</v>
      </c>
    </row>
    <row r="6489" spans="1:21" x14ac:dyDescent="0.35">
      <c r="U6489">
        <v>-9.8462999999999994</v>
      </c>
    </row>
    <row r="6490" spans="1:21" x14ac:dyDescent="0.35">
      <c r="U6490">
        <v>96.023200000000003</v>
      </c>
    </row>
    <row r="6491" spans="1:21" x14ac:dyDescent="0.35">
      <c r="U6491">
        <v>15.552</v>
      </c>
    </row>
    <row r="6492" spans="1:21" x14ac:dyDescent="0.35">
      <c r="U6492">
        <v>16.889600000000002</v>
      </c>
    </row>
    <row r="6493" spans="1:21" x14ac:dyDescent="0.35">
      <c r="U6493">
        <v>10.8588</v>
      </c>
    </row>
    <row r="6494" spans="1:21" x14ac:dyDescent="0.35">
      <c r="U6494">
        <v>4.4684999999999997</v>
      </c>
    </row>
    <row r="6495" spans="1:21" x14ac:dyDescent="0.35">
      <c r="U6495">
        <v>24.476800000000001</v>
      </c>
    </row>
    <row r="6496" spans="1:21" x14ac:dyDescent="0.35">
      <c r="U6496">
        <v>-2.7</v>
      </c>
    </row>
    <row r="6497" spans="1:21" x14ac:dyDescent="0.35">
      <c r="U6497">
        <v>5.4432</v>
      </c>
    </row>
    <row r="6498" spans="1:21" x14ac:dyDescent="0.35">
      <c r="U6498">
        <v>-3.2719999999999998</v>
      </c>
    </row>
    <row r="6499" spans="1:21" x14ac:dyDescent="0.35">
      <c r="U6499">
        <v>6.0726000000000004</v>
      </c>
    </row>
    <row r="6500" spans="1:21" x14ac:dyDescent="0.35">
      <c r="U6500">
        <v>62.141399999999997</v>
      </c>
    </row>
    <row r="6501" spans="1:21" x14ac:dyDescent="0.35">
      <c r="U6501">
        <v>64.367800000000003</v>
      </c>
    </row>
    <row r="6502" spans="1:21" x14ac:dyDescent="0.35">
      <c r="U6502">
        <v>41.427599999999998</v>
      </c>
    </row>
    <row r="6503" spans="1:21" x14ac:dyDescent="0.35">
      <c r="A6503" s="1"/>
      <c r="U6503">
        <v>-107.9928</v>
      </c>
    </row>
    <row r="6504" spans="1:21" x14ac:dyDescent="0.35">
      <c r="A6504" s="1"/>
      <c r="U6504">
        <v>-10.0464</v>
      </c>
    </row>
    <row r="6505" spans="1:21" x14ac:dyDescent="0.35">
      <c r="A6505" s="1"/>
      <c r="U6505">
        <v>-13.4694</v>
      </c>
    </row>
    <row r="6506" spans="1:21" x14ac:dyDescent="0.35">
      <c r="U6506">
        <v>349.33920000000001</v>
      </c>
    </row>
    <row r="6507" spans="1:21" x14ac:dyDescent="0.35">
      <c r="U6507">
        <v>0.46410000000000001</v>
      </c>
    </row>
    <row r="6508" spans="1:21" x14ac:dyDescent="0.35">
      <c r="A6508" s="1"/>
      <c r="U6508">
        <v>5.98</v>
      </c>
    </row>
    <row r="6509" spans="1:21" x14ac:dyDescent="0.35">
      <c r="A6509" s="1"/>
      <c r="U6509">
        <v>-24.962399999999999</v>
      </c>
    </row>
    <row r="6510" spans="1:21" x14ac:dyDescent="0.35">
      <c r="U6510">
        <v>137.15100000000001</v>
      </c>
    </row>
    <row r="6511" spans="1:21" x14ac:dyDescent="0.35">
      <c r="U6511">
        <v>17.623200000000001</v>
      </c>
    </row>
    <row r="6512" spans="1:21" x14ac:dyDescent="0.35">
      <c r="U6512">
        <v>16.669799999999999</v>
      </c>
    </row>
    <row r="6513" spans="1:21" x14ac:dyDescent="0.35">
      <c r="A6513" s="1"/>
      <c r="U6513">
        <v>8.1191999999999993</v>
      </c>
    </row>
    <row r="6514" spans="1:21" x14ac:dyDescent="0.35">
      <c r="A6514" s="1"/>
      <c r="U6514">
        <v>5.6448</v>
      </c>
    </row>
    <row r="6515" spans="1:21" x14ac:dyDescent="0.35">
      <c r="A6515" s="1"/>
      <c r="U6515">
        <v>140.59569999999999</v>
      </c>
    </row>
    <row r="6516" spans="1:21" x14ac:dyDescent="0.35">
      <c r="A6516" s="1"/>
      <c r="U6516">
        <v>23.2182</v>
      </c>
    </row>
    <row r="6517" spans="1:21" x14ac:dyDescent="0.35">
      <c r="U6517">
        <v>0</v>
      </c>
    </row>
    <row r="6518" spans="1:21" x14ac:dyDescent="0.35">
      <c r="U6518">
        <v>105.98</v>
      </c>
    </row>
    <row r="6519" spans="1:21" x14ac:dyDescent="0.35">
      <c r="U6519">
        <v>41.706000000000003</v>
      </c>
    </row>
    <row r="6520" spans="1:21" x14ac:dyDescent="0.35">
      <c r="U6520">
        <v>30.508800000000001</v>
      </c>
    </row>
    <row r="6521" spans="1:21" x14ac:dyDescent="0.35">
      <c r="U6521">
        <v>0.84</v>
      </c>
    </row>
    <row r="6522" spans="1:21" x14ac:dyDescent="0.35">
      <c r="U6522">
        <v>2504.2215999999999</v>
      </c>
    </row>
    <row r="6523" spans="1:21" x14ac:dyDescent="0.35">
      <c r="U6523">
        <v>72.640799999999999</v>
      </c>
    </row>
    <row r="6524" spans="1:21" x14ac:dyDescent="0.35">
      <c r="U6524">
        <v>25.2315</v>
      </c>
    </row>
    <row r="6525" spans="1:21" x14ac:dyDescent="0.35">
      <c r="A6525" s="1"/>
      <c r="U6525">
        <v>3.2759999999999998</v>
      </c>
    </row>
    <row r="6526" spans="1:21" x14ac:dyDescent="0.35">
      <c r="A6526" s="1"/>
      <c r="U6526">
        <v>-12.998699999999999</v>
      </c>
    </row>
    <row r="6527" spans="1:21" x14ac:dyDescent="0.35">
      <c r="A6527" s="1"/>
      <c r="U6527">
        <v>-4.7625000000000002</v>
      </c>
    </row>
    <row r="6528" spans="1:21" x14ac:dyDescent="0.35">
      <c r="A6528" s="1"/>
      <c r="U6528">
        <v>-7.85</v>
      </c>
    </row>
    <row r="6529" spans="1:21" x14ac:dyDescent="0.35">
      <c r="U6529">
        <v>899.98199999999997</v>
      </c>
    </row>
    <row r="6530" spans="1:21" x14ac:dyDescent="0.35">
      <c r="U6530">
        <v>56.264000000000003</v>
      </c>
    </row>
    <row r="6531" spans="1:21" x14ac:dyDescent="0.35">
      <c r="U6531">
        <v>2.3409</v>
      </c>
    </row>
    <row r="6532" spans="1:21" x14ac:dyDescent="0.35">
      <c r="U6532">
        <v>-6.8634000000000004</v>
      </c>
    </row>
    <row r="6533" spans="1:21" x14ac:dyDescent="0.35">
      <c r="A6533" s="1"/>
      <c r="U6533">
        <v>2.552</v>
      </c>
    </row>
    <row r="6534" spans="1:21" x14ac:dyDescent="0.35">
      <c r="A6534" s="1"/>
      <c r="U6534">
        <v>29.988</v>
      </c>
    </row>
    <row r="6535" spans="1:21" x14ac:dyDescent="0.35">
      <c r="A6535" s="1"/>
      <c r="U6535">
        <v>143.982</v>
      </c>
    </row>
    <row r="6536" spans="1:21" x14ac:dyDescent="0.35">
      <c r="U6536">
        <v>726.56190000000004</v>
      </c>
    </row>
    <row r="6537" spans="1:21" x14ac:dyDescent="0.35">
      <c r="U6537">
        <v>-50.097999999999999</v>
      </c>
    </row>
    <row r="6538" spans="1:21" x14ac:dyDescent="0.35">
      <c r="U6538">
        <v>-147.8655</v>
      </c>
    </row>
    <row r="6539" spans="1:21" x14ac:dyDescent="0.35">
      <c r="U6539">
        <v>-24.588000000000001</v>
      </c>
    </row>
    <row r="6540" spans="1:21" x14ac:dyDescent="0.35">
      <c r="U6540">
        <v>41.337400000000002</v>
      </c>
    </row>
    <row r="6541" spans="1:21" x14ac:dyDescent="0.35">
      <c r="U6541">
        <v>75.686000000000007</v>
      </c>
    </row>
    <row r="6542" spans="1:21" x14ac:dyDescent="0.35">
      <c r="U6542">
        <v>34.629600000000003</v>
      </c>
    </row>
    <row r="6543" spans="1:21" x14ac:dyDescent="0.35">
      <c r="U6543">
        <v>23.7864</v>
      </c>
    </row>
    <row r="6544" spans="1:21" x14ac:dyDescent="0.35">
      <c r="U6544">
        <v>10.788</v>
      </c>
    </row>
    <row r="6545" spans="1:21" x14ac:dyDescent="0.35">
      <c r="U6545">
        <v>7.9896000000000003</v>
      </c>
    </row>
    <row r="6546" spans="1:21" x14ac:dyDescent="0.35">
      <c r="U6546">
        <v>-46.536000000000001</v>
      </c>
    </row>
    <row r="6547" spans="1:21" x14ac:dyDescent="0.35">
      <c r="U6547">
        <v>1.764</v>
      </c>
    </row>
    <row r="6548" spans="1:21" x14ac:dyDescent="0.35">
      <c r="U6548">
        <v>7.7450000000000001</v>
      </c>
    </row>
    <row r="6549" spans="1:21" x14ac:dyDescent="0.35">
      <c r="A6549" s="1"/>
      <c r="U6549">
        <v>-172.1172</v>
      </c>
    </row>
    <row r="6550" spans="1:21" x14ac:dyDescent="0.35">
      <c r="A6550" s="1"/>
      <c r="U6550">
        <v>5.6783999999999999</v>
      </c>
    </row>
    <row r="6551" spans="1:21" x14ac:dyDescent="0.35">
      <c r="U6551">
        <v>38.97</v>
      </c>
    </row>
    <row r="6552" spans="1:21" x14ac:dyDescent="0.35">
      <c r="A6552" s="1"/>
      <c r="U6552">
        <v>21.837599999999998</v>
      </c>
    </row>
    <row r="6553" spans="1:21" x14ac:dyDescent="0.35">
      <c r="U6553">
        <v>6.4127999999999998</v>
      </c>
    </row>
    <row r="6554" spans="1:21" x14ac:dyDescent="0.35">
      <c r="U6554">
        <v>7.9450000000000003</v>
      </c>
    </row>
    <row r="6555" spans="1:21" x14ac:dyDescent="0.35">
      <c r="U6555">
        <v>71.992800000000003</v>
      </c>
    </row>
    <row r="6556" spans="1:21" x14ac:dyDescent="0.35">
      <c r="U6556">
        <v>31.5825</v>
      </c>
    </row>
    <row r="6557" spans="1:21" x14ac:dyDescent="0.35">
      <c r="U6557">
        <v>1.2376</v>
      </c>
    </row>
    <row r="6558" spans="1:21" x14ac:dyDescent="0.35">
      <c r="U6558">
        <v>-14.759399999999999</v>
      </c>
    </row>
    <row r="6559" spans="1:21" x14ac:dyDescent="0.35">
      <c r="U6559">
        <v>7.9378000000000002</v>
      </c>
    </row>
    <row r="6560" spans="1:21" x14ac:dyDescent="0.35">
      <c r="A6560" s="1"/>
      <c r="U6560">
        <v>169.18199999999999</v>
      </c>
    </row>
    <row r="6561" spans="1:21" x14ac:dyDescent="0.35">
      <c r="U6561">
        <v>197.35300000000001</v>
      </c>
    </row>
    <row r="6562" spans="1:21" x14ac:dyDescent="0.35">
      <c r="U6562">
        <v>1.512</v>
      </c>
    </row>
    <row r="6563" spans="1:21" x14ac:dyDescent="0.35">
      <c r="U6563">
        <v>-90.774000000000001</v>
      </c>
    </row>
    <row r="6564" spans="1:21" x14ac:dyDescent="0.35">
      <c r="A6564" s="1"/>
      <c r="U6564">
        <v>7.9085999999999999</v>
      </c>
    </row>
    <row r="6565" spans="1:21" x14ac:dyDescent="0.35">
      <c r="A6565" s="1"/>
      <c r="U6565">
        <v>-38.85</v>
      </c>
    </row>
    <row r="6566" spans="1:21" x14ac:dyDescent="0.35">
      <c r="A6566" s="1"/>
      <c r="U6566">
        <v>2.5055999999999998</v>
      </c>
    </row>
    <row r="6567" spans="1:21" x14ac:dyDescent="0.35">
      <c r="A6567" s="1"/>
      <c r="U6567">
        <v>244.24959999999999</v>
      </c>
    </row>
    <row r="6568" spans="1:21" x14ac:dyDescent="0.35">
      <c r="A6568" s="1"/>
      <c r="U6568">
        <v>-426.98599999999999</v>
      </c>
    </row>
    <row r="6569" spans="1:21" x14ac:dyDescent="0.35">
      <c r="A6569" s="1"/>
      <c r="U6569">
        <v>0.71199999999999997</v>
      </c>
    </row>
    <row r="6570" spans="1:21" x14ac:dyDescent="0.35">
      <c r="U6570">
        <v>1.008</v>
      </c>
    </row>
    <row r="6571" spans="1:21" x14ac:dyDescent="0.35">
      <c r="U6571">
        <v>-18.117599999999999</v>
      </c>
    </row>
    <row r="6572" spans="1:21" x14ac:dyDescent="0.35">
      <c r="U6572">
        <v>50.406300000000002</v>
      </c>
    </row>
    <row r="6573" spans="1:21" x14ac:dyDescent="0.35">
      <c r="U6573">
        <v>28.497</v>
      </c>
    </row>
    <row r="6574" spans="1:21" x14ac:dyDescent="0.35">
      <c r="A6574" s="1"/>
      <c r="U6574">
        <v>5.8604000000000003</v>
      </c>
    </row>
    <row r="6575" spans="1:21" x14ac:dyDescent="0.35">
      <c r="U6575">
        <v>67.608000000000004</v>
      </c>
    </row>
    <row r="6576" spans="1:21" x14ac:dyDescent="0.35">
      <c r="U6576">
        <v>118.3704</v>
      </c>
    </row>
    <row r="6577" spans="1:21" x14ac:dyDescent="0.35">
      <c r="A6577" s="1"/>
      <c r="U6577">
        <v>440.76479999999998</v>
      </c>
    </row>
    <row r="6578" spans="1:21" x14ac:dyDescent="0.35">
      <c r="A6578" s="1"/>
      <c r="U6578">
        <v>-17.0352</v>
      </c>
    </row>
    <row r="6579" spans="1:21" x14ac:dyDescent="0.35">
      <c r="A6579" s="1"/>
      <c r="U6579">
        <v>50.442599999999999</v>
      </c>
    </row>
    <row r="6580" spans="1:21" x14ac:dyDescent="0.35">
      <c r="U6580">
        <v>75.595799999999997</v>
      </c>
    </row>
    <row r="6581" spans="1:21" x14ac:dyDescent="0.35">
      <c r="U6581">
        <v>3.2063999999999999</v>
      </c>
    </row>
    <row r="6582" spans="1:21" x14ac:dyDescent="0.35">
      <c r="U6582">
        <v>2.2517999999999998</v>
      </c>
    </row>
    <row r="6583" spans="1:21" x14ac:dyDescent="0.35">
      <c r="U6583">
        <v>30.582000000000001</v>
      </c>
    </row>
    <row r="6584" spans="1:21" x14ac:dyDescent="0.35">
      <c r="A6584" s="1"/>
      <c r="U6584">
        <v>86.385599999999997</v>
      </c>
    </row>
    <row r="6585" spans="1:21" x14ac:dyDescent="0.35">
      <c r="U6585">
        <v>29.5626</v>
      </c>
    </row>
    <row r="6586" spans="1:21" x14ac:dyDescent="0.35">
      <c r="U6586">
        <v>67.989999999999995</v>
      </c>
    </row>
    <row r="6587" spans="1:21" x14ac:dyDescent="0.35">
      <c r="U6587">
        <v>3.8719999999999999</v>
      </c>
    </row>
    <row r="6588" spans="1:21" x14ac:dyDescent="0.35">
      <c r="U6588">
        <v>5.7072000000000003</v>
      </c>
    </row>
    <row r="6589" spans="1:21" x14ac:dyDescent="0.35">
      <c r="U6589">
        <v>69.676199999999994</v>
      </c>
    </row>
    <row r="6590" spans="1:21" x14ac:dyDescent="0.35">
      <c r="U6590">
        <v>7.1711999999999998</v>
      </c>
    </row>
    <row r="6591" spans="1:21" x14ac:dyDescent="0.35">
      <c r="U6591">
        <v>11.586</v>
      </c>
    </row>
    <row r="6592" spans="1:21" x14ac:dyDescent="0.35">
      <c r="U6592">
        <v>3.2214</v>
      </c>
    </row>
    <row r="6593" spans="1:21" x14ac:dyDescent="0.35">
      <c r="U6593">
        <v>9.702</v>
      </c>
    </row>
    <row r="6594" spans="1:21" x14ac:dyDescent="0.35">
      <c r="U6594">
        <v>1.7324999999999999</v>
      </c>
    </row>
    <row r="6595" spans="1:21" x14ac:dyDescent="0.35">
      <c r="U6595">
        <v>11.748799999999999</v>
      </c>
    </row>
    <row r="6596" spans="1:21" x14ac:dyDescent="0.35">
      <c r="A6596" s="1"/>
      <c r="U6596">
        <v>35.260399999999997</v>
      </c>
    </row>
    <row r="6597" spans="1:21" x14ac:dyDescent="0.35">
      <c r="U6597">
        <v>-7.84</v>
      </c>
    </row>
    <row r="6598" spans="1:21" x14ac:dyDescent="0.35">
      <c r="U6598">
        <v>1.8704000000000001</v>
      </c>
    </row>
    <row r="6599" spans="1:21" x14ac:dyDescent="0.35">
      <c r="A6599" s="1"/>
      <c r="U6599">
        <v>-0.91</v>
      </c>
    </row>
    <row r="6600" spans="1:21" x14ac:dyDescent="0.35">
      <c r="A6600" s="1"/>
      <c r="U6600">
        <v>22.480799999999999</v>
      </c>
    </row>
    <row r="6601" spans="1:21" x14ac:dyDescent="0.35">
      <c r="A6601" s="1"/>
      <c r="U6601">
        <v>23.680800000000001</v>
      </c>
    </row>
    <row r="6602" spans="1:21" x14ac:dyDescent="0.35">
      <c r="A6602" s="1"/>
      <c r="U6602">
        <v>73.41</v>
      </c>
    </row>
    <row r="6603" spans="1:21" x14ac:dyDescent="0.35">
      <c r="A6603" s="1"/>
      <c r="U6603">
        <v>64.756799999999998</v>
      </c>
    </row>
    <row r="6604" spans="1:21" x14ac:dyDescent="0.35">
      <c r="A6604" s="1"/>
      <c r="U6604">
        <v>7.2035999999999998</v>
      </c>
    </row>
    <row r="6605" spans="1:21" x14ac:dyDescent="0.35">
      <c r="U6605">
        <v>-32.929200000000002</v>
      </c>
    </row>
    <row r="6606" spans="1:21" x14ac:dyDescent="0.35">
      <c r="U6606">
        <v>0</v>
      </c>
    </row>
    <row r="6607" spans="1:21" x14ac:dyDescent="0.35">
      <c r="U6607">
        <v>21.7728</v>
      </c>
    </row>
    <row r="6608" spans="1:21" x14ac:dyDescent="0.35">
      <c r="U6608">
        <v>23.756399999999999</v>
      </c>
    </row>
    <row r="6609" spans="1:21" x14ac:dyDescent="0.35">
      <c r="U6609">
        <v>-84.8232</v>
      </c>
    </row>
    <row r="6610" spans="1:21" x14ac:dyDescent="0.35">
      <c r="U6610">
        <v>116.24250000000001</v>
      </c>
    </row>
    <row r="6611" spans="1:21" x14ac:dyDescent="0.35">
      <c r="A6611" s="1"/>
      <c r="U6611">
        <v>25.1496</v>
      </c>
    </row>
    <row r="6612" spans="1:21" x14ac:dyDescent="0.35">
      <c r="U6612">
        <v>6.03</v>
      </c>
    </row>
    <row r="6613" spans="1:21" x14ac:dyDescent="0.35">
      <c r="U6613">
        <v>51.8292</v>
      </c>
    </row>
    <row r="6614" spans="1:21" x14ac:dyDescent="0.35">
      <c r="U6614">
        <v>9.798</v>
      </c>
    </row>
    <row r="6615" spans="1:21" x14ac:dyDescent="0.35">
      <c r="U6615">
        <v>131.58600000000001</v>
      </c>
    </row>
    <row r="6616" spans="1:21" x14ac:dyDescent="0.35">
      <c r="U6616">
        <v>35.679600000000001</v>
      </c>
    </row>
    <row r="6617" spans="1:21" x14ac:dyDescent="0.35">
      <c r="U6617">
        <v>14.098000000000001</v>
      </c>
    </row>
    <row r="6618" spans="1:21" x14ac:dyDescent="0.35">
      <c r="U6618">
        <v>10.8</v>
      </c>
    </row>
    <row r="6619" spans="1:21" x14ac:dyDescent="0.35">
      <c r="U6619">
        <v>107.7216</v>
      </c>
    </row>
    <row r="6620" spans="1:21" x14ac:dyDescent="0.35">
      <c r="U6620">
        <v>15.552</v>
      </c>
    </row>
    <row r="6621" spans="1:21" x14ac:dyDescent="0.35">
      <c r="U6621">
        <v>54.584400000000002</v>
      </c>
    </row>
    <row r="6622" spans="1:21" x14ac:dyDescent="0.35">
      <c r="U6622">
        <v>83.281000000000006</v>
      </c>
    </row>
    <row r="6623" spans="1:21" x14ac:dyDescent="0.35">
      <c r="U6623">
        <v>53.234999999999999</v>
      </c>
    </row>
    <row r="6624" spans="1:21" x14ac:dyDescent="0.35">
      <c r="A6624" s="1"/>
      <c r="U6624">
        <v>12.145200000000001</v>
      </c>
    </row>
    <row r="6625" spans="1:21" x14ac:dyDescent="0.35">
      <c r="A6625" s="1"/>
      <c r="U6625">
        <v>27.485600000000002</v>
      </c>
    </row>
    <row r="6626" spans="1:21" x14ac:dyDescent="0.35">
      <c r="U6626">
        <v>-13.1706</v>
      </c>
    </row>
    <row r="6627" spans="1:21" x14ac:dyDescent="0.35">
      <c r="U6627">
        <v>-8.5416000000000007</v>
      </c>
    </row>
    <row r="6628" spans="1:21" x14ac:dyDescent="0.35">
      <c r="U6628">
        <v>2239.9872</v>
      </c>
    </row>
    <row r="6629" spans="1:21" x14ac:dyDescent="0.35">
      <c r="U6629">
        <v>6.2207999999999997</v>
      </c>
    </row>
    <row r="6630" spans="1:21" x14ac:dyDescent="0.35">
      <c r="U6630">
        <v>134.33279999999999</v>
      </c>
    </row>
    <row r="6631" spans="1:21" x14ac:dyDescent="0.35">
      <c r="A6631" s="1"/>
      <c r="U6631">
        <v>-5.4119999999999999</v>
      </c>
    </row>
    <row r="6632" spans="1:21" x14ac:dyDescent="0.35">
      <c r="U6632">
        <v>52.376399999999997</v>
      </c>
    </row>
    <row r="6633" spans="1:21" x14ac:dyDescent="0.35">
      <c r="U6633">
        <v>629.01</v>
      </c>
    </row>
    <row r="6634" spans="1:21" x14ac:dyDescent="0.35">
      <c r="A6634" s="1"/>
      <c r="U6634">
        <v>15.2544</v>
      </c>
    </row>
    <row r="6635" spans="1:21" x14ac:dyDescent="0.35">
      <c r="U6635">
        <v>85.995699999999999</v>
      </c>
    </row>
    <row r="6636" spans="1:21" x14ac:dyDescent="0.35">
      <c r="A6636" s="1"/>
      <c r="U6636">
        <v>-52.548099999999998</v>
      </c>
    </row>
    <row r="6637" spans="1:21" x14ac:dyDescent="0.35">
      <c r="A6637" s="1"/>
      <c r="U6637">
        <v>70.556399999999996</v>
      </c>
    </row>
    <row r="6638" spans="1:21" x14ac:dyDescent="0.35">
      <c r="A6638" s="1"/>
      <c r="U6638">
        <v>39.689</v>
      </c>
    </row>
    <row r="6639" spans="1:21" x14ac:dyDescent="0.35">
      <c r="U6639">
        <v>2.0270999999999999</v>
      </c>
    </row>
    <row r="6640" spans="1:21" x14ac:dyDescent="0.35">
      <c r="U6640">
        <v>36.255600000000001</v>
      </c>
    </row>
    <row r="6641" spans="1:21" x14ac:dyDescent="0.35">
      <c r="U6641">
        <v>-734.52639999999997</v>
      </c>
    </row>
    <row r="6642" spans="1:21" x14ac:dyDescent="0.35">
      <c r="A6642" s="1"/>
      <c r="U6642">
        <v>60.422400000000003</v>
      </c>
    </row>
    <row r="6643" spans="1:21" x14ac:dyDescent="0.35">
      <c r="A6643" s="1"/>
      <c r="U6643">
        <v>29.518599999999999</v>
      </c>
    </row>
    <row r="6644" spans="1:21" x14ac:dyDescent="0.35">
      <c r="A6644" s="1"/>
      <c r="U6644">
        <v>66.599999999999994</v>
      </c>
    </row>
    <row r="6645" spans="1:21" x14ac:dyDescent="0.35">
      <c r="A6645" s="1"/>
      <c r="U6645">
        <v>38.357199999999999</v>
      </c>
    </row>
    <row r="6646" spans="1:21" x14ac:dyDescent="0.35">
      <c r="A6646" s="1"/>
      <c r="U6646">
        <v>-31.487400000000001</v>
      </c>
    </row>
    <row r="6647" spans="1:21" x14ac:dyDescent="0.35">
      <c r="A6647" s="1"/>
      <c r="U6647">
        <v>15.015599999999999</v>
      </c>
    </row>
    <row r="6648" spans="1:21" x14ac:dyDescent="0.35">
      <c r="U6648">
        <v>-304.6653</v>
      </c>
    </row>
    <row r="6649" spans="1:21" x14ac:dyDescent="0.35">
      <c r="U6649">
        <v>8.7167999999999992</v>
      </c>
    </row>
    <row r="6650" spans="1:21" x14ac:dyDescent="0.35">
      <c r="A6650" s="1"/>
      <c r="U6650">
        <v>-68.185599999999994</v>
      </c>
    </row>
    <row r="6651" spans="1:21" x14ac:dyDescent="0.35">
      <c r="A6651" s="1"/>
      <c r="U6651">
        <v>107.99460000000001</v>
      </c>
    </row>
    <row r="6652" spans="1:21" x14ac:dyDescent="0.35">
      <c r="A6652" s="1"/>
      <c r="U6652">
        <v>15.497999999999999</v>
      </c>
    </row>
    <row r="6653" spans="1:21" x14ac:dyDescent="0.35">
      <c r="A6653" s="1"/>
      <c r="U6653">
        <v>-11.651199999999999</v>
      </c>
    </row>
    <row r="6654" spans="1:21" x14ac:dyDescent="0.35">
      <c r="A6654" s="1"/>
      <c r="U6654">
        <v>7.2576000000000001</v>
      </c>
    </row>
    <row r="6655" spans="1:21" x14ac:dyDescent="0.35">
      <c r="A6655" s="1"/>
      <c r="U6655">
        <v>-39.637</v>
      </c>
    </row>
    <row r="6656" spans="1:21" x14ac:dyDescent="0.35">
      <c r="U6656">
        <v>25.0182</v>
      </c>
    </row>
    <row r="6657" spans="1:21" x14ac:dyDescent="0.35">
      <c r="U6657">
        <v>4.7988</v>
      </c>
    </row>
    <row r="6658" spans="1:21" x14ac:dyDescent="0.35">
      <c r="U6658">
        <v>-6.3959999999999999</v>
      </c>
    </row>
    <row r="6659" spans="1:21" x14ac:dyDescent="0.35">
      <c r="U6659">
        <v>3.8570000000000002</v>
      </c>
    </row>
    <row r="6660" spans="1:21" x14ac:dyDescent="0.35">
      <c r="U6660">
        <v>16.3172</v>
      </c>
    </row>
    <row r="6661" spans="1:21" x14ac:dyDescent="0.35">
      <c r="U6661">
        <v>-185.71680000000001</v>
      </c>
    </row>
    <row r="6662" spans="1:21" x14ac:dyDescent="0.35">
      <c r="A6662" s="1"/>
      <c r="U6662">
        <v>11.898</v>
      </c>
    </row>
    <row r="6663" spans="1:21" x14ac:dyDescent="0.35">
      <c r="A6663" s="1"/>
      <c r="U6663">
        <v>33.036799999999999</v>
      </c>
    </row>
    <row r="6664" spans="1:21" x14ac:dyDescent="0.35">
      <c r="A6664" s="1"/>
      <c r="U6664">
        <v>210.49420000000001</v>
      </c>
    </row>
    <row r="6665" spans="1:21" x14ac:dyDescent="0.35">
      <c r="U6665">
        <v>60.664499999999997</v>
      </c>
    </row>
    <row r="6666" spans="1:21" x14ac:dyDescent="0.35">
      <c r="U6666">
        <v>113.211</v>
      </c>
    </row>
    <row r="6667" spans="1:21" x14ac:dyDescent="0.35">
      <c r="U6667">
        <v>79.691999999999993</v>
      </c>
    </row>
    <row r="6668" spans="1:21" x14ac:dyDescent="0.35">
      <c r="A6668" s="1"/>
      <c r="U6668">
        <v>15.426</v>
      </c>
    </row>
    <row r="6669" spans="1:21" x14ac:dyDescent="0.35">
      <c r="A6669" s="1"/>
      <c r="U6669">
        <v>2.9567999999999999</v>
      </c>
    </row>
    <row r="6670" spans="1:21" x14ac:dyDescent="0.35">
      <c r="A6670" s="1"/>
      <c r="U6670">
        <v>4.42</v>
      </c>
    </row>
    <row r="6671" spans="1:21" x14ac:dyDescent="0.35">
      <c r="A6671" s="1"/>
      <c r="U6671">
        <v>34.96</v>
      </c>
    </row>
    <row r="6672" spans="1:21" x14ac:dyDescent="0.35">
      <c r="U6672">
        <v>13.428000000000001</v>
      </c>
    </row>
    <row r="6673" spans="1:21" x14ac:dyDescent="0.35">
      <c r="U6673">
        <v>17.348800000000001</v>
      </c>
    </row>
    <row r="6674" spans="1:21" x14ac:dyDescent="0.35">
      <c r="A6674" s="1"/>
      <c r="U6674">
        <v>79.757999999999996</v>
      </c>
    </row>
    <row r="6675" spans="1:21" x14ac:dyDescent="0.35">
      <c r="A6675" s="1"/>
      <c r="U6675">
        <v>12.232799999999999</v>
      </c>
    </row>
    <row r="6676" spans="1:21" x14ac:dyDescent="0.35">
      <c r="U6676">
        <v>4.9139999999999997</v>
      </c>
    </row>
    <row r="6677" spans="1:21" x14ac:dyDescent="0.35">
      <c r="U6677">
        <v>22.652999999999999</v>
      </c>
    </row>
    <row r="6678" spans="1:21" x14ac:dyDescent="0.35">
      <c r="U6678">
        <v>5.1349999999999998</v>
      </c>
    </row>
    <row r="6679" spans="1:21" x14ac:dyDescent="0.35">
      <c r="U6679">
        <v>165.2868</v>
      </c>
    </row>
    <row r="6680" spans="1:21" x14ac:dyDescent="0.35">
      <c r="A6680" s="1"/>
      <c r="U6680">
        <v>3.5154000000000001</v>
      </c>
    </row>
    <row r="6681" spans="1:21" x14ac:dyDescent="0.35">
      <c r="A6681" s="1"/>
      <c r="U6681">
        <v>2.8340000000000001</v>
      </c>
    </row>
    <row r="6682" spans="1:21" x14ac:dyDescent="0.35">
      <c r="A6682" s="1"/>
      <c r="U6682">
        <v>37.562399999999997</v>
      </c>
    </row>
    <row r="6683" spans="1:21" x14ac:dyDescent="0.35">
      <c r="A6683" s="1"/>
      <c r="U6683">
        <v>73.41</v>
      </c>
    </row>
    <row r="6684" spans="1:21" x14ac:dyDescent="0.35">
      <c r="A6684" s="1"/>
      <c r="U6684">
        <v>1.728</v>
      </c>
    </row>
    <row r="6685" spans="1:21" x14ac:dyDescent="0.35">
      <c r="A6685" s="1"/>
      <c r="U6685">
        <v>8.8176000000000005</v>
      </c>
    </row>
    <row r="6686" spans="1:21" x14ac:dyDescent="0.35">
      <c r="U6686">
        <v>-15.7514</v>
      </c>
    </row>
    <row r="6687" spans="1:21" x14ac:dyDescent="0.35">
      <c r="U6687">
        <v>-19.737200000000001</v>
      </c>
    </row>
    <row r="6688" spans="1:21" x14ac:dyDescent="0.35">
      <c r="U6688">
        <v>1.476</v>
      </c>
    </row>
    <row r="6689" spans="1:21" x14ac:dyDescent="0.35">
      <c r="U6689">
        <v>55.896000000000001</v>
      </c>
    </row>
    <row r="6690" spans="1:21" x14ac:dyDescent="0.35">
      <c r="A6690" s="1"/>
      <c r="U6690">
        <v>21.272400000000001</v>
      </c>
    </row>
    <row r="6691" spans="1:21" x14ac:dyDescent="0.35">
      <c r="A6691" s="1"/>
      <c r="U6691">
        <v>2.1280000000000001</v>
      </c>
    </row>
    <row r="6692" spans="1:21" x14ac:dyDescent="0.35">
      <c r="U6692">
        <v>8.4095999999999993</v>
      </c>
    </row>
    <row r="6693" spans="1:21" x14ac:dyDescent="0.35">
      <c r="U6693">
        <v>54.558</v>
      </c>
    </row>
    <row r="6694" spans="1:21" x14ac:dyDescent="0.35">
      <c r="A6694" s="1"/>
      <c r="U6694">
        <v>219.65459999999999</v>
      </c>
    </row>
    <row r="6695" spans="1:21" x14ac:dyDescent="0.35">
      <c r="U6695">
        <v>80.791200000000003</v>
      </c>
    </row>
    <row r="6696" spans="1:21" x14ac:dyDescent="0.35">
      <c r="U6696">
        <v>14.870699999999999</v>
      </c>
    </row>
    <row r="6697" spans="1:21" x14ac:dyDescent="0.35">
      <c r="A6697" s="1"/>
      <c r="U6697">
        <v>134.93219999999999</v>
      </c>
    </row>
    <row r="6698" spans="1:21" x14ac:dyDescent="0.35">
      <c r="A6698" s="1"/>
      <c r="U6698">
        <v>11.4504</v>
      </c>
    </row>
    <row r="6699" spans="1:21" x14ac:dyDescent="0.35">
      <c r="A6699" s="1"/>
      <c r="U6699">
        <v>26.930399999999999</v>
      </c>
    </row>
    <row r="6700" spans="1:21" x14ac:dyDescent="0.35">
      <c r="U6700">
        <v>7.6798000000000002</v>
      </c>
    </row>
    <row r="6701" spans="1:21" x14ac:dyDescent="0.35">
      <c r="U6701">
        <v>22.529599999999999</v>
      </c>
    </row>
    <row r="6702" spans="1:21" x14ac:dyDescent="0.35">
      <c r="U6702">
        <v>17.623200000000001</v>
      </c>
    </row>
    <row r="6703" spans="1:21" x14ac:dyDescent="0.35">
      <c r="U6703">
        <v>20.391999999999999</v>
      </c>
    </row>
    <row r="6704" spans="1:21" x14ac:dyDescent="0.35">
      <c r="U6704">
        <v>-4.9127999999999998</v>
      </c>
    </row>
    <row r="6705" spans="1:21" x14ac:dyDescent="0.35">
      <c r="U6705">
        <v>19.038599999999999</v>
      </c>
    </row>
    <row r="6706" spans="1:21" x14ac:dyDescent="0.35">
      <c r="U6706">
        <v>1.7919</v>
      </c>
    </row>
    <row r="6707" spans="1:21" x14ac:dyDescent="0.35">
      <c r="U6707">
        <v>8.9984999999999999</v>
      </c>
    </row>
    <row r="6708" spans="1:21" x14ac:dyDescent="0.35">
      <c r="A6708" s="1"/>
      <c r="U6708">
        <v>58.463999999999999</v>
      </c>
    </row>
    <row r="6709" spans="1:21" x14ac:dyDescent="0.35">
      <c r="U6709">
        <v>3.6017999999999999</v>
      </c>
    </row>
    <row r="6710" spans="1:21" x14ac:dyDescent="0.35">
      <c r="U6710">
        <v>99.432000000000002</v>
      </c>
    </row>
    <row r="6711" spans="1:21" x14ac:dyDescent="0.35">
      <c r="U6711">
        <v>20.155799999999999</v>
      </c>
    </row>
    <row r="6712" spans="1:21" x14ac:dyDescent="0.35">
      <c r="A6712" s="1"/>
      <c r="U6712">
        <v>99.296000000000006</v>
      </c>
    </row>
    <row r="6713" spans="1:21" x14ac:dyDescent="0.35">
      <c r="U6713">
        <v>1.2390000000000001</v>
      </c>
    </row>
    <row r="6714" spans="1:21" x14ac:dyDescent="0.35">
      <c r="U6714">
        <v>-292.98719999999997</v>
      </c>
    </row>
    <row r="6715" spans="1:21" x14ac:dyDescent="0.35">
      <c r="U6715">
        <v>-26.755800000000001</v>
      </c>
    </row>
    <row r="6716" spans="1:21" x14ac:dyDescent="0.35">
      <c r="U6716">
        <v>-4.9080000000000004</v>
      </c>
    </row>
    <row r="6717" spans="1:21" x14ac:dyDescent="0.35">
      <c r="U6717">
        <v>24.9984</v>
      </c>
    </row>
    <row r="6718" spans="1:21" x14ac:dyDescent="0.35">
      <c r="A6718" s="1"/>
      <c r="U6718">
        <v>14.4</v>
      </c>
    </row>
    <row r="6719" spans="1:21" x14ac:dyDescent="0.35">
      <c r="A6719" s="1"/>
      <c r="U6719">
        <v>12.700799999999999</v>
      </c>
    </row>
    <row r="6720" spans="1:21" x14ac:dyDescent="0.35">
      <c r="A6720" s="1"/>
      <c r="U6720">
        <v>31.984000000000002</v>
      </c>
    </row>
    <row r="6721" spans="1:21" x14ac:dyDescent="0.35">
      <c r="U6721">
        <v>3.0575999999999999</v>
      </c>
    </row>
    <row r="6722" spans="1:21" x14ac:dyDescent="0.35">
      <c r="U6722">
        <v>31.4895</v>
      </c>
    </row>
    <row r="6723" spans="1:21" x14ac:dyDescent="0.35">
      <c r="U6723">
        <v>6.0632000000000001</v>
      </c>
    </row>
    <row r="6724" spans="1:21" x14ac:dyDescent="0.35">
      <c r="U6724">
        <v>4.8545999999999996</v>
      </c>
    </row>
    <row r="6725" spans="1:21" x14ac:dyDescent="0.35">
      <c r="A6725" s="1"/>
      <c r="U6725">
        <v>6.9653999999999998</v>
      </c>
    </row>
    <row r="6726" spans="1:21" x14ac:dyDescent="0.35">
      <c r="A6726" s="1"/>
      <c r="U6726">
        <v>4.8162000000000003</v>
      </c>
    </row>
    <row r="6727" spans="1:21" x14ac:dyDescent="0.35">
      <c r="A6727" s="1"/>
      <c r="U6727">
        <v>5.2028999999999996</v>
      </c>
    </row>
    <row r="6728" spans="1:21" x14ac:dyDescent="0.35">
      <c r="A6728" s="1"/>
      <c r="U6728">
        <v>7.7640000000000002</v>
      </c>
    </row>
    <row r="6729" spans="1:21" x14ac:dyDescent="0.35">
      <c r="A6729" s="1"/>
      <c r="U6729">
        <v>83.284000000000006</v>
      </c>
    </row>
    <row r="6730" spans="1:21" x14ac:dyDescent="0.35">
      <c r="A6730" s="1"/>
      <c r="U6730">
        <v>8.2056000000000004</v>
      </c>
    </row>
    <row r="6731" spans="1:21" x14ac:dyDescent="0.35">
      <c r="U6731">
        <v>-4.4946000000000002</v>
      </c>
    </row>
    <row r="6732" spans="1:21" x14ac:dyDescent="0.35">
      <c r="U6732">
        <v>56.2744</v>
      </c>
    </row>
    <row r="6733" spans="1:21" x14ac:dyDescent="0.35">
      <c r="U6733">
        <v>7.2576000000000001</v>
      </c>
    </row>
    <row r="6734" spans="1:21" x14ac:dyDescent="0.35">
      <c r="A6734" s="1"/>
      <c r="U6734">
        <v>62.137599999999999</v>
      </c>
    </row>
    <row r="6735" spans="1:21" x14ac:dyDescent="0.35">
      <c r="A6735" s="1"/>
      <c r="U6735">
        <v>3.2431999999999999</v>
      </c>
    </row>
    <row r="6736" spans="1:21" x14ac:dyDescent="0.35">
      <c r="U6736">
        <v>3.9474</v>
      </c>
    </row>
    <row r="6737" spans="1:21" x14ac:dyDescent="0.35">
      <c r="A6737" s="1"/>
      <c r="U6737">
        <v>44.366399999999999</v>
      </c>
    </row>
    <row r="6738" spans="1:21" x14ac:dyDescent="0.35">
      <c r="A6738" s="1"/>
      <c r="U6738">
        <v>81.131399999999999</v>
      </c>
    </row>
    <row r="6739" spans="1:21" x14ac:dyDescent="0.35">
      <c r="A6739" s="1"/>
      <c r="U6739">
        <v>6.0263999999999998</v>
      </c>
    </row>
    <row r="6740" spans="1:21" x14ac:dyDescent="0.35">
      <c r="A6740" s="1"/>
      <c r="U6740">
        <v>15.6104</v>
      </c>
    </row>
    <row r="6741" spans="1:21" x14ac:dyDescent="0.35">
      <c r="U6741">
        <v>7.6967999999999996</v>
      </c>
    </row>
    <row r="6742" spans="1:21" x14ac:dyDescent="0.35">
      <c r="U6742">
        <v>-5.1395999999999997</v>
      </c>
    </row>
    <row r="6743" spans="1:21" x14ac:dyDescent="0.35">
      <c r="U6743">
        <v>3.1806000000000001</v>
      </c>
    </row>
    <row r="6744" spans="1:21" x14ac:dyDescent="0.35">
      <c r="A6744" s="1"/>
      <c r="U6744">
        <v>-13.7403</v>
      </c>
    </row>
    <row r="6745" spans="1:21" x14ac:dyDescent="0.35">
      <c r="U6745">
        <v>16.146000000000001</v>
      </c>
    </row>
    <row r="6746" spans="1:21" x14ac:dyDescent="0.35">
      <c r="U6746">
        <v>107.9892</v>
      </c>
    </row>
    <row r="6747" spans="1:21" x14ac:dyDescent="0.35">
      <c r="U6747">
        <v>1.794</v>
      </c>
    </row>
    <row r="6748" spans="1:21" x14ac:dyDescent="0.35">
      <c r="U6748">
        <v>163.78700000000001</v>
      </c>
    </row>
    <row r="6749" spans="1:21" x14ac:dyDescent="0.35">
      <c r="A6749" s="1"/>
      <c r="U6749">
        <v>5.0462999999999996</v>
      </c>
    </row>
    <row r="6750" spans="1:21" x14ac:dyDescent="0.35">
      <c r="A6750" s="1"/>
      <c r="U6750">
        <v>8.0730000000000004</v>
      </c>
    </row>
    <row r="6751" spans="1:21" x14ac:dyDescent="0.35">
      <c r="A6751" s="1"/>
      <c r="U6751">
        <v>29.245000000000001</v>
      </c>
    </row>
    <row r="6752" spans="1:21" x14ac:dyDescent="0.35">
      <c r="U6752">
        <v>20.7332</v>
      </c>
    </row>
    <row r="6753" spans="1:21" x14ac:dyDescent="0.35">
      <c r="U6753">
        <v>2.2724000000000002</v>
      </c>
    </row>
    <row r="6754" spans="1:21" x14ac:dyDescent="0.35">
      <c r="U6754">
        <v>27.882000000000001</v>
      </c>
    </row>
    <row r="6755" spans="1:21" x14ac:dyDescent="0.35">
      <c r="U6755">
        <v>3.7412000000000001</v>
      </c>
    </row>
    <row r="6756" spans="1:21" x14ac:dyDescent="0.35">
      <c r="U6756">
        <v>121.1056</v>
      </c>
    </row>
    <row r="6757" spans="1:21" x14ac:dyDescent="0.35">
      <c r="U6757">
        <v>18.96</v>
      </c>
    </row>
    <row r="6758" spans="1:21" x14ac:dyDescent="0.35">
      <c r="U6758">
        <v>143.62880000000001</v>
      </c>
    </row>
    <row r="6759" spans="1:21" x14ac:dyDescent="0.35">
      <c r="U6759">
        <v>102.9444</v>
      </c>
    </row>
    <row r="6760" spans="1:21" x14ac:dyDescent="0.35">
      <c r="U6760">
        <v>0</v>
      </c>
    </row>
    <row r="6761" spans="1:21" x14ac:dyDescent="0.35">
      <c r="A6761" s="1"/>
      <c r="U6761">
        <v>2.4582000000000002</v>
      </c>
    </row>
    <row r="6762" spans="1:21" x14ac:dyDescent="0.35">
      <c r="U6762">
        <v>0</v>
      </c>
    </row>
    <row r="6763" spans="1:21" x14ac:dyDescent="0.35">
      <c r="U6763">
        <v>31.015599999999999</v>
      </c>
    </row>
    <row r="6764" spans="1:21" x14ac:dyDescent="0.35">
      <c r="A6764" s="1"/>
      <c r="U6764">
        <v>9.8684999999999992</v>
      </c>
    </row>
    <row r="6765" spans="1:21" x14ac:dyDescent="0.35">
      <c r="A6765" s="1"/>
      <c r="U6765">
        <v>-8.3523999999999994</v>
      </c>
    </row>
    <row r="6766" spans="1:21" x14ac:dyDescent="0.35">
      <c r="A6766" s="1"/>
      <c r="U6766">
        <v>-19.47</v>
      </c>
    </row>
    <row r="6767" spans="1:21" x14ac:dyDescent="0.35">
      <c r="U6767">
        <v>-18.117599999999999</v>
      </c>
    </row>
    <row r="6768" spans="1:21" x14ac:dyDescent="0.35">
      <c r="U6768">
        <v>3.5459999999999998</v>
      </c>
    </row>
    <row r="6769" spans="1:21" x14ac:dyDescent="0.35">
      <c r="U6769">
        <v>-6.1879999999999997</v>
      </c>
    </row>
    <row r="6770" spans="1:21" x14ac:dyDescent="0.35">
      <c r="A6770" s="1"/>
      <c r="U6770">
        <v>98.105000000000004</v>
      </c>
    </row>
    <row r="6771" spans="1:21" x14ac:dyDescent="0.35">
      <c r="U6771">
        <v>13.452</v>
      </c>
    </row>
    <row r="6772" spans="1:21" x14ac:dyDescent="0.35">
      <c r="A6772" s="1"/>
      <c r="U6772">
        <v>146.79</v>
      </c>
    </row>
    <row r="6773" spans="1:21" x14ac:dyDescent="0.35">
      <c r="A6773" s="1"/>
      <c r="U6773">
        <v>-9.9704999999999995</v>
      </c>
    </row>
    <row r="6774" spans="1:21" x14ac:dyDescent="0.35">
      <c r="A6774" s="1"/>
      <c r="U6774">
        <v>2.7955999999999999</v>
      </c>
    </row>
    <row r="6775" spans="1:21" x14ac:dyDescent="0.35">
      <c r="A6775" s="1"/>
      <c r="U6775">
        <v>1.3049999999999999</v>
      </c>
    </row>
    <row r="6776" spans="1:21" x14ac:dyDescent="0.35">
      <c r="A6776" s="1"/>
      <c r="U6776">
        <v>18.662400000000002</v>
      </c>
    </row>
    <row r="6777" spans="1:21" x14ac:dyDescent="0.35">
      <c r="U6777">
        <v>8.1143999999999998</v>
      </c>
    </row>
    <row r="6778" spans="1:21" x14ac:dyDescent="0.35">
      <c r="A6778" s="1"/>
      <c r="U6778">
        <v>-17.523</v>
      </c>
    </row>
    <row r="6779" spans="1:21" x14ac:dyDescent="0.35">
      <c r="U6779">
        <v>157.46850000000001</v>
      </c>
    </row>
    <row r="6780" spans="1:21" x14ac:dyDescent="0.35">
      <c r="A6780" s="1"/>
      <c r="U6780">
        <v>31.044599999999999</v>
      </c>
    </row>
    <row r="6781" spans="1:21" x14ac:dyDescent="0.35">
      <c r="A6781" s="1"/>
      <c r="U6781">
        <v>4.2804000000000002</v>
      </c>
    </row>
    <row r="6782" spans="1:21" x14ac:dyDescent="0.35">
      <c r="A6782" s="1"/>
      <c r="U6782">
        <v>5.8696000000000002</v>
      </c>
    </row>
    <row r="6783" spans="1:21" x14ac:dyDescent="0.35">
      <c r="A6783" s="1"/>
      <c r="U6783">
        <v>27.485600000000002</v>
      </c>
    </row>
    <row r="6784" spans="1:21" x14ac:dyDescent="0.35">
      <c r="U6784">
        <v>3.0144000000000002</v>
      </c>
    </row>
    <row r="6785" spans="1:21" x14ac:dyDescent="0.35">
      <c r="U6785">
        <v>4.2470999999999997</v>
      </c>
    </row>
    <row r="6786" spans="1:21" x14ac:dyDescent="0.35">
      <c r="U6786">
        <v>-34.646999999999998</v>
      </c>
    </row>
    <row r="6787" spans="1:21" x14ac:dyDescent="0.35">
      <c r="U6787">
        <v>-25.992000000000001</v>
      </c>
    </row>
    <row r="6788" spans="1:21" x14ac:dyDescent="0.35">
      <c r="U6788">
        <v>7.2576000000000001</v>
      </c>
    </row>
    <row r="6789" spans="1:21" x14ac:dyDescent="0.35">
      <c r="U6789">
        <v>12.993</v>
      </c>
    </row>
    <row r="6790" spans="1:21" x14ac:dyDescent="0.35">
      <c r="U6790">
        <v>31.468499999999999</v>
      </c>
    </row>
    <row r="6791" spans="1:21" x14ac:dyDescent="0.35">
      <c r="A6791" s="1"/>
      <c r="U6791">
        <v>12.314399999999999</v>
      </c>
    </row>
    <row r="6792" spans="1:21" x14ac:dyDescent="0.35">
      <c r="U6792">
        <v>2.8079999999999998</v>
      </c>
    </row>
    <row r="6793" spans="1:21" x14ac:dyDescent="0.35">
      <c r="A6793" s="1"/>
      <c r="U6793">
        <v>2.7944</v>
      </c>
    </row>
    <row r="6794" spans="1:21" x14ac:dyDescent="0.35">
      <c r="U6794">
        <v>30.211200000000002</v>
      </c>
    </row>
    <row r="6795" spans="1:21" x14ac:dyDescent="0.35">
      <c r="U6795">
        <v>1.6115999999999999</v>
      </c>
    </row>
    <row r="6796" spans="1:21" x14ac:dyDescent="0.35">
      <c r="U6796">
        <v>26.997299999999999</v>
      </c>
    </row>
    <row r="6797" spans="1:21" x14ac:dyDescent="0.35">
      <c r="U6797">
        <v>-15.5268</v>
      </c>
    </row>
    <row r="6798" spans="1:21" x14ac:dyDescent="0.35">
      <c r="U6798">
        <v>-16.585799999999999</v>
      </c>
    </row>
    <row r="6799" spans="1:21" x14ac:dyDescent="0.35">
      <c r="U6799">
        <v>-6.0768000000000004</v>
      </c>
    </row>
    <row r="6800" spans="1:21" x14ac:dyDescent="0.35">
      <c r="U6800">
        <v>-3.94</v>
      </c>
    </row>
    <row r="6801" spans="1:21" x14ac:dyDescent="0.35">
      <c r="U6801">
        <v>-24.102599999999999</v>
      </c>
    </row>
    <row r="6802" spans="1:21" x14ac:dyDescent="0.35">
      <c r="U6802">
        <v>-386.95699999999999</v>
      </c>
    </row>
    <row r="6803" spans="1:21" x14ac:dyDescent="0.35">
      <c r="U6803">
        <v>-7.8959999999999999</v>
      </c>
    </row>
    <row r="6804" spans="1:21" x14ac:dyDescent="0.35">
      <c r="U6804">
        <v>21.42</v>
      </c>
    </row>
    <row r="6805" spans="1:21" x14ac:dyDescent="0.35">
      <c r="U6805">
        <v>4.1971999999999996</v>
      </c>
    </row>
    <row r="6806" spans="1:21" x14ac:dyDescent="0.35">
      <c r="A6806" s="1"/>
      <c r="U6806">
        <v>34.993000000000002</v>
      </c>
    </row>
    <row r="6807" spans="1:21" x14ac:dyDescent="0.35">
      <c r="U6807">
        <v>4.8803999999999998</v>
      </c>
    </row>
    <row r="6808" spans="1:21" x14ac:dyDescent="0.35">
      <c r="U6808">
        <v>1.3977999999999999</v>
      </c>
    </row>
    <row r="6809" spans="1:21" x14ac:dyDescent="0.35">
      <c r="U6809">
        <v>35.661299999999997</v>
      </c>
    </row>
    <row r="6810" spans="1:21" x14ac:dyDescent="0.35">
      <c r="U6810">
        <v>-7.8330000000000002</v>
      </c>
    </row>
    <row r="6811" spans="1:21" x14ac:dyDescent="0.35">
      <c r="U6811">
        <v>-2.5880000000000001</v>
      </c>
    </row>
    <row r="6812" spans="1:21" x14ac:dyDescent="0.35">
      <c r="U6812">
        <v>-18.038499999999999</v>
      </c>
    </row>
    <row r="6813" spans="1:21" x14ac:dyDescent="0.35">
      <c r="U6813">
        <v>-29.152799999999999</v>
      </c>
    </row>
    <row r="6814" spans="1:21" x14ac:dyDescent="0.35">
      <c r="U6814">
        <v>-12.208</v>
      </c>
    </row>
    <row r="6815" spans="1:21" x14ac:dyDescent="0.35">
      <c r="U6815">
        <v>4.7976000000000001</v>
      </c>
    </row>
    <row r="6816" spans="1:21" x14ac:dyDescent="0.35">
      <c r="U6816">
        <v>-168.81899999999999</v>
      </c>
    </row>
    <row r="6817" spans="1:21" x14ac:dyDescent="0.35">
      <c r="U6817">
        <v>2.6208</v>
      </c>
    </row>
    <row r="6818" spans="1:21" x14ac:dyDescent="0.35">
      <c r="U6818">
        <v>8.9499999999999993</v>
      </c>
    </row>
    <row r="6819" spans="1:21" x14ac:dyDescent="0.35">
      <c r="U6819">
        <v>1061.5722000000001</v>
      </c>
    </row>
    <row r="6820" spans="1:21" x14ac:dyDescent="0.35">
      <c r="U6820">
        <v>-2.6880000000000002</v>
      </c>
    </row>
    <row r="6821" spans="1:21" x14ac:dyDescent="0.35">
      <c r="U6821">
        <v>-2.3904000000000001</v>
      </c>
    </row>
    <row r="6822" spans="1:21" x14ac:dyDescent="0.35">
      <c r="U6822">
        <v>-3.2391999999999999</v>
      </c>
    </row>
    <row r="6823" spans="1:21" x14ac:dyDescent="0.35">
      <c r="U6823">
        <v>-1.4059999999999999</v>
      </c>
    </row>
    <row r="6824" spans="1:21" x14ac:dyDescent="0.35">
      <c r="A6824" s="1"/>
      <c r="U6824">
        <v>43.706000000000003</v>
      </c>
    </row>
    <row r="6825" spans="1:21" x14ac:dyDescent="0.35">
      <c r="U6825">
        <v>49.23</v>
      </c>
    </row>
    <row r="6826" spans="1:21" x14ac:dyDescent="0.35">
      <c r="U6826">
        <v>39.443800000000003</v>
      </c>
    </row>
    <row r="6827" spans="1:21" x14ac:dyDescent="0.35">
      <c r="A6827" s="1"/>
      <c r="U6827">
        <v>4.8719999999999999</v>
      </c>
    </row>
    <row r="6828" spans="1:21" x14ac:dyDescent="0.35">
      <c r="A6828" s="1"/>
      <c r="U6828">
        <v>8399.9760000000006</v>
      </c>
    </row>
    <row r="6829" spans="1:21" x14ac:dyDescent="0.35">
      <c r="A6829" s="1"/>
      <c r="U6829">
        <v>331.19099999999997</v>
      </c>
    </row>
    <row r="6830" spans="1:21" x14ac:dyDescent="0.35">
      <c r="A6830" s="1"/>
      <c r="U6830">
        <v>16.8413</v>
      </c>
    </row>
    <row r="6831" spans="1:21" x14ac:dyDescent="0.35">
      <c r="A6831" s="1"/>
      <c r="U6831">
        <v>9.5088000000000008</v>
      </c>
    </row>
    <row r="6832" spans="1:21" x14ac:dyDescent="0.35">
      <c r="U6832">
        <v>53.451900000000002</v>
      </c>
    </row>
    <row r="6833" spans="1:21" x14ac:dyDescent="0.35">
      <c r="U6833">
        <v>4.5448000000000004</v>
      </c>
    </row>
    <row r="6834" spans="1:21" x14ac:dyDescent="0.35">
      <c r="A6834" s="1"/>
      <c r="U6834">
        <v>1.002</v>
      </c>
    </row>
    <row r="6835" spans="1:21" x14ac:dyDescent="0.35">
      <c r="A6835" s="1"/>
      <c r="U6835">
        <v>-12.778499999999999</v>
      </c>
    </row>
    <row r="6836" spans="1:21" x14ac:dyDescent="0.35">
      <c r="U6836">
        <v>3.9032</v>
      </c>
    </row>
    <row r="6837" spans="1:21" x14ac:dyDescent="0.35">
      <c r="U6837">
        <v>70.218999999999994</v>
      </c>
    </row>
    <row r="6838" spans="1:21" x14ac:dyDescent="0.35">
      <c r="U6838">
        <v>9.3152000000000008</v>
      </c>
    </row>
    <row r="6839" spans="1:21" x14ac:dyDescent="0.35">
      <c r="A6839" s="1"/>
      <c r="U6839">
        <v>2.8912</v>
      </c>
    </row>
    <row r="6840" spans="1:21" x14ac:dyDescent="0.35">
      <c r="A6840" s="1"/>
      <c r="U6840">
        <v>459.39600000000002</v>
      </c>
    </row>
    <row r="6841" spans="1:21" x14ac:dyDescent="0.35">
      <c r="A6841" s="1"/>
      <c r="U6841">
        <v>41.76</v>
      </c>
    </row>
    <row r="6842" spans="1:21" x14ac:dyDescent="0.35">
      <c r="A6842" s="1"/>
      <c r="U6842">
        <v>-10.382400000000001</v>
      </c>
    </row>
    <row r="6843" spans="1:21" x14ac:dyDescent="0.35">
      <c r="A6843" s="1"/>
      <c r="U6843">
        <v>1.6559999999999999</v>
      </c>
    </row>
    <row r="6844" spans="1:21" x14ac:dyDescent="0.35">
      <c r="A6844" s="1"/>
      <c r="U6844">
        <v>5.2164000000000001</v>
      </c>
    </row>
    <row r="6845" spans="1:21" x14ac:dyDescent="0.35">
      <c r="A6845" s="1"/>
      <c r="U6845">
        <v>0.67900000000000005</v>
      </c>
    </row>
    <row r="6846" spans="1:21" x14ac:dyDescent="0.35">
      <c r="A6846" s="1"/>
      <c r="U6846">
        <v>307.14479999999998</v>
      </c>
    </row>
    <row r="6847" spans="1:21" x14ac:dyDescent="0.35">
      <c r="A6847" s="1"/>
      <c r="U6847">
        <v>47.847999999999999</v>
      </c>
    </row>
    <row r="6848" spans="1:21" x14ac:dyDescent="0.35">
      <c r="A6848" s="1"/>
      <c r="U6848">
        <v>14.417999999999999</v>
      </c>
    </row>
    <row r="6849" spans="1:21" x14ac:dyDescent="0.35">
      <c r="U6849">
        <v>3.4994999999999998</v>
      </c>
    </row>
    <row r="6850" spans="1:21" x14ac:dyDescent="0.35">
      <c r="U6850">
        <v>26.9024</v>
      </c>
    </row>
    <row r="6851" spans="1:21" x14ac:dyDescent="0.35">
      <c r="U6851">
        <v>27.563199999999998</v>
      </c>
    </row>
    <row r="6852" spans="1:21" x14ac:dyDescent="0.35">
      <c r="A6852" s="1"/>
      <c r="U6852">
        <v>407.12880000000001</v>
      </c>
    </row>
    <row r="6853" spans="1:21" x14ac:dyDescent="0.35">
      <c r="A6853" s="1"/>
      <c r="U6853">
        <v>49.843499999999999</v>
      </c>
    </row>
    <row r="6854" spans="1:21" x14ac:dyDescent="0.35">
      <c r="U6854">
        <v>17.371200000000002</v>
      </c>
    </row>
    <row r="6855" spans="1:21" x14ac:dyDescent="0.35">
      <c r="U6855">
        <v>148.49100000000001</v>
      </c>
    </row>
    <row r="6856" spans="1:21" x14ac:dyDescent="0.35">
      <c r="U6856">
        <v>14.718400000000001</v>
      </c>
    </row>
    <row r="6857" spans="1:21" x14ac:dyDescent="0.35">
      <c r="U6857">
        <v>20.6816</v>
      </c>
    </row>
    <row r="6858" spans="1:21" x14ac:dyDescent="0.35">
      <c r="U6858">
        <v>85.981800000000007</v>
      </c>
    </row>
    <row r="6859" spans="1:21" x14ac:dyDescent="0.35">
      <c r="U6859">
        <v>13.507199999999999</v>
      </c>
    </row>
    <row r="6860" spans="1:21" x14ac:dyDescent="0.35">
      <c r="U6860">
        <v>3.4685999999999999</v>
      </c>
    </row>
    <row r="6861" spans="1:21" x14ac:dyDescent="0.35">
      <c r="U6861">
        <v>3.597</v>
      </c>
    </row>
    <row r="6862" spans="1:21" x14ac:dyDescent="0.35">
      <c r="U6862">
        <v>46.731299999999997</v>
      </c>
    </row>
    <row r="6863" spans="1:21" x14ac:dyDescent="0.35">
      <c r="U6863">
        <v>11.2896</v>
      </c>
    </row>
    <row r="6864" spans="1:21" x14ac:dyDescent="0.35">
      <c r="U6864">
        <v>-19.105799999999999</v>
      </c>
    </row>
    <row r="6865" spans="1:21" x14ac:dyDescent="0.35">
      <c r="A6865" s="1"/>
      <c r="U6865">
        <v>3.6288</v>
      </c>
    </row>
    <row r="6866" spans="1:21" x14ac:dyDescent="0.35">
      <c r="U6866">
        <v>4.7519999999999998</v>
      </c>
    </row>
    <row r="6867" spans="1:21" x14ac:dyDescent="0.35">
      <c r="U6867">
        <v>-20.690999999999999</v>
      </c>
    </row>
    <row r="6868" spans="1:21" x14ac:dyDescent="0.35">
      <c r="U6868">
        <v>91.789199999999994</v>
      </c>
    </row>
    <row r="6869" spans="1:21" x14ac:dyDescent="0.35">
      <c r="U6869">
        <v>-7.9960000000000004</v>
      </c>
    </row>
    <row r="6870" spans="1:21" x14ac:dyDescent="0.35">
      <c r="U6870">
        <v>180.441</v>
      </c>
    </row>
    <row r="6871" spans="1:21" x14ac:dyDescent="0.35">
      <c r="U6871">
        <v>6.2207999999999997</v>
      </c>
    </row>
    <row r="6872" spans="1:21" x14ac:dyDescent="0.35">
      <c r="U6872">
        <v>21.384</v>
      </c>
    </row>
    <row r="6873" spans="1:21" x14ac:dyDescent="0.35">
      <c r="A6873" s="1"/>
      <c r="U6873">
        <v>3.8843999999999999</v>
      </c>
    </row>
    <row r="6874" spans="1:21" x14ac:dyDescent="0.35">
      <c r="U6874">
        <v>2.3405999999999998</v>
      </c>
    </row>
    <row r="6875" spans="1:21" x14ac:dyDescent="0.35">
      <c r="U6875">
        <v>-17.248000000000001</v>
      </c>
    </row>
    <row r="6876" spans="1:21" x14ac:dyDescent="0.35">
      <c r="U6876">
        <v>-17.996400000000001</v>
      </c>
    </row>
    <row r="6877" spans="1:21" x14ac:dyDescent="0.35">
      <c r="A6877" s="1"/>
      <c r="U6877">
        <v>11.7782</v>
      </c>
    </row>
    <row r="6878" spans="1:21" x14ac:dyDescent="0.35">
      <c r="A6878" s="1"/>
      <c r="U6878">
        <v>314.05860000000001</v>
      </c>
    </row>
    <row r="6879" spans="1:21" x14ac:dyDescent="0.35">
      <c r="U6879">
        <v>-95.247600000000006</v>
      </c>
    </row>
    <row r="6880" spans="1:21" x14ac:dyDescent="0.35">
      <c r="U6880">
        <v>1.8704000000000001</v>
      </c>
    </row>
    <row r="6881" spans="1:21" x14ac:dyDescent="0.35">
      <c r="A6881" s="1"/>
      <c r="U6881">
        <v>125.245</v>
      </c>
    </row>
    <row r="6882" spans="1:21" x14ac:dyDescent="0.35">
      <c r="A6882" s="1"/>
      <c r="U6882">
        <v>15.552</v>
      </c>
    </row>
    <row r="6883" spans="1:21" x14ac:dyDescent="0.35">
      <c r="A6883" s="1"/>
      <c r="U6883">
        <v>401.81400000000002</v>
      </c>
    </row>
    <row r="6884" spans="1:21" x14ac:dyDescent="0.35">
      <c r="A6884" s="1"/>
      <c r="U6884">
        <v>2.9346000000000001</v>
      </c>
    </row>
    <row r="6885" spans="1:21" x14ac:dyDescent="0.35">
      <c r="A6885" s="1"/>
      <c r="U6885">
        <v>52.531999999999996</v>
      </c>
    </row>
    <row r="6886" spans="1:21" x14ac:dyDescent="0.35">
      <c r="U6886">
        <v>770.35199999999998</v>
      </c>
    </row>
    <row r="6887" spans="1:21" x14ac:dyDescent="0.35">
      <c r="A6887" s="1"/>
      <c r="U6887">
        <v>8.8008000000000006</v>
      </c>
    </row>
    <row r="6888" spans="1:21" x14ac:dyDescent="0.35">
      <c r="A6888" s="1"/>
      <c r="U6888">
        <v>-56.3108</v>
      </c>
    </row>
    <row r="6889" spans="1:21" x14ac:dyDescent="0.35">
      <c r="U6889">
        <v>8.7629999999999999</v>
      </c>
    </row>
    <row r="6890" spans="1:21" x14ac:dyDescent="0.35">
      <c r="U6890">
        <v>27.504000000000001</v>
      </c>
    </row>
    <row r="6891" spans="1:21" x14ac:dyDescent="0.35">
      <c r="U6891">
        <v>26.790400000000002</v>
      </c>
    </row>
    <row r="6892" spans="1:21" x14ac:dyDescent="0.35">
      <c r="U6892">
        <v>24.460799999999999</v>
      </c>
    </row>
    <row r="6893" spans="1:21" x14ac:dyDescent="0.35">
      <c r="U6893">
        <v>34.182000000000002</v>
      </c>
    </row>
    <row r="6894" spans="1:21" x14ac:dyDescent="0.35">
      <c r="U6894">
        <v>12.441599999999999</v>
      </c>
    </row>
    <row r="6895" spans="1:21" x14ac:dyDescent="0.35">
      <c r="U6895">
        <v>6.9088000000000003</v>
      </c>
    </row>
    <row r="6896" spans="1:21" x14ac:dyDescent="0.35">
      <c r="U6896">
        <v>119.4742</v>
      </c>
    </row>
    <row r="6897" spans="1:21" x14ac:dyDescent="0.35">
      <c r="U6897">
        <v>9.9992000000000001</v>
      </c>
    </row>
    <row r="6898" spans="1:21" x14ac:dyDescent="0.35">
      <c r="U6898">
        <v>114.9385</v>
      </c>
    </row>
    <row r="6899" spans="1:21" x14ac:dyDescent="0.35">
      <c r="U6899">
        <v>-7.9067999999999996</v>
      </c>
    </row>
    <row r="6900" spans="1:21" x14ac:dyDescent="0.35">
      <c r="U6900">
        <v>-163.57669999999999</v>
      </c>
    </row>
    <row r="6901" spans="1:21" x14ac:dyDescent="0.35">
      <c r="U6901">
        <v>-13.0152</v>
      </c>
    </row>
    <row r="6902" spans="1:21" x14ac:dyDescent="0.35">
      <c r="A6902" s="1"/>
      <c r="U6902">
        <v>167.97900000000001</v>
      </c>
    </row>
    <row r="6903" spans="1:21" x14ac:dyDescent="0.35">
      <c r="U6903">
        <v>839.98599999999999</v>
      </c>
    </row>
    <row r="6904" spans="1:21" x14ac:dyDescent="0.35">
      <c r="A6904" s="1"/>
      <c r="U6904">
        <v>5.6</v>
      </c>
    </row>
    <row r="6905" spans="1:21" x14ac:dyDescent="0.35">
      <c r="A6905" s="1"/>
      <c r="U6905">
        <v>-15.0876</v>
      </c>
    </row>
    <row r="6906" spans="1:21" x14ac:dyDescent="0.35">
      <c r="A6906" s="1"/>
      <c r="U6906">
        <v>-44.234999999999999</v>
      </c>
    </row>
    <row r="6907" spans="1:21" x14ac:dyDescent="0.35">
      <c r="A6907" s="1"/>
      <c r="U6907">
        <v>2.8835999999999999</v>
      </c>
    </row>
    <row r="6908" spans="1:21" x14ac:dyDescent="0.35">
      <c r="U6908">
        <v>19.814399999999999</v>
      </c>
    </row>
    <row r="6909" spans="1:21" x14ac:dyDescent="0.35">
      <c r="U6909">
        <v>125.19799999999999</v>
      </c>
    </row>
    <row r="6910" spans="1:21" x14ac:dyDescent="0.35">
      <c r="A6910" s="1"/>
      <c r="U6910">
        <v>4.2804000000000002</v>
      </c>
    </row>
    <row r="6911" spans="1:21" x14ac:dyDescent="0.35">
      <c r="U6911">
        <v>-2.0015999999999998</v>
      </c>
    </row>
    <row r="6912" spans="1:21" x14ac:dyDescent="0.35">
      <c r="U6912">
        <v>25.511199999999999</v>
      </c>
    </row>
    <row r="6913" spans="1:21" x14ac:dyDescent="0.35">
      <c r="A6913" s="1"/>
      <c r="U6913">
        <v>50.3658</v>
      </c>
    </row>
    <row r="6914" spans="1:21" x14ac:dyDescent="0.35">
      <c r="A6914" s="1"/>
      <c r="U6914">
        <v>59.037199999999999</v>
      </c>
    </row>
    <row r="6915" spans="1:21" x14ac:dyDescent="0.35">
      <c r="A6915" s="1"/>
      <c r="U6915">
        <v>4.1988000000000003</v>
      </c>
    </row>
    <row r="6916" spans="1:21" x14ac:dyDescent="0.35">
      <c r="U6916">
        <v>9.9120000000000008</v>
      </c>
    </row>
    <row r="6917" spans="1:21" x14ac:dyDescent="0.35">
      <c r="U6917">
        <v>-31.332000000000001</v>
      </c>
    </row>
    <row r="6918" spans="1:21" x14ac:dyDescent="0.35">
      <c r="U6918">
        <v>44.961599999999997</v>
      </c>
    </row>
    <row r="6919" spans="1:21" x14ac:dyDescent="0.35">
      <c r="U6919">
        <v>70.195999999999998</v>
      </c>
    </row>
    <row r="6920" spans="1:21" x14ac:dyDescent="0.35">
      <c r="U6920">
        <v>0.86399999999999999</v>
      </c>
    </row>
    <row r="6921" spans="1:21" x14ac:dyDescent="0.35">
      <c r="U6921">
        <v>-18.031199999999998</v>
      </c>
    </row>
    <row r="6922" spans="1:21" x14ac:dyDescent="0.35">
      <c r="U6922">
        <v>99.901200000000003</v>
      </c>
    </row>
    <row r="6923" spans="1:21" x14ac:dyDescent="0.35">
      <c r="A6923" s="1"/>
      <c r="U6923">
        <v>8.49</v>
      </c>
    </row>
    <row r="6924" spans="1:21" x14ac:dyDescent="0.35">
      <c r="U6924">
        <v>240.8595</v>
      </c>
    </row>
    <row r="6925" spans="1:21" x14ac:dyDescent="0.35">
      <c r="U6925">
        <v>3.3948</v>
      </c>
    </row>
    <row r="6926" spans="1:21" x14ac:dyDescent="0.35">
      <c r="U6926">
        <v>10.883599999999999</v>
      </c>
    </row>
    <row r="6927" spans="1:21" x14ac:dyDescent="0.35">
      <c r="U6927">
        <v>42.588000000000001</v>
      </c>
    </row>
    <row r="6928" spans="1:21" x14ac:dyDescent="0.35">
      <c r="U6928">
        <v>8.6940000000000008</v>
      </c>
    </row>
    <row r="6929" spans="1:21" x14ac:dyDescent="0.35">
      <c r="U6929">
        <v>25.293600000000001</v>
      </c>
    </row>
    <row r="6930" spans="1:21" x14ac:dyDescent="0.35">
      <c r="U6930">
        <v>10.3071</v>
      </c>
    </row>
    <row r="6931" spans="1:21" x14ac:dyDescent="0.35">
      <c r="U6931">
        <v>97.0137</v>
      </c>
    </row>
    <row r="6932" spans="1:21" x14ac:dyDescent="0.35">
      <c r="U6932">
        <v>9.3905999999999992</v>
      </c>
    </row>
    <row r="6933" spans="1:21" x14ac:dyDescent="0.35">
      <c r="U6933">
        <v>-2.2490000000000001</v>
      </c>
    </row>
    <row r="6934" spans="1:21" x14ac:dyDescent="0.35">
      <c r="U6934">
        <v>-13.993</v>
      </c>
    </row>
    <row r="6935" spans="1:21" x14ac:dyDescent="0.35">
      <c r="U6935">
        <v>1.1994</v>
      </c>
    </row>
    <row r="6936" spans="1:21" x14ac:dyDescent="0.35">
      <c r="U6936">
        <v>4.6782000000000004</v>
      </c>
    </row>
    <row r="6937" spans="1:21" x14ac:dyDescent="0.35">
      <c r="U6937">
        <v>-10.7973</v>
      </c>
    </row>
    <row r="6938" spans="1:21" x14ac:dyDescent="0.35">
      <c r="A6938" s="1"/>
      <c r="U6938">
        <v>-75.844800000000006</v>
      </c>
    </row>
    <row r="6939" spans="1:21" x14ac:dyDescent="0.35">
      <c r="U6939">
        <v>11.876799999999999</v>
      </c>
    </row>
    <row r="6940" spans="1:21" x14ac:dyDescent="0.35">
      <c r="A6940" s="1"/>
      <c r="U6940">
        <v>52.769199999999998</v>
      </c>
    </row>
    <row r="6941" spans="1:21" x14ac:dyDescent="0.35">
      <c r="U6941">
        <v>37.108400000000003</v>
      </c>
    </row>
    <row r="6942" spans="1:21" x14ac:dyDescent="0.35">
      <c r="U6942">
        <v>8.2360000000000007</v>
      </c>
    </row>
    <row r="6943" spans="1:21" x14ac:dyDescent="0.35">
      <c r="U6943">
        <v>214.16399999999999</v>
      </c>
    </row>
    <row r="6944" spans="1:21" x14ac:dyDescent="0.35">
      <c r="U6944">
        <v>31.519200000000001</v>
      </c>
    </row>
    <row r="6945" spans="1:21" x14ac:dyDescent="0.35">
      <c r="U6945">
        <v>38.997500000000002</v>
      </c>
    </row>
    <row r="6946" spans="1:21" x14ac:dyDescent="0.35">
      <c r="U6946">
        <v>5.4488000000000003</v>
      </c>
    </row>
    <row r="6947" spans="1:21" x14ac:dyDescent="0.35">
      <c r="U6947">
        <v>-26.196000000000002</v>
      </c>
    </row>
    <row r="6948" spans="1:21" x14ac:dyDescent="0.35">
      <c r="A6948" s="1"/>
      <c r="U6948">
        <v>1.1656</v>
      </c>
    </row>
    <row r="6949" spans="1:21" x14ac:dyDescent="0.35">
      <c r="U6949">
        <v>-55.256</v>
      </c>
    </row>
    <row r="6950" spans="1:21" x14ac:dyDescent="0.35">
      <c r="U6950">
        <v>-23.7822</v>
      </c>
    </row>
    <row r="6951" spans="1:21" x14ac:dyDescent="0.35">
      <c r="U6951">
        <v>18.252500000000001</v>
      </c>
    </row>
    <row r="6952" spans="1:21" x14ac:dyDescent="0.35">
      <c r="U6952">
        <v>-29.323799999999999</v>
      </c>
    </row>
    <row r="6953" spans="1:21" x14ac:dyDescent="0.35">
      <c r="U6953">
        <v>55.998600000000003</v>
      </c>
    </row>
    <row r="6954" spans="1:21" x14ac:dyDescent="0.35">
      <c r="A6954" s="1"/>
      <c r="U6954">
        <v>4.1327999999999996</v>
      </c>
    </row>
    <row r="6955" spans="1:21" x14ac:dyDescent="0.35">
      <c r="A6955" s="1"/>
      <c r="U6955">
        <v>19.418399999999998</v>
      </c>
    </row>
    <row r="6956" spans="1:21" x14ac:dyDescent="0.35">
      <c r="A6956" s="1"/>
      <c r="U6956">
        <v>50.396000000000001</v>
      </c>
    </row>
    <row r="6957" spans="1:21" x14ac:dyDescent="0.35">
      <c r="U6957">
        <v>9.8163999999999998</v>
      </c>
    </row>
    <row r="6958" spans="1:21" x14ac:dyDescent="0.35">
      <c r="U6958">
        <v>17.108000000000001</v>
      </c>
    </row>
    <row r="6959" spans="1:21" x14ac:dyDescent="0.35">
      <c r="U6959">
        <v>15.525</v>
      </c>
    </row>
    <row r="6960" spans="1:21" x14ac:dyDescent="0.35">
      <c r="U6960">
        <v>4.3428000000000004</v>
      </c>
    </row>
    <row r="6961" spans="1:21" x14ac:dyDescent="0.35">
      <c r="U6961">
        <v>73.41</v>
      </c>
    </row>
    <row r="6962" spans="1:21" x14ac:dyDescent="0.35">
      <c r="U6962">
        <v>6.2207999999999997</v>
      </c>
    </row>
    <row r="6963" spans="1:21" x14ac:dyDescent="0.35">
      <c r="A6963" s="1"/>
      <c r="U6963">
        <v>2.1059999999999999</v>
      </c>
    </row>
    <row r="6964" spans="1:21" x14ac:dyDescent="0.35">
      <c r="U6964">
        <v>4.7939999999999996</v>
      </c>
    </row>
    <row r="6965" spans="1:21" x14ac:dyDescent="0.35">
      <c r="U6965">
        <v>5.58</v>
      </c>
    </row>
    <row r="6966" spans="1:21" x14ac:dyDescent="0.35">
      <c r="U6966">
        <v>11.086</v>
      </c>
    </row>
    <row r="6967" spans="1:21" x14ac:dyDescent="0.35">
      <c r="U6967">
        <v>18.235199999999999</v>
      </c>
    </row>
    <row r="6968" spans="1:21" x14ac:dyDescent="0.35">
      <c r="U6968">
        <v>3.1654</v>
      </c>
    </row>
    <row r="6969" spans="1:21" x14ac:dyDescent="0.35">
      <c r="U6969">
        <v>28.857600000000001</v>
      </c>
    </row>
    <row r="6970" spans="1:21" x14ac:dyDescent="0.35">
      <c r="U6970">
        <v>214.4922</v>
      </c>
    </row>
    <row r="6971" spans="1:21" x14ac:dyDescent="0.35">
      <c r="A6971" s="1"/>
      <c r="U6971">
        <v>7.7035</v>
      </c>
    </row>
    <row r="6972" spans="1:21" x14ac:dyDescent="0.35">
      <c r="U6972">
        <v>-2.5247999999999999</v>
      </c>
    </row>
    <row r="6973" spans="1:21" x14ac:dyDescent="0.35">
      <c r="U6973">
        <v>4.4791999999999996</v>
      </c>
    </row>
    <row r="6974" spans="1:21" x14ac:dyDescent="0.35">
      <c r="U6974">
        <v>29.495000000000001</v>
      </c>
    </row>
    <row r="6975" spans="1:21" x14ac:dyDescent="0.35">
      <c r="U6975">
        <v>-13.938000000000001</v>
      </c>
    </row>
    <row r="6976" spans="1:21" x14ac:dyDescent="0.35">
      <c r="U6976">
        <v>8.3328000000000007</v>
      </c>
    </row>
    <row r="6977" spans="1:21" x14ac:dyDescent="0.35">
      <c r="U6977">
        <v>1.9925999999999999</v>
      </c>
    </row>
    <row r="6978" spans="1:21" x14ac:dyDescent="0.35">
      <c r="U6978">
        <v>46.631999999999998</v>
      </c>
    </row>
    <row r="6979" spans="1:21" x14ac:dyDescent="0.35">
      <c r="U6979">
        <v>17.994</v>
      </c>
    </row>
    <row r="6980" spans="1:21" x14ac:dyDescent="0.35">
      <c r="U6980">
        <v>23.946300000000001</v>
      </c>
    </row>
    <row r="6981" spans="1:21" x14ac:dyDescent="0.35">
      <c r="U6981">
        <v>69.704999999999998</v>
      </c>
    </row>
    <row r="6982" spans="1:21" x14ac:dyDescent="0.35">
      <c r="A6982" s="1"/>
      <c r="U6982">
        <v>2.8416000000000001</v>
      </c>
    </row>
    <row r="6983" spans="1:21" x14ac:dyDescent="0.35">
      <c r="A6983" s="1"/>
      <c r="U6983">
        <v>13.8828</v>
      </c>
    </row>
    <row r="6984" spans="1:21" x14ac:dyDescent="0.35">
      <c r="A6984" s="1"/>
      <c r="U6984">
        <v>11.086</v>
      </c>
    </row>
    <row r="6985" spans="1:21" x14ac:dyDescent="0.35">
      <c r="A6985" s="1"/>
      <c r="U6985">
        <v>2.2827999999999999</v>
      </c>
    </row>
    <row r="6986" spans="1:21" x14ac:dyDescent="0.35">
      <c r="A6986" s="1"/>
      <c r="U6986">
        <v>71.162000000000006</v>
      </c>
    </row>
    <row r="6987" spans="1:21" x14ac:dyDescent="0.35">
      <c r="A6987" s="1"/>
      <c r="U6987">
        <v>14.4648</v>
      </c>
    </row>
    <row r="6988" spans="1:21" x14ac:dyDescent="0.35">
      <c r="A6988" s="1"/>
      <c r="U6988">
        <v>2.99</v>
      </c>
    </row>
    <row r="6989" spans="1:21" x14ac:dyDescent="0.35">
      <c r="A6989" s="1"/>
      <c r="U6989">
        <v>12.672000000000001</v>
      </c>
    </row>
    <row r="6990" spans="1:21" x14ac:dyDescent="0.35">
      <c r="A6990" s="1"/>
      <c r="U6990">
        <v>130.2885</v>
      </c>
    </row>
    <row r="6991" spans="1:21" x14ac:dyDescent="0.35">
      <c r="A6991" s="1"/>
      <c r="U6991">
        <v>-3.7584</v>
      </c>
    </row>
    <row r="6992" spans="1:21" x14ac:dyDescent="0.35">
      <c r="A6992" s="1"/>
      <c r="U6992">
        <v>18.660599999999999</v>
      </c>
    </row>
    <row r="6993" spans="1:21" x14ac:dyDescent="0.35">
      <c r="A6993" s="1"/>
      <c r="U6993">
        <v>58.811999999999998</v>
      </c>
    </row>
    <row r="6994" spans="1:21" x14ac:dyDescent="0.35">
      <c r="A6994" s="1"/>
      <c r="U6994">
        <v>41.038800000000002</v>
      </c>
    </row>
    <row r="6995" spans="1:21" x14ac:dyDescent="0.35">
      <c r="A6995" s="1"/>
      <c r="U6995">
        <v>79.757999999999996</v>
      </c>
    </row>
    <row r="6996" spans="1:21" x14ac:dyDescent="0.35">
      <c r="A6996" s="1"/>
      <c r="U6996">
        <v>6.9749999999999996</v>
      </c>
    </row>
    <row r="6997" spans="1:21" x14ac:dyDescent="0.35">
      <c r="U6997">
        <v>8.3916000000000004</v>
      </c>
    </row>
    <row r="6998" spans="1:21" x14ac:dyDescent="0.35">
      <c r="U6998">
        <v>-22.143999999999998</v>
      </c>
    </row>
    <row r="6999" spans="1:21" x14ac:dyDescent="0.35">
      <c r="U6999">
        <v>63.753599999999999</v>
      </c>
    </row>
    <row r="7000" spans="1:21" x14ac:dyDescent="0.35">
      <c r="U7000">
        <v>6.3503999999999996</v>
      </c>
    </row>
    <row r="7001" spans="1:21" x14ac:dyDescent="0.35">
      <c r="U7001">
        <v>62.531999999999996</v>
      </c>
    </row>
    <row r="7002" spans="1:21" x14ac:dyDescent="0.35">
      <c r="U7002">
        <v>0.77280000000000004</v>
      </c>
    </row>
    <row r="7003" spans="1:21" x14ac:dyDescent="0.35">
      <c r="U7003">
        <v>-110.0232</v>
      </c>
    </row>
    <row r="7004" spans="1:21" x14ac:dyDescent="0.35">
      <c r="U7004">
        <v>26.031600000000001</v>
      </c>
    </row>
    <row r="7005" spans="1:21" x14ac:dyDescent="0.35">
      <c r="U7005">
        <v>22.5732</v>
      </c>
    </row>
    <row r="7006" spans="1:21" x14ac:dyDescent="0.35">
      <c r="U7006">
        <v>1.8144</v>
      </c>
    </row>
    <row r="7007" spans="1:21" x14ac:dyDescent="0.35">
      <c r="A7007" s="1"/>
      <c r="U7007">
        <v>13.6776</v>
      </c>
    </row>
    <row r="7008" spans="1:21" x14ac:dyDescent="0.35">
      <c r="U7008">
        <v>-7.476</v>
      </c>
    </row>
    <row r="7009" spans="1:21" x14ac:dyDescent="0.35">
      <c r="U7009">
        <v>-8.9795999999999996</v>
      </c>
    </row>
    <row r="7010" spans="1:21" x14ac:dyDescent="0.35">
      <c r="U7010">
        <v>-42.747</v>
      </c>
    </row>
    <row r="7011" spans="1:21" x14ac:dyDescent="0.35">
      <c r="U7011">
        <v>-3.8976000000000002</v>
      </c>
    </row>
    <row r="7012" spans="1:21" x14ac:dyDescent="0.35">
      <c r="U7012">
        <v>5.8369999999999997</v>
      </c>
    </row>
    <row r="7013" spans="1:21" x14ac:dyDescent="0.35">
      <c r="U7013">
        <v>0.1512</v>
      </c>
    </row>
    <row r="7014" spans="1:21" x14ac:dyDescent="0.35">
      <c r="U7014">
        <v>56.203200000000002</v>
      </c>
    </row>
    <row r="7015" spans="1:21" x14ac:dyDescent="0.35">
      <c r="A7015" s="1"/>
      <c r="U7015">
        <v>15.697800000000001</v>
      </c>
    </row>
    <row r="7016" spans="1:21" x14ac:dyDescent="0.35">
      <c r="A7016" s="1"/>
      <c r="U7016">
        <v>38.157600000000002</v>
      </c>
    </row>
    <row r="7017" spans="1:21" x14ac:dyDescent="0.35">
      <c r="A7017" s="1"/>
      <c r="U7017">
        <v>14.172800000000001</v>
      </c>
    </row>
    <row r="7018" spans="1:21" x14ac:dyDescent="0.35">
      <c r="A7018" s="1"/>
      <c r="U7018">
        <v>164.63159999999999</v>
      </c>
    </row>
    <row r="7019" spans="1:21" x14ac:dyDescent="0.35">
      <c r="A7019" s="1"/>
      <c r="U7019">
        <v>7.0217999999999998</v>
      </c>
    </row>
    <row r="7020" spans="1:21" x14ac:dyDescent="0.35">
      <c r="U7020">
        <v>12.1401</v>
      </c>
    </row>
    <row r="7021" spans="1:21" x14ac:dyDescent="0.35">
      <c r="U7021">
        <v>5.4432</v>
      </c>
    </row>
    <row r="7022" spans="1:21" x14ac:dyDescent="0.35">
      <c r="U7022">
        <v>0.51</v>
      </c>
    </row>
    <row r="7023" spans="1:21" x14ac:dyDescent="0.35">
      <c r="U7023">
        <v>1.2672000000000001</v>
      </c>
    </row>
    <row r="7024" spans="1:21" x14ac:dyDescent="0.35">
      <c r="U7024">
        <v>10.773</v>
      </c>
    </row>
    <row r="7025" spans="1:21" x14ac:dyDescent="0.35">
      <c r="U7025">
        <v>10.8864</v>
      </c>
    </row>
    <row r="7026" spans="1:21" x14ac:dyDescent="0.35">
      <c r="U7026">
        <v>69.704999999999998</v>
      </c>
    </row>
    <row r="7027" spans="1:21" x14ac:dyDescent="0.35">
      <c r="A7027" s="1"/>
      <c r="U7027">
        <v>65.963399999999993</v>
      </c>
    </row>
    <row r="7028" spans="1:21" x14ac:dyDescent="0.35">
      <c r="A7028" s="1"/>
      <c r="U7028">
        <v>15.606</v>
      </c>
    </row>
    <row r="7029" spans="1:21" x14ac:dyDescent="0.35">
      <c r="U7029">
        <v>2.4011999999999998</v>
      </c>
    </row>
    <row r="7030" spans="1:21" x14ac:dyDescent="0.35">
      <c r="U7030">
        <v>15.593999999999999</v>
      </c>
    </row>
    <row r="7031" spans="1:21" x14ac:dyDescent="0.35">
      <c r="A7031" s="1"/>
      <c r="U7031">
        <v>7.8792</v>
      </c>
    </row>
    <row r="7032" spans="1:21" x14ac:dyDescent="0.35">
      <c r="A7032" s="1"/>
      <c r="U7032">
        <v>6.48</v>
      </c>
    </row>
    <row r="7033" spans="1:21" x14ac:dyDescent="0.35">
      <c r="A7033" s="1"/>
      <c r="U7033">
        <v>25.093800000000002</v>
      </c>
    </row>
    <row r="7034" spans="1:21" x14ac:dyDescent="0.35">
      <c r="A7034" s="1"/>
      <c r="U7034">
        <v>8.1882000000000001</v>
      </c>
    </row>
    <row r="7035" spans="1:21" x14ac:dyDescent="0.35">
      <c r="A7035" s="1"/>
      <c r="U7035">
        <v>17.190000000000001</v>
      </c>
    </row>
    <row r="7036" spans="1:21" x14ac:dyDescent="0.35">
      <c r="A7036" s="1"/>
      <c r="U7036">
        <v>11.4504</v>
      </c>
    </row>
    <row r="7037" spans="1:21" x14ac:dyDescent="0.35">
      <c r="A7037" s="1"/>
      <c r="U7037">
        <v>52.339199999999998</v>
      </c>
    </row>
    <row r="7038" spans="1:21" x14ac:dyDescent="0.35">
      <c r="A7038" s="1"/>
      <c r="U7038">
        <v>89.997</v>
      </c>
    </row>
    <row r="7039" spans="1:21" x14ac:dyDescent="0.35">
      <c r="U7039">
        <v>6.2207999999999997</v>
      </c>
    </row>
    <row r="7040" spans="1:21" x14ac:dyDescent="0.35">
      <c r="U7040">
        <v>6.4584000000000001</v>
      </c>
    </row>
    <row r="7041" spans="1:21" x14ac:dyDescent="0.35">
      <c r="U7041">
        <v>41.68</v>
      </c>
    </row>
    <row r="7042" spans="1:21" x14ac:dyDescent="0.35">
      <c r="U7042">
        <v>8.3754000000000008</v>
      </c>
    </row>
    <row r="7043" spans="1:21" x14ac:dyDescent="0.35">
      <c r="U7043">
        <v>27.359200000000001</v>
      </c>
    </row>
    <row r="7044" spans="1:21" x14ac:dyDescent="0.35">
      <c r="U7044">
        <v>69.996499999999997</v>
      </c>
    </row>
    <row r="7045" spans="1:21" x14ac:dyDescent="0.35">
      <c r="U7045">
        <v>-14.196</v>
      </c>
    </row>
    <row r="7046" spans="1:21" x14ac:dyDescent="0.35">
      <c r="U7046">
        <v>1.1479999999999999</v>
      </c>
    </row>
    <row r="7047" spans="1:21" x14ac:dyDescent="0.35">
      <c r="A7047" s="1"/>
      <c r="U7047">
        <v>3.3523999999999998</v>
      </c>
    </row>
    <row r="7048" spans="1:21" x14ac:dyDescent="0.35">
      <c r="A7048" s="1"/>
      <c r="U7048">
        <v>2.4897999999999998</v>
      </c>
    </row>
    <row r="7049" spans="1:21" x14ac:dyDescent="0.35">
      <c r="A7049" s="1"/>
      <c r="U7049">
        <v>139.98599999999999</v>
      </c>
    </row>
    <row r="7050" spans="1:21" x14ac:dyDescent="0.35">
      <c r="U7050">
        <v>5.4432</v>
      </c>
    </row>
    <row r="7051" spans="1:21" x14ac:dyDescent="0.35">
      <c r="U7051">
        <v>2.3685999999999998</v>
      </c>
    </row>
    <row r="7052" spans="1:21" x14ac:dyDescent="0.35">
      <c r="A7052" s="1"/>
      <c r="U7052">
        <v>68.12</v>
      </c>
    </row>
    <row r="7053" spans="1:21" x14ac:dyDescent="0.35">
      <c r="A7053" s="1"/>
      <c r="U7053">
        <v>6.0632000000000001</v>
      </c>
    </row>
    <row r="7054" spans="1:21" x14ac:dyDescent="0.35">
      <c r="A7054" s="1"/>
      <c r="U7054">
        <v>13.941000000000001</v>
      </c>
    </row>
    <row r="7055" spans="1:21" x14ac:dyDescent="0.35">
      <c r="A7055" s="1"/>
      <c r="U7055">
        <v>25.191600000000001</v>
      </c>
    </row>
    <row r="7056" spans="1:21" x14ac:dyDescent="0.35">
      <c r="A7056" s="1"/>
      <c r="U7056">
        <v>-31.843</v>
      </c>
    </row>
    <row r="7057" spans="1:21" x14ac:dyDescent="0.35">
      <c r="A7057" s="1"/>
      <c r="U7057">
        <v>11.19</v>
      </c>
    </row>
    <row r="7058" spans="1:21" x14ac:dyDescent="0.35">
      <c r="A7058" s="1"/>
      <c r="U7058">
        <v>39.873600000000003</v>
      </c>
    </row>
    <row r="7059" spans="1:21" x14ac:dyDescent="0.35">
      <c r="A7059" s="1"/>
      <c r="U7059">
        <v>111.517</v>
      </c>
    </row>
    <row r="7060" spans="1:21" x14ac:dyDescent="0.35">
      <c r="A7060" s="1"/>
      <c r="U7060">
        <v>2.0087999999999999</v>
      </c>
    </row>
    <row r="7061" spans="1:21" x14ac:dyDescent="0.35">
      <c r="A7061" s="1"/>
      <c r="U7061">
        <v>24.191800000000001</v>
      </c>
    </row>
    <row r="7062" spans="1:21" x14ac:dyDescent="0.35">
      <c r="A7062" s="1"/>
      <c r="U7062">
        <v>2.1286</v>
      </c>
    </row>
    <row r="7063" spans="1:21" x14ac:dyDescent="0.35">
      <c r="A7063" s="1"/>
      <c r="U7063">
        <v>4.0986000000000002</v>
      </c>
    </row>
    <row r="7064" spans="1:21" x14ac:dyDescent="0.35">
      <c r="U7064">
        <v>10.422000000000001</v>
      </c>
    </row>
    <row r="7065" spans="1:21" x14ac:dyDescent="0.35">
      <c r="U7065">
        <v>0.69840000000000002</v>
      </c>
    </row>
    <row r="7066" spans="1:21" x14ac:dyDescent="0.35">
      <c r="A7066" s="1"/>
      <c r="U7066">
        <v>8.4941999999999993</v>
      </c>
    </row>
    <row r="7067" spans="1:21" x14ac:dyDescent="0.35">
      <c r="A7067" s="1"/>
      <c r="U7067">
        <v>327.94580000000002</v>
      </c>
    </row>
    <row r="7068" spans="1:21" x14ac:dyDescent="0.35">
      <c r="U7068">
        <v>18.662400000000002</v>
      </c>
    </row>
    <row r="7069" spans="1:21" x14ac:dyDescent="0.35">
      <c r="U7069">
        <v>-3.2406000000000001</v>
      </c>
    </row>
    <row r="7070" spans="1:21" x14ac:dyDescent="0.35">
      <c r="U7070">
        <v>30.995999999999999</v>
      </c>
    </row>
    <row r="7071" spans="1:21" x14ac:dyDescent="0.35">
      <c r="A7071" s="1"/>
      <c r="U7071">
        <v>2.6909999999999998</v>
      </c>
    </row>
    <row r="7072" spans="1:21" x14ac:dyDescent="0.35">
      <c r="A7072" s="1"/>
      <c r="U7072">
        <v>3.3523999999999998</v>
      </c>
    </row>
    <row r="7073" spans="1:21" x14ac:dyDescent="0.35">
      <c r="U7073">
        <v>0.33360000000000001</v>
      </c>
    </row>
    <row r="7074" spans="1:21" x14ac:dyDescent="0.35">
      <c r="U7074">
        <v>1.8144</v>
      </c>
    </row>
    <row r="7075" spans="1:21" x14ac:dyDescent="0.35">
      <c r="U7075">
        <v>15.393000000000001</v>
      </c>
    </row>
    <row r="7076" spans="1:21" x14ac:dyDescent="0.35">
      <c r="U7076">
        <v>-8.3160000000000007</v>
      </c>
    </row>
    <row r="7077" spans="1:21" x14ac:dyDescent="0.35">
      <c r="U7077">
        <v>1.0007999999999999</v>
      </c>
    </row>
    <row r="7078" spans="1:21" x14ac:dyDescent="0.35">
      <c r="A7078" s="1"/>
      <c r="U7078">
        <v>26.901</v>
      </c>
    </row>
    <row r="7079" spans="1:21" x14ac:dyDescent="0.35">
      <c r="A7079" s="1"/>
      <c r="U7079">
        <v>-17.565100000000001</v>
      </c>
    </row>
    <row r="7080" spans="1:21" x14ac:dyDescent="0.35">
      <c r="A7080" s="1"/>
      <c r="U7080">
        <v>34.813800000000001</v>
      </c>
    </row>
    <row r="7081" spans="1:21" x14ac:dyDescent="0.35">
      <c r="A7081" s="1"/>
      <c r="U7081">
        <v>3.4047999999999998</v>
      </c>
    </row>
    <row r="7082" spans="1:21" x14ac:dyDescent="0.35">
      <c r="A7082" s="1"/>
      <c r="U7082">
        <v>-149.63069999999999</v>
      </c>
    </row>
    <row r="7083" spans="1:21" x14ac:dyDescent="0.35">
      <c r="A7083" s="1"/>
      <c r="U7083">
        <v>303.80399999999997</v>
      </c>
    </row>
    <row r="7084" spans="1:21" x14ac:dyDescent="0.35">
      <c r="A7084" s="1"/>
      <c r="U7084">
        <v>-12.628</v>
      </c>
    </row>
    <row r="7085" spans="1:21" x14ac:dyDescent="0.35">
      <c r="U7085">
        <v>1.6896</v>
      </c>
    </row>
    <row r="7086" spans="1:21" x14ac:dyDescent="0.35">
      <c r="U7086">
        <v>121.9644</v>
      </c>
    </row>
    <row r="7087" spans="1:21" x14ac:dyDescent="0.35">
      <c r="U7087">
        <v>-6.3029999999999999</v>
      </c>
    </row>
    <row r="7088" spans="1:21" x14ac:dyDescent="0.35">
      <c r="U7088">
        <v>-42.951599999999999</v>
      </c>
    </row>
    <row r="7089" spans="1:21" x14ac:dyDescent="0.35">
      <c r="A7089" s="1"/>
      <c r="U7089">
        <v>23.968800000000002</v>
      </c>
    </row>
    <row r="7090" spans="1:21" x14ac:dyDescent="0.35">
      <c r="U7090">
        <v>23.808</v>
      </c>
    </row>
    <row r="7091" spans="1:21" x14ac:dyDescent="0.35">
      <c r="U7091">
        <v>7.4974999999999996</v>
      </c>
    </row>
    <row r="7092" spans="1:21" x14ac:dyDescent="0.35">
      <c r="A7092" s="1"/>
      <c r="U7092">
        <v>49.970399999999998</v>
      </c>
    </row>
    <row r="7093" spans="1:21" x14ac:dyDescent="0.35">
      <c r="A7093" s="1"/>
      <c r="U7093">
        <v>45.763199999999998</v>
      </c>
    </row>
    <row r="7094" spans="1:21" x14ac:dyDescent="0.35">
      <c r="A7094" s="1"/>
      <c r="U7094">
        <v>11.117599999999999</v>
      </c>
    </row>
    <row r="7095" spans="1:21" x14ac:dyDescent="0.35">
      <c r="A7095" s="1"/>
      <c r="U7095">
        <v>24.2285</v>
      </c>
    </row>
    <row r="7096" spans="1:21" x14ac:dyDescent="0.35">
      <c r="A7096" s="1"/>
      <c r="U7096">
        <v>89.991</v>
      </c>
    </row>
    <row r="7097" spans="1:21" x14ac:dyDescent="0.35">
      <c r="U7097">
        <v>55.008000000000003</v>
      </c>
    </row>
    <row r="7098" spans="1:21" x14ac:dyDescent="0.35">
      <c r="U7098">
        <v>89.954800000000006</v>
      </c>
    </row>
    <row r="7099" spans="1:21" x14ac:dyDescent="0.35">
      <c r="U7099">
        <v>9.1784999999999997</v>
      </c>
    </row>
    <row r="7100" spans="1:21" x14ac:dyDescent="0.35">
      <c r="A7100" s="1"/>
      <c r="U7100">
        <v>149.91120000000001</v>
      </c>
    </row>
    <row r="7101" spans="1:21" x14ac:dyDescent="0.35">
      <c r="U7101">
        <v>99.940799999999996</v>
      </c>
    </row>
    <row r="7102" spans="1:21" x14ac:dyDescent="0.35">
      <c r="U7102">
        <v>8.8019999999999996</v>
      </c>
    </row>
    <row r="7103" spans="1:21" x14ac:dyDescent="0.35">
      <c r="A7103" s="1"/>
      <c r="U7103">
        <v>6.6311999999999998</v>
      </c>
    </row>
    <row r="7104" spans="1:21" x14ac:dyDescent="0.35">
      <c r="U7104">
        <v>-5.0369999999999999</v>
      </c>
    </row>
    <row r="7105" spans="1:21" x14ac:dyDescent="0.35">
      <c r="A7105" s="1"/>
      <c r="U7105">
        <v>105.27500000000001</v>
      </c>
    </row>
    <row r="7106" spans="1:21" x14ac:dyDescent="0.35">
      <c r="U7106">
        <v>-43.435200000000002</v>
      </c>
    </row>
    <row r="7107" spans="1:21" x14ac:dyDescent="0.35">
      <c r="U7107">
        <v>7.2720000000000002</v>
      </c>
    </row>
    <row r="7108" spans="1:21" x14ac:dyDescent="0.35">
      <c r="U7108">
        <v>1.5290999999999999</v>
      </c>
    </row>
    <row r="7109" spans="1:21" x14ac:dyDescent="0.35">
      <c r="U7109">
        <v>0.77939999999999998</v>
      </c>
    </row>
    <row r="7110" spans="1:21" x14ac:dyDescent="0.35">
      <c r="U7110">
        <v>1.476</v>
      </c>
    </row>
    <row r="7111" spans="1:21" x14ac:dyDescent="0.35">
      <c r="U7111">
        <v>13.7964</v>
      </c>
    </row>
    <row r="7112" spans="1:21" x14ac:dyDescent="0.35">
      <c r="U7112">
        <v>2.2504</v>
      </c>
    </row>
    <row r="7113" spans="1:21" x14ac:dyDescent="0.35">
      <c r="U7113">
        <v>17.989999999999998</v>
      </c>
    </row>
    <row r="7114" spans="1:21" x14ac:dyDescent="0.35">
      <c r="U7114">
        <v>15.372</v>
      </c>
    </row>
    <row r="7115" spans="1:21" x14ac:dyDescent="0.35">
      <c r="U7115">
        <v>3.2480000000000002</v>
      </c>
    </row>
    <row r="7116" spans="1:21" x14ac:dyDescent="0.35">
      <c r="A7116" s="1"/>
      <c r="U7116">
        <v>320.31720000000001</v>
      </c>
    </row>
    <row r="7117" spans="1:21" x14ac:dyDescent="0.35">
      <c r="A7117" s="1"/>
      <c r="U7117">
        <v>2.0047999999999999</v>
      </c>
    </row>
    <row r="7118" spans="1:21" x14ac:dyDescent="0.35">
      <c r="U7118">
        <v>27.882000000000001</v>
      </c>
    </row>
    <row r="7119" spans="1:21" x14ac:dyDescent="0.35">
      <c r="U7119">
        <v>0.47039999999999998</v>
      </c>
    </row>
    <row r="7120" spans="1:21" x14ac:dyDescent="0.35">
      <c r="U7120">
        <v>8.7905999999999995</v>
      </c>
    </row>
    <row r="7121" spans="1:21" x14ac:dyDescent="0.35">
      <c r="U7121">
        <v>4.5187999999999997</v>
      </c>
    </row>
    <row r="7122" spans="1:21" x14ac:dyDescent="0.35">
      <c r="U7122">
        <v>-51.5154</v>
      </c>
    </row>
    <row r="7123" spans="1:21" x14ac:dyDescent="0.35">
      <c r="A7123" s="1"/>
      <c r="U7123">
        <v>18.837</v>
      </c>
    </row>
    <row r="7124" spans="1:21" x14ac:dyDescent="0.35">
      <c r="A7124" s="1"/>
      <c r="U7124">
        <v>41.168399999999998</v>
      </c>
    </row>
    <row r="7125" spans="1:21" x14ac:dyDescent="0.35">
      <c r="A7125" s="1"/>
      <c r="U7125">
        <v>4.4088000000000003</v>
      </c>
    </row>
    <row r="7126" spans="1:21" x14ac:dyDescent="0.35">
      <c r="A7126" s="1"/>
      <c r="U7126">
        <v>69.177599999999998</v>
      </c>
    </row>
    <row r="7127" spans="1:21" x14ac:dyDescent="0.35">
      <c r="U7127">
        <v>8.7905999999999995</v>
      </c>
    </row>
    <row r="7128" spans="1:21" x14ac:dyDescent="0.35">
      <c r="U7128">
        <v>4.5837000000000003</v>
      </c>
    </row>
    <row r="7129" spans="1:21" x14ac:dyDescent="0.35">
      <c r="U7129">
        <v>7.5670000000000002</v>
      </c>
    </row>
    <row r="7130" spans="1:21" x14ac:dyDescent="0.35">
      <c r="U7130">
        <v>6.5735999999999999</v>
      </c>
    </row>
    <row r="7131" spans="1:21" x14ac:dyDescent="0.35">
      <c r="U7131">
        <v>8.3523999999999994</v>
      </c>
    </row>
    <row r="7132" spans="1:21" x14ac:dyDescent="0.35">
      <c r="U7132">
        <v>40.003599999999999</v>
      </c>
    </row>
    <row r="7133" spans="1:21" x14ac:dyDescent="0.35">
      <c r="U7133">
        <v>67.064400000000006</v>
      </c>
    </row>
    <row r="7134" spans="1:21" x14ac:dyDescent="0.35">
      <c r="U7134">
        <v>545.1884</v>
      </c>
    </row>
    <row r="7135" spans="1:21" x14ac:dyDescent="0.35">
      <c r="U7135">
        <v>9.8856000000000002</v>
      </c>
    </row>
    <row r="7136" spans="1:21" x14ac:dyDescent="0.35">
      <c r="U7136">
        <v>43.190399999999997</v>
      </c>
    </row>
    <row r="7137" spans="1:21" x14ac:dyDescent="0.35">
      <c r="U7137">
        <v>240.29400000000001</v>
      </c>
    </row>
    <row r="7138" spans="1:21" x14ac:dyDescent="0.35">
      <c r="U7138">
        <v>-5.7839999999999998</v>
      </c>
    </row>
    <row r="7139" spans="1:21" x14ac:dyDescent="0.35">
      <c r="U7139">
        <v>1.3080000000000001</v>
      </c>
    </row>
    <row r="7140" spans="1:21" x14ac:dyDescent="0.35">
      <c r="U7140">
        <v>-50.304000000000002</v>
      </c>
    </row>
    <row r="7141" spans="1:21" x14ac:dyDescent="0.35">
      <c r="U7141">
        <v>-36.293999999999997</v>
      </c>
    </row>
    <row r="7142" spans="1:21" x14ac:dyDescent="0.35">
      <c r="A7142" s="1"/>
      <c r="U7142">
        <v>46.543199999999999</v>
      </c>
    </row>
    <row r="7143" spans="1:21" x14ac:dyDescent="0.35">
      <c r="A7143" s="1"/>
      <c r="U7143">
        <v>37.884</v>
      </c>
    </row>
    <row r="7144" spans="1:21" x14ac:dyDescent="0.35">
      <c r="U7144">
        <v>48.905999999999999</v>
      </c>
    </row>
    <row r="7145" spans="1:21" x14ac:dyDescent="0.35">
      <c r="A7145" s="1"/>
      <c r="U7145">
        <v>-181.26499999999999</v>
      </c>
    </row>
    <row r="7146" spans="1:21" x14ac:dyDescent="0.35">
      <c r="A7146" s="1"/>
      <c r="U7146">
        <v>-8.6058000000000003</v>
      </c>
    </row>
    <row r="7147" spans="1:21" x14ac:dyDescent="0.35">
      <c r="A7147" s="1"/>
      <c r="U7147">
        <v>-46.429200000000002</v>
      </c>
    </row>
    <row r="7148" spans="1:21" x14ac:dyDescent="0.35">
      <c r="A7148" s="1"/>
      <c r="U7148">
        <v>3.246</v>
      </c>
    </row>
    <row r="7149" spans="1:21" x14ac:dyDescent="0.35">
      <c r="A7149" s="1"/>
      <c r="U7149">
        <v>41.823</v>
      </c>
    </row>
    <row r="7150" spans="1:21" x14ac:dyDescent="0.35">
      <c r="A7150" s="1"/>
      <c r="U7150">
        <v>18.396000000000001</v>
      </c>
    </row>
    <row r="7151" spans="1:21" x14ac:dyDescent="0.35">
      <c r="U7151">
        <v>109.3365</v>
      </c>
    </row>
    <row r="7152" spans="1:21" x14ac:dyDescent="0.35">
      <c r="U7152">
        <v>35.49</v>
      </c>
    </row>
    <row r="7153" spans="1:21" x14ac:dyDescent="0.35">
      <c r="U7153">
        <v>-135.08699999999999</v>
      </c>
    </row>
    <row r="7154" spans="1:21" x14ac:dyDescent="0.35">
      <c r="A7154" s="1"/>
      <c r="U7154">
        <v>31.0688</v>
      </c>
    </row>
    <row r="7155" spans="1:21" x14ac:dyDescent="0.35">
      <c r="A7155" s="1"/>
      <c r="U7155">
        <v>-108.8304</v>
      </c>
    </row>
    <row r="7156" spans="1:21" x14ac:dyDescent="0.35">
      <c r="U7156">
        <v>46.8996</v>
      </c>
    </row>
    <row r="7157" spans="1:21" x14ac:dyDescent="0.35">
      <c r="U7157">
        <v>74.212999999999994</v>
      </c>
    </row>
    <row r="7158" spans="1:21" x14ac:dyDescent="0.35">
      <c r="U7158">
        <v>2.4058999999999999</v>
      </c>
    </row>
    <row r="7159" spans="1:21" x14ac:dyDescent="0.35">
      <c r="U7159">
        <v>0.87919999999999998</v>
      </c>
    </row>
    <row r="7160" spans="1:21" x14ac:dyDescent="0.35">
      <c r="U7160">
        <v>2.9302000000000001</v>
      </c>
    </row>
    <row r="7161" spans="1:21" x14ac:dyDescent="0.35">
      <c r="U7161">
        <v>16.678799999999999</v>
      </c>
    </row>
    <row r="7162" spans="1:21" x14ac:dyDescent="0.35">
      <c r="U7162">
        <v>5.6</v>
      </c>
    </row>
    <row r="7163" spans="1:21" x14ac:dyDescent="0.35">
      <c r="A7163" s="1"/>
      <c r="U7163">
        <v>10.92</v>
      </c>
    </row>
    <row r="7164" spans="1:21" x14ac:dyDescent="0.35">
      <c r="A7164" s="1"/>
      <c r="U7164">
        <v>7.6440000000000001</v>
      </c>
    </row>
    <row r="7165" spans="1:21" x14ac:dyDescent="0.35">
      <c r="U7165">
        <v>121.44159999999999</v>
      </c>
    </row>
    <row r="7166" spans="1:21" x14ac:dyDescent="0.35">
      <c r="U7166">
        <v>3.3452999999999999</v>
      </c>
    </row>
    <row r="7167" spans="1:21" x14ac:dyDescent="0.35">
      <c r="U7167">
        <v>17.38</v>
      </c>
    </row>
    <row r="7168" spans="1:21" x14ac:dyDescent="0.35">
      <c r="U7168">
        <v>3.2256</v>
      </c>
    </row>
    <row r="7169" spans="1:21" x14ac:dyDescent="0.35">
      <c r="U7169">
        <v>71.772000000000006</v>
      </c>
    </row>
    <row r="7170" spans="1:21" x14ac:dyDescent="0.35">
      <c r="U7170">
        <v>68.584999999999994</v>
      </c>
    </row>
    <row r="7171" spans="1:21" x14ac:dyDescent="0.35">
      <c r="U7171">
        <v>19.1646</v>
      </c>
    </row>
    <row r="7172" spans="1:21" x14ac:dyDescent="0.35">
      <c r="A7172" s="1"/>
      <c r="U7172">
        <v>3.2391999999999999</v>
      </c>
    </row>
    <row r="7173" spans="1:21" x14ac:dyDescent="0.35">
      <c r="U7173">
        <v>22.6737</v>
      </c>
    </row>
    <row r="7174" spans="1:21" x14ac:dyDescent="0.35">
      <c r="U7174">
        <v>1.7995000000000001</v>
      </c>
    </row>
    <row r="7175" spans="1:21" x14ac:dyDescent="0.35">
      <c r="U7175">
        <v>569.9905</v>
      </c>
    </row>
    <row r="7176" spans="1:21" x14ac:dyDescent="0.35">
      <c r="U7176">
        <v>23.234999999999999</v>
      </c>
    </row>
    <row r="7177" spans="1:21" x14ac:dyDescent="0.35">
      <c r="U7177">
        <v>-226.63679999999999</v>
      </c>
    </row>
    <row r="7178" spans="1:21" x14ac:dyDescent="0.35">
      <c r="U7178">
        <v>2.4174000000000002</v>
      </c>
    </row>
    <row r="7179" spans="1:21" x14ac:dyDescent="0.35">
      <c r="A7179" s="1"/>
      <c r="U7179">
        <v>-1.5414000000000001</v>
      </c>
    </row>
    <row r="7180" spans="1:21" x14ac:dyDescent="0.35">
      <c r="A7180" s="1"/>
      <c r="U7180">
        <v>-7.5167999999999999</v>
      </c>
    </row>
    <row r="7181" spans="1:21" x14ac:dyDescent="0.35">
      <c r="U7181">
        <v>25.191600000000001</v>
      </c>
    </row>
    <row r="7182" spans="1:21" x14ac:dyDescent="0.35">
      <c r="A7182" s="1"/>
      <c r="U7182">
        <v>5.2397999999999998</v>
      </c>
    </row>
    <row r="7183" spans="1:21" x14ac:dyDescent="0.35">
      <c r="U7183">
        <v>0.5</v>
      </c>
    </row>
    <row r="7184" spans="1:21" x14ac:dyDescent="0.35">
      <c r="U7184">
        <v>7.5529999999999999</v>
      </c>
    </row>
    <row r="7185" spans="1:21" x14ac:dyDescent="0.35">
      <c r="U7185">
        <v>227.20500000000001</v>
      </c>
    </row>
    <row r="7186" spans="1:21" x14ac:dyDescent="0.35">
      <c r="U7186">
        <v>-1.0409999999999999</v>
      </c>
    </row>
    <row r="7187" spans="1:21" x14ac:dyDescent="0.35">
      <c r="U7187">
        <v>1.002</v>
      </c>
    </row>
    <row r="7188" spans="1:21" x14ac:dyDescent="0.35">
      <c r="U7188">
        <v>-2.1312000000000002</v>
      </c>
    </row>
    <row r="7189" spans="1:21" x14ac:dyDescent="0.35">
      <c r="A7189" t="s">
        <v>1900</v>
      </c>
      <c r="B7189" t="s">
        <v>1806</v>
      </c>
      <c r="C7189" t="s">
        <v>35</v>
      </c>
      <c r="D7189" t="s">
        <v>2293</v>
      </c>
      <c r="E7189">
        <v>16.783999999999999</v>
      </c>
      <c r="F7189">
        <v>2</v>
      </c>
      <c r="G7189">
        <v>0.6</v>
      </c>
      <c r="H7189">
        <v>-22.238800000000001</v>
      </c>
      <c r="U7189">
        <v>-22.238800000000001</v>
      </c>
    </row>
    <row r="7190" spans="1:21" x14ac:dyDescent="0.35">
      <c r="A7190" t="s">
        <v>1900</v>
      </c>
      <c r="B7190" t="s">
        <v>1806</v>
      </c>
      <c r="C7190" t="s">
        <v>35</v>
      </c>
      <c r="D7190" t="s">
        <v>973</v>
      </c>
      <c r="E7190">
        <v>38.863999999999997</v>
      </c>
      <c r="F7190">
        <v>4</v>
      </c>
      <c r="G7190">
        <v>0.8</v>
      </c>
      <c r="H7190">
        <v>-99.103200000000001</v>
      </c>
      <c r="U7190">
        <v>-99.103200000000001</v>
      </c>
    </row>
    <row r="7191" spans="1:21" x14ac:dyDescent="0.35">
      <c r="A7191" s="1">
        <v>42715</v>
      </c>
      <c r="B7191" t="s">
        <v>445</v>
      </c>
      <c r="C7191" t="s">
        <v>13</v>
      </c>
      <c r="D7191" t="s">
        <v>2314</v>
      </c>
      <c r="E7191">
        <v>203.976</v>
      </c>
      <c r="F7191">
        <v>3</v>
      </c>
      <c r="G7191">
        <v>0.2</v>
      </c>
      <c r="H7191">
        <v>25.497</v>
      </c>
      <c r="U7191">
        <v>25.497</v>
      </c>
    </row>
    <row r="7192" spans="1:21" x14ac:dyDescent="0.35">
      <c r="A7192" s="1">
        <v>42715</v>
      </c>
      <c r="B7192" t="s">
        <v>445</v>
      </c>
      <c r="C7192" t="s">
        <v>13</v>
      </c>
      <c r="D7192" t="s">
        <v>2515</v>
      </c>
      <c r="E7192">
        <v>674.35199999999998</v>
      </c>
      <c r="F7192">
        <v>3</v>
      </c>
      <c r="G7192">
        <v>0.2</v>
      </c>
      <c r="H7192">
        <v>-8.4293999999999993</v>
      </c>
      <c r="U7192">
        <v>-8.4293999999999993</v>
      </c>
    </row>
    <row r="7193" spans="1:21" x14ac:dyDescent="0.35">
      <c r="A7193" s="1">
        <v>42379</v>
      </c>
      <c r="B7193" t="s">
        <v>1793</v>
      </c>
      <c r="C7193" t="s">
        <v>8</v>
      </c>
      <c r="D7193" t="s">
        <v>585</v>
      </c>
      <c r="E7193">
        <v>5.3879999999999999</v>
      </c>
      <c r="F7193">
        <v>4</v>
      </c>
      <c r="G7193">
        <v>0.7</v>
      </c>
      <c r="H7193">
        <v>-4.49</v>
      </c>
      <c r="U7193">
        <v>-4.49</v>
      </c>
    </row>
    <row r="7194" spans="1:21" x14ac:dyDescent="0.35">
      <c r="A7194" s="1">
        <v>42379</v>
      </c>
      <c r="B7194" t="s">
        <v>1793</v>
      </c>
      <c r="C7194" t="s">
        <v>8</v>
      </c>
      <c r="D7194" t="s">
        <v>1342</v>
      </c>
      <c r="E7194">
        <v>30.975999999999999</v>
      </c>
      <c r="F7194">
        <v>8</v>
      </c>
      <c r="G7194">
        <v>0.2</v>
      </c>
      <c r="H7194">
        <v>5.0335999999999999</v>
      </c>
      <c r="U7194">
        <v>5.0335999999999999</v>
      </c>
    </row>
    <row r="7195" spans="1:21" x14ac:dyDescent="0.35">
      <c r="A7195" s="1">
        <v>42706</v>
      </c>
      <c r="B7195" t="s">
        <v>1335</v>
      </c>
      <c r="C7195" t="s">
        <v>8</v>
      </c>
      <c r="D7195" t="s">
        <v>1512</v>
      </c>
      <c r="E7195">
        <v>1350.12</v>
      </c>
      <c r="F7195">
        <v>6</v>
      </c>
      <c r="G7195">
        <v>0</v>
      </c>
      <c r="H7195">
        <v>175.51560000000001</v>
      </c>
      <c r="U7195">
        <v>175.51560000000001</v>
      </c>
    </row>
    <row r="7196" spans="1:21" x14ac:dyDescent="0.35">
      <c r="A7196" s="1">
        <v>42706</v>
      </c>
      <c r="B7196" t="s">
        <v>1335</v>
      </c>
      <c r="C7196" t="s">
        <v>8</v>
      </c>
      <c r="D7196" t="s">
        <v>255</v>
      </c>
      <c r="E7196">
        <v>15.92</v>
      </c>
      <c r="F7196">
        <v>4</v>
      </c>
      <c r="G7196">
        <v>0</v>
      </c>
      <c r="H7196">
        <v>7.4824000000000002</v>
      </c>
      <c r="U7196">
        <v>7.4824000000000002</v>
      </c>
    </row>
    <row r="7197" spans="1:21" x14ac:dyDescent="0.35">
      <c r="A7197" t="s">
        <v>1322</v>
      </c>
      <c r="B7197" t="s">
        <v>738</v>
      </c>
      <c r="C7197" t="s">
        <v>13</v>
      </c>
      <c r="D7197" t="s">
        <v>2093</v>
      </c>
      <c r="E7197">
        <v>19.54</v>
      </c>
      <c r="F7197">
        <v>2</v>
      </c>
      <c r="G7197">
        <v>0</v>
      </c>
      <c r="H7197">
        <v>7.2298</v>
      </c>
      <c r="U7197">
        <v>7.2298</v>
      </c>
    </row>
    <row r="7198" spans="1:21" x14ac:dyDescent="0.35">
      <c r="A7198" t="s">
        <v>2175</v>
      </c>
      <c r="B7198" t="s">
        <v>2603</v>
      </c>
      <c r="C7198" t="s">
        <v>13</v>
      </c>
      <c r="D7198" t="s">
        <v>1720</v>
      </c>
      <c r="E7198">
        <v>21.4</v>
      </c>
      <c r="F7198">
        <v>5</v>
      </c>
      <c r="G7198">
        <v>0</v>
      </c>
      <c r="H7198">
        <v>6.2060000000000004</v>
      </c>
      <c r="U7198">
        <v>6.2060000000000004</v>
      </c>
    </row>
    <row r="7199" spans="1:21" x14ac:dyDescent="0.35">
      <c r="A7199" t="s">
        <v>2175</v>
      </c>
      <c r="B7199" t="s">
        <v>2603</v>
      </c>
      <c r="C7199" t="s">
        <v>13</v>
      </c>
      <c r="D7199" t="s">
        <v>2589</v>
      </c>
      <c r="E7199">
        <v>12.6</v>
      </c>
      <c r="F7199">
        <v>2</v>
      </c>
      <c r="G7199">
        <v>0</v>
      </c>
      <c r="H7199">
        <v>5.7960000000000003</v>
      </c>
      <c r="U7199">
        <v>5.7960000000000003</v>
      </c>
    </row>
    <row r="7200" spans="1:21" x14ac:dyDescent="0.35">
      <c r="A7200" s="1">
        <v>42316</v>
      </c>
      <c r="B7200" t="s">
        <v>738</v>
      </c>
      <c r="C7200" t="s">
        <v>55</v>
      </c>
      <c r="D7200" t="s">
        <v>496</v>
      </c>
      <c r="E7200">
        <v>11.96</v>
      </c>
      <c r="F7200">
        <v>2</v>
      </c>
      <c r="G7200">
        <v>0</v>
      </c>
      <c r="H7200">
        <v>3.1095999999999999</v>
      </c>
      <c r="U7200">
        <v>3.1095999999999999</v>
      </c>
    </row>
    <row r="7201" spans="1:21" x14ac:dyDescent="0.35">
      <c r="A7201" s="1">
        <v>42316</v>
      </c>
      <c r="B7201" t="s">
        <v>738</v>
      </c>
      <c r="C7201" t="s">
        <v>55</v>
      </c>
      <c r="D7201" t="s">
        <v>579</v>
      </c>
      <c r="E7201">
        <v>138</v>
      </c>
      <c r="F7201">
        <v>2</v>
      </c>
      <c r="G7201">
        <v>0</v>
      </c>
      <c r="H7201">
        <v>34.5</v>
      </c>
      <c r="U7201">
        <v>34.5</v>
      </c>
    </row>
    <row r="7202" spans="1:21" x14ac:dyDescent="0.35">
      <c r="A7202" t="s">
        <v>1819</v>
      </c>
      <c r="B7202" t="s">
        <v>1788</v>
      </c>
      <c r="C7202" t="s">
        <v>8</v>
      </c>
      <c r="D7202" t="s">
        <v>2043</v>
      </c>
      <c r="E7202">
        <v>116.76</v>
      </c>
      <c r="F7202">
        <v>1</v>
      </c>
      <c r="G7202">
        <v>0.2</v>
      </c>
      <c r="H7202">
        <v>14.595000000000001</v>
      </c>
      <c r="U7202">
        <v>14.595000000000001</v>
      </c>
    </row>
    <row r="7203" spans="1:21" x14ac:dyDescent="0.35">
      <c r="A7203" t="s">
        <v>1819</v>
      </c>
      <c r="B7203" t="s">
        <v>1788</v>
      </c>
      <c r="C7203" t="s">
        <v>8</v>
      </c>
      <c r="D7203" t="s">
        <v>1425</v>
      </c>
      <c r="E7203">
        <v>331.02300000000002</v>
      </c>
      <c r="F7203">
        <v>7</v>
      </c>
      <c r="G7203">
        <v>0.45</v>
      </c>
      <c r="H7203">
        <v>-114.35339999999999</v>
      </c>
      <c r="U7203">
        <v>-114.35339999999999</v>
      </c>
    </row>
    <row r="7204" spans="1:21" x14ac:dyDescent="0.35">
      <c r="A7204" t="s">
        <v>409</v>
      </c>
      <c r="B7204" t="s">
        <v>612</v>
      </c>
      <c r="C7204" t="s">
        <v>55</v>
      </c>
      <c r="D7204" t="s">
        <v>2686</v>
      </c>
      <c r="E7204">
        <v>756.8</v>
      </c>
      <c r="F7204">
        <v>5</v>
      </c>
      <c r="G7204">
        <v>0</v>
      </c>
      <c r="H7204">
        <v>75.680000000000007</v>
      </c>
      <c r="U7204">
        <v>75.680000000000007</v>
      </c>
    </row>
    <row r="7205" spans="1:21" x14ac:dyDescent="0.35">
      <c r="A7205" t="s">
        <v>1097</v>
      </c>
      <c r="B7205" t="s">
        <v>1597</v>
      </c>
      <c r="C7205" t="s">
        <v>35</v>
      </c>
      <c r="D7205" t="s">
        <v>2530</v>
      </c>
      <c r="E7205">
        <v>8.7360000000000007</v>
      </c>
      <c r="F7205">
        <v>3</v>
      </c>
      <c r="G7205">
        <v>0.6</v>
      </c>
      <c r="H7205">
        <v>-4.8048000000000002</v>
      </c>
      <c r="U7205">
        <v>-4.8048000000000002</v>
      </c>
    </row>
    <row r="7206" spans="1:21" x14ac:dyDescent="0.35">
      <c r="A7206" s="1">
        <v>42286</v>
      </c>
      <c r="B7206" t="s">
        <v>1707</v>
      </c>
      <c r="C7206" t="s">
        <v>55</v>
      </c>
      <c r="D7206" t="s">
        <v>2033</v>
      </c>
      <c r="E7206">
        <v>6.08</v>
      </c>
      <c r="F7206">
        <v>2</v>
      </c>
      <c r="G7206">
        <v>0</v>
      </c>
      <c r="H7206">
        <v>2.0672000000000001</v>
      </c>
      <c r="U7206">
        <v>2.0672000000000001</v>
      </c>
    </row>
    <row r="7207" spans="1:21" x14ac:dyDescent="0.35">
      <c r="A7207" s="1">
        <v>42776</v>
      </c>
      <c r="B7207" t="s">
        <v>1577</v>
      </c>
      <c r="C7207" t="s">
        <v>13</v>
      </c>
      <c r="D7207" t="s">
        <v>1231</v>
      </c>
      <c r="E7207">
        <v>17.46</v>
      </c>
      <c r="F7207">
        <v>2</v>
      </c>
      <c r="G7207">
        <v>0</v>
      </c>
      <c r="H7207">
        <v>5.9363999999999999</v>
      </c>
      <c r="U7207">
        <v>5.9363999999999999</v>
      </c>
    </row>
    <row r="7208" spans="1:21" x14ac:dyDescent="0.35">
      <c r="A7208" s="1">
        <v>42776</v>
      </c>
      <c r="B7208" t="s">
        <v>1577</v>
      </c>
      <c r="C7208" t="s">
        <v>13</v>
      </c>
      <c r="D7208" t="s">
        <v>2664</v>
      </c>
      <c r="E7208">
        <v>369.16</v>
      </c>
      <c r="F7208">
        <v>11</v>
      </c>
      <c r="G7208">
        <v>0.2</v>
      </c>
      <c r="H7208">
        <v>32.301499999999997</v>
      </c>
      <c r="U7208">
        <v>32.301499999999997</v>
      </c>
    </row>
    <row r="7209" spans="1:21" x14ac:dyDescent="0.35">
      <c r="A7209" s="1">
        <v>42683</v>
      </c>
      <c r="B7209" t="s">
        <v>87</v>
      </c>
      <c r="C7209" t="s">
        <v>13</v>
      </c>
      <c r="D7209" t="s">
        <v>1440</v>
      </c>
      <c r="E7209">
        <v>2.9119999999999999</v>
      </c>
      <c r="F7209">
        <v>2</v>
      </c>
      <c r="G7209">
        <v>0.2</v>
      </c>
      <c r="H7209">
        <v>0.91</v>
      </c>
      <c r="U7209">
        <v>0.91</v>
      </c>
    </row>
    <row r="7210" spans="1:21" x14ac:dyDescent="0.35">
      <c r="A7210" s="1">
        <v>42683</v>
      </c>
      <c r="B7210" t="s">
        <v>87</v>
      </c>
      <c r="C7210" t="s">
        <v>13</v>
      </c>
      <c r="D7210" t="s">
        <v>2682</v>
      </c>
      <c r="E7210">
        <v>20.736000000000001</v>
      </c>
      <c r="F7210">
        <v>4</v>
      </c>
      <c r="G7210">
        <v>0.2</v>
      </c>
      <c r="H7210">
        <v>7.2576000000000001</v>
      </c>
      <c r="U7210">
        <v>7.2576000000000001</v>
      </c>
    </row>
    <row r="7211" spans="1:21" x14ac:dyDescent="0.35">
      <c r="A7211" s="1">
        <v>42683</v>
      </c>
      <c r="B7211" t="s">
        <v>87</v>
      </c>
      <c r="C7211" t="s">
        <v>13</v>
      </c>
      <c r="D7211" t="s">
        <v>860</v>
      </c>
      <c r="E7211">
        <v>9.5679999999999996</v>
      </c>
      <c r="F7211">
        <v>2</v>
      </c>
      <c r="G7211">
        <v>0.2</v>
      </c>
      <c r="H7211">
        <v>2.99</v>
      </c>
      <c r="U7211">
        <v>2.99</v>
      </c>
    </row>
    <row r="7212" spans="1:21" x14ac:dyDescent="0.35">
      <c r="A7212" s="1">
        <v>42406</v>
      </c>
      <c r="B7212" t="s">
        <v>1902</v>
      </c>
      <c r="C7212" t="s">
        <v>13</v>
      </c>
      <c r="D7212" t="s">
        <v>2456</v>
      </c>
      <c r="E7212">
        <v>30.18</v>
      </c>
      <c r="F7212">
        <v>3</v>
      </c>
      <c r="G7212">
        <v>0</v>
      </c>
      <c r="H7212">
        <v>13.8828</v>
      </c>
      <c r="U7212">
        <v>13.8828</v>
      </c>
    </row>
    <row r="7213" spans="1:21" x14ac:dyDescent="0.35">
      <c r="A7213" s="1">
        <v>42406</v>
      </c>
      <c r="B7213" t="s">
        <v>1902</v>
      </c>
      <c r="C7213" t="s">
        <v>13</v>
      </c>
      <c r="D7213" t="s">
        <v>133</v>
      </c>
      <c r="E7213">
        <v>51.648000000000003</v>
      </c>
      <c r="F7213">
        <v>12</v>
      </c>
      <c r="G7213">
        <v>0.2</v>
      </c>
      <c r="H7213">
        <v>18.7224</v>
      </c>
      <c r="U7213">
        <v>18.7224</v>
      </c>
    </row>
    <row r="7214" spans="1:21" x14ac:dyDescent="0.35">
      <c r="A7214" s="1">
        <v>42406</v>
      </c>
      <c r="B7214" t="s">
        <v>1902</v>
      </c>
      <c r="C7214" t="s">
        <v>13</v>
      </c>
      <c r="D7214" t="s">
        <v>1083</v>
      </c>
      <c r="E7214">
        <v>11.231999999999999</v>
      </c>
      <c r="F7214">
        <v>3</v>
      </c>
      <c r="G7214">
        <v>0.2</v>
      </c>
      <c r="H7214">
        <v>3.9312</v>
      </c>
      <c r="U7214">
        <v>3.9312</v>
      </c>
    </row>
    <row r="7215" spans="1:21" x14ac:dyDescent="0.35">
      <c r="A7215" t="s">
        <v>1567</v>
      </c>
      <c r="B7215" t="s">
        <v>1756</v>
      </c>
      <c r="C7215" t="s">
        <v>13</v>
      </c>
      <c r="D7215" t="s">
        <v>1816</v>
      </c>
      <c r="E7215">
        <v>14.73</v>
      </c>
      <c r="F7215">
        <v>3</v>
      </c>
      <c r="G7215">
        <v>0</v>
      </c>
      <c r="H7215">
        <v>7.2176999999999998</v>
      </c>
      <c r="U7215">
        <v>7.2176999999999998</v>
      </c>
    </row>
    <row r="7216" spans="1:21" x14ac:dyDescent="0.35">
      <c r="A7216" t="s">
        <v>1654</v>
      </c>
      <c r="B7216" t="s">
        <v>1140</v>
      </c>
      <c r="C7216" t="s">
        <v>35</v>
      </c>
      <c r="D7216" t="s">
        <v>1925</v>
      </c>
      <c r="E7216">
        <v>16.399999999999999</v>
      </c>
      <c r="F7216">
        <v>5</v>
      </c>
      <c r="G7216">
        <v>0</v>
      </c>
      <c r="H7216">
        <v>4.7560000000000002</v>
      </c>
      <c r="U7216">
        <v>4.7560000000000002</v>
      </c>
    </row>
    <row r="7217" spans="1:21" x14ac:dyDescent="0.35">
      <c r="A7217" t="s">
        <v>1654</v>
      </c>
      <c r="B7217" t="s">
        <v>1140</v>
      </c>
      <c r="C7217" t="s">
        <v>35</v>
      </c>
      <c r="D7217" t="s">
        <v>1452</v>
      </c>
      <c r="E7217">
        <v>25.92</v>
      </c>
      <c r="F7217">
        <v>4</v>
      </c>
      <c r="G7217">
        <v>0</v>
      </c>
      <c r="H7217">
        <v>12.441599999999999</v>
      </c>
      <c r="U7217">
        <v>12.441599999999999</v>
      </c>
    </row>
    <row r="7218" spans="1:21" x14ac:dyDescent="0.35">
      <c r="A7218" s="1">
        <v>42068</v>
      </c>
      <c r="B7218" t="s">
        <v>212</v>
      </c>
      <c r="C7218" t="s">
        <v>13</v>
      </c>
      <c r="D7218" t="s">
        <v>855</v>
      </c>
      <c r="E7218">
        <v>8.82</v>
      </c>
      <c r="F7218">
        <v>3</v>
      </c>
      <c r="G7218">
        <v>0</v>
      </c>
      <c r="H7218">
        <v>2.5577999999999999</v>
      </c>
      <c r="U7218">
        <v>2.5577999999999999</v>
      </c>
    </row>
    <row r="7219" spans="1:21" x14ac:dyDescent="0.35">
      <c r="A7219" s="1">
        <v>42068</v>
      </c>
      <c r="B7219" t="s">
        <v>212</v>
      </c>
      <c r="C7219" t="s">
        <v>13</v>
      </c>
      <c r="D7219" t="s">
        <v>2639</v>
      </c>
      <c r="E7219">
        <v>62.496000000000002</v>
      </c>
      <c r="F7219">
        <v>2</v>
      </c>
      <c r="G7219">
        <v>0.2</v>
      </c>
      <c r="H7219">
        <v>21.8736</v>
      </c>
      <c r="U7219">
        <v>21.8736</v>
      </c>
    </row>
    <row r="7220" spans="1:21" x14ac:dyDescent="0.35">
      <c r="A7220" s="1">
        <v>42068</v>
      </c>
      <c r="B7220" t="s">
        <v>212</v>
      </c>
      <c r="C7220" t="s">
        <v>13</v>
      </c>
      <c r="D7220" t="s">
        <v>225</v>
      </c>
      <c r="E7220">
        <v>339.96</v>
      </c>
      <c r="F7220">
        <v>4</v>
      </c>
      <c r="G7220">
        <v>0</v>
      </c>
      <c r="H7220">
        <v>122.3856</v>
      </c>
      <c r="U7220">
        <v>122.3856</v>
      </c>
    </row>
    <row r="7221" spans="1:21" x14ac:dyDescent="0.35">
      <c r="A7221" s="1">
        <v>42068</v>
      </c>
      <c r="B7221" t="s">
        <v>212</v>
      </c>
      <c r="C7221" t="s">
        <v>13</v>
      </c>
      <c r="D7221" t="s">
        <v>1047</v>
      </c>
      <c r="E7221">
        <v>49.567999999999998</v>
      </c>
      <c r="F7221">
        <v>2</v>
      </c>
      <c r="G7221">
        <v>0.2</v>
      </c>
      <c r="H7221">
        <v>17.348800000000001</v>
      </c>
      <c r="U7221">
        <v>17.348800000000001</v>
      </c>
    </row>
    <row r="7222" spans="1:21" x14ac:dyDescent="0.35">
      <c r="A7222" s="1">
        <v>42979</v>
      </c>
      <c r="B7222" t="s">
        <v>1586</v>
      </c>
      <c r="C7222" t="s">
        <v>55</v>
      </c>
      <c r="D7222" t="s">
        <v>1032</v>
      </c>
      <c r="E7222">
        <v>274.49099999999999</v>
      </c>
      <c r="F7222">
        <v>3</v>
      </c>
      <c r="G7222">
        <v>0.7</v>
      </c>
      <c r="H7222">
        <v>-228.74250000000001</v>
      </c>
      <c r="U7222">
        <v>-228.74250000000001</v>
      </c>
    </row>
    <row r="7223" spans="1:21" x14ac:dyDescent="0.35">
      <c r="A7223" t="s">
        <v>857</v>
      </c>
      <c r="B7223" t="s">
        <v>2037</v>
      </c>
      <c r="C7223" t="s">
        <v>55</v>
      </c>
      <c r="D7223" t="s">
        <v>2529</v>
      </c>
      <c r="E7223">
        <v>137.94</v>
      </c>
      <c r="F7223">
        <v>3</v>
      </c>
      <c r="G7223">
        <v>0</v>
      </c>
      <c r="H7223">
        <v>35.864400000000003</v>
      </c>
      <c r="U7223">
        <v>35.864400000000003</v>
      </c>
    </row>
    <row r="7224" spans="1:21" x14ac:dyDescent="0.35">
      <c r="A7224" s="1">
        <v>42775</v>
      </c>
      <c r="B7224" t="s">
        <v>1725</v>
      </c>
      <c r="C7224" t="s">
        <v>35</v>
      </c>
      <c r="D7224" t="s">
        <v>1172</v>
      </c>
      <c r="E7224">
        <v>40.68</v>
      </c>
      <c r="F7224">
        <v>3</v>
      </c>
      <c r="G7224">
        <v>0.2</v>
      </c>
      <c r="H7224">
        <v>-7.1189999999999998</v>
      </c>
      <c r="U7224">
        <v>-7.1189999999999998</v>
      </c>
    </row>
    <row r="7225" spans="1:21" x14ac:dyDescent="0.35">
      <c r="A7225" t="s">
        <v>884</v>
      </c>
      <c r="B7225" t="s">
        <v>754</v>
      </c>
      <c r="C7225" t="s">
        <v>13</v>
      </c>
      <c r="D7225" t="s">
        <v>88</v>
      </c>
      <c r="E7225">
        <v>110.376</v>
      </c>
      <c r="F7225">
        <v>3</v>
      </c>
      <c r="G7225">
        <v>0.2</v>
      </c>
      <c r="H7225">
        <v>12.417299999999999</v>
      </c>
      <c r="U7225">
        <v>12.417299999999999</v>
      </c>
    </row>
    <row r="7226" spans="1:21" x14ac:dyDescent="0.35">
      <c r="A7226" t="s">
        <v>884</v>
      </c>
      <c r="B7226" t="s">
        <v>754</v>
      </c>
      <c r="C7226" t="s">
        <v>13</v>
      </c>
      <c r="D7226" t="s">
        <v>2510</v>
      </c>
      <c r="E7226">
        <v>151.62</v>
      </c>
      <c r="F7226">
        <v>7</v>
      </c>
      <c r="G7226">
        <v>0</v>
      </c>
      <c r="H7226">
        <v>50.034599999999998</v>
      </c>
      <c r="U7226">
        <v>50.034599999999998</v>
      </c>
    </row>
    <row r="7227" spans="1:21" x14ac:dyDescent="0.35">
      <c r="A7227" t="s">
        <v>884</v>
      </c>
      <c r="B7227" t="s">
        <v>754</v>
      </c>
      <c r="C7227" t="s">
        <v>13</v>
      </c>
      <c r="D7227" t="s">
        <v>837</v>
      </c>
      <c r="E7227">
        <v>30.8</v>
      </c>
      <c r="F7227">
        <v>4</v>
      </c>
      <c r="G7227">
        <v>0</v>
      </c>
      <c r="H7227">
        <v>10.164</v>
      </c>
      <c r="U7227">
        <v>10.164</v>
      </c>
    </row>
    <row r="7228" spans="1:21" x14ac:dyDescent="0.35">
      <c r="A7228" t="s">
        <v>1932</v>
      </c>
      <c r="B7228" t="s">
        <v>95</v>
      </c>
      <c r="C7228" t="s">
        <v>55</v>
      </c>
      <c r="D7228" t="s">
        <v>1697</v>
      </c>
      <c r="E7228">
        <v>123.92</v>
      </c>
      <c r="F7228">
        <v>5</v>
      </c>
      <c r="G7228">
        <v>0.2</v>
      </c>
      <c r="H7228">
        <v>38.725000000000001</v>
      </c>
      <c r="U7228">
        <v>38.725000000000001</v>
      </c>
    </row>
    <row r="7229" spans="1:21" x14ac:dyDescent="0.35">
      <c r="A7229" t="s">
        <v>1932</v>
      </c>
      <c r="B7229" t="s">
        <v>95</v>
      </c>
      <c r="C7229" t="s">
        <v>55</v>
      </c>
      <c r="D7229" t="s">
        <v>1324</v>
      </c>
      <c r="E7229">
        <v>1319.8</v>
      </c>
      <c r="F7229">
        <v>5</v>
      </c>
      <c r="G7229">
        <v>0.2</v>
      </c>
      <c r="H7229">
        <v>214.4675</v>
      </c>
      <c r="U7229">
        <v>214.4675</v>
      </c>
    </row>
    <row r="7230" spans="1:21" x14ac:dyDescent="0.35">
      <c r="A7230" t="s">
        <v>2013</v>
      </c>
      <c r="B7230" t="s">
        <v>2504</v>
      </c>
      <c r="C7230" t="s">
        <v>13</v>
      </c>
      <c r="D7230" t="s">
        <v>835</v>
      </c>
      <c r="E7230">
        <v>89.712000000000003</v>
      </c>
      <c r="F7230">
        <v>6</v>
      </c>
      <c r="G7230">
        <v>0.2</v>
      </c>
      <c r="H7230">
        <v>30.277799999999999</v>
      </c>
      <c r="U7230">
        <v>30.277799999999999</v>
      </c>
    </row>
    <row r="7231" spans="1:21" x14ac:dyDescent="0.35">
      <c r="A7231" t="s">
        <v>2013</v>
      </c>
      <c r="B7231" t="s">
        <v>2504</v>
      </c>
      <c r="C7231" t="s">
        <v>13</v>
      </c>
      <c r="D7231" t="s">
        <v>453</v>
      </c>
      <c r="E7231">
        <v>22.83</v>
      </c>
      <c r="F7231">
        <v>3</v>
      </c>
      <c r="G7231">
        <v>0</v>
      </c>
      <c r="H7231">
        <v>10.7301</v>
      </c>
      <c r="U7231">
        <v>10.7301</v>
      </c>
    </row>
    <row r="7232" spans="1:21" x14ac:dyDescent="0.35">
      <c r="A7232" t="s">
        <v>1906</v>
      </c>
      <c r="B7232" t="s">
        <v>2124</v>
      </c>
      <c r="C7232" t="s">
        <v>55</v>
      </c>
      <c r="D7232" t="s">
        <v>1773</v>
      </c>
      <c r="E7232">
        <v>30.88</v>
      </c>
      <c r="F7232">
        <v>2</v>
      </c>
      <c r="G7232">
        <v>0</v>
      </c>
      <c r="H7232">
        <v>15.44</v>
      </c>
      <c r="U7232">
        <v>15.44</v>
      </c>
    </row>
    <row r="7233" spans="1:21" x14ac:dyDescent="0.35">
      <c r="A7233" t="s">
        <v>1906</v>
      </c>
      <c r="B7233" t="s">
        <v>2124</v>
      </c>
      <c r="C7233" t="s">
        <v>55</v>
      </c>
      <c r="D7233" t="s">
        <v>2649</v>
      </c>
      <c r="E7233">
        <v>465.16</v>
      </c>
      <c r="F7233">
        <v>2</v>
      </c>
      <c r="G7233">
        <v>0</v>
      </c>
      <c r="H7233">
        <v>120.94159999999999</v>
      </c>
      <c r="U7233">
        <v>120.94159999999999</v>
      </c>
    </row>
    <row r="7234" spans="1:21" x14ac:dyDescent="0.35">
      <c r="A7234" t="s">
        <v>1906</v>
      </c>
      <c r="B7234" t="s">
        <v>2124</v>
      </c>
      <c r="C7234" t="s">
        <v>55</v>
      </c>
      <c r="D7234" t="s">
        <v>1629</v>
      </c>
      <c r="E7234">
        <v>27.12</v>
      </c>
      <c r="F7234">
        <v>4</v>
      </c>
      <c r="G7234">
        <v>0</v>
      </c>
      <c r="H7234">
        <v>12.475199999999999</v>
      </c>
      <c r="U7234">
        <v>12.475199999999999</v>
      </c>
    </row>
    <row r="7235" spans="1:21" x14ac:dyDescent="0.35">
      <c r="A7235" s="1">
        <v>42585</v>
      </c>
      <c r="B7235" t="s">
        <v>2276</v>
      </c>
      <c r="C7235" t="s">
        <v>55</v>
      </c>
      <c r="D7235" t="s">
        <v>721</v>
      </c>
      <c r="E7235">
        <v>113.6</v>
      </c>
      <c r="F7235">
        <v>8</v>
      </c>
      <c r="G7235">
        <v>0</v>
      </c>
      <c r="H7235">
        <v>44.304000000000002</v>
      </c>
      <c r="U7235">
        <v>44.304000000000002</v>
      </c>
    </row>
    <row r="7236" spans="1:21" x14ac:dyDescent="0.35">
      <c r="A7236" s="1">
        <v>42585</v>
      </c>
      <c r="B7236" t="s">
        <v>2276</v>
      </c>
      <c r="C7236" t="s">
        <v>55</v>
      </c>
      <c r="D7236" t="s">
        <v>999</v>
      </c>
      <c r="E7236">
        <v>12.96</v>
      </c>
      <c r="F7236">
        <v>2</v>
      </c>
      <c r="G7236">
        <v>0</v>
      </c>
      <c r="H7236">
        <v>6.3503999999999996</v>
      </c>
      <c r="U7236">
        <v>6.3503999999999996</v>
      </c>
    </row>
    <row r="7237" spans="1:21" x14ac:dyDescent="0.35">
      <c r="A7237" s="1">
        <v>42585</v>
      </c>
      <c r="B7237" t="s">
        <v>2276</v>
      </c>
      <c r="C7237" t="s">
        <v>55</v>
      </c>
      <c r="D7237" t="s">
        <v>2082</v>
      </c>
      <c r="E7237">
        <v>69.456000000000003</v>
      </c>
      <c r="F7237">
        <v>2</v>
      </c>
      <c r="G7237">
        <v>0.2</v>
      </c>
      <c r="H7237">
        <v>22.5732</v>
      </c>
      <c r="U7237">
        <v>22.5732</v>
      </c>
    </row>
    <row r="7238" spans="1:21" x14ac:dyDescent="0.35">
      <c r="A7238" s="1">
        <v>41832</v>
      </c>
      <c r="B7238" t="s">
        <v>911</v>
      </c>
      <c r="C7238" t="s">
        <v>13</v>
      </c>
      <c r="D7238" t="s">
        <v>1155</v>
      </c>
      <c r="E7238">
        <v>8.64</v>
      </c>
      <c r="F7238">
        <v>3</v>
      </c>
      <c r="G7238">
        <v>0</v>
      </c>
      <c r="H7238">
        <v>2.4192</v>
      </c>
      <c r="U7238">
        <v>2.4192</v>
      </c>
    </row>
    <row r="7239" spans="1:21" x14ac:dyDescent="0.35">
      <c r="A7239" s="1">
        <v>42650</v>
      </c>
      <c r="B7239" t="s">
        <v>430</v>
      </c>
      <c r="C7239" t="s">
        <v>55</v>
      </c>
      <c r="D7239" t="s">
        <v>2687</v>
      </c>
      <c r="E7239">
        <v>341.99099999999999</v>
      </c>
      <c r="F7239">
        <v>3</v>
      </c>
      <c r="G7239">
        <v>0.7</v>
      </c>
      <c r="H7239">
        <v>-319.19159999999999</v>
      </c>
      <c r="U7239">
        <v>-319.19159999999999</v>
      </c>
    </row>
    <row r="7240" spans="1:21" x14ac:dyDescent="0.35">
      <c r="A7240" t="s">
        <v>1511</v>
      </c>
      <c r="B7240" t="s">
        <v>996</v>
      </c>
      <c r="C7240" t="s">
        <v>13</v>
      </c>
      <c r="D7240" t="s">
        <v>2258</v>
      </c>
      <c r="E7240">
        <v>43.96</v>
      </c>
      <c r="F7240">
        <v>7</v>
      </c>
      <c r="G7240">
        <v>0</v>
      </c>
      <c r="H7240">
        <v>18.463200000000001</v>
      </c>
      <c r="U7240">
        <v>18.463200000000001</v>
      </c>
    </row>
    <row r="7241" spans="1:21" x14ac:dyDescent="0.35">
      <c r="A7241" t="s">
        <v>1511</v>
      </c>
      <c r="B7241" t="s">
        <v>996</v>
      </c>
      <c r="C7241" t="s">
        <v>13</v>
      </c>
      <c r="D7241" t="s">
        <v>314</v>
      </c>
      <c r="E7241">
        <v>39.76</v>
      </c>
      <c r="F7241">
        <v>7</v>
      </c>
      <c r="G7241">
        <v>0</v>
      </c>
      <c r="H7241">
        <v>18.687200000000001</v>
      </c>
      <c r="U7241">
        <v>18.687200000000001</v>
      </c>
    </row>
    <row r="7242" spans="1:21" x14ac:dyDescent="0.35">
      <c r="A7242" t="s">
        <v>2170</v>
      </c>
      <c r="B7242" t="s">
        <v>1074</v>
      </c>
      <c r="C7242" t="s">
        <v>13</v>
      </c>
      <c r="D7242" t="s">
        <v>2274</v>
      </c>
      <c r="E7242">
        <v>66.36</v>
      </c>
      <c r="F7242">
        <v>7</v>
      </c>
      <c r="G7242">
        <v>0</v>
      </c>
      <c r="H7242">
        <v>26.544</v>
      </c>
      <c r="U7242">
        <v>26.544</v>
      </c>
    </row>
    <row r="7243" spans="1:21" x14ac:dyDescent="0.35">
      <c r="A7243" t="s">
        <v>2170</v>
      </c>
      <c r="B7243" t="s">
        <v>1074</v>
      </c>
      <c r="C7243" t="s">
        <v>13</v>
      </c>
      <c r="D7243" t="s">
        <v>1093</v>
      </c>
      <c r="E7243">
        <v>92.88</v>
      </c>
      <c r="F7243">
        <v>6</v>
      </c>
      <c r="G7243">
        <v>0.2</v>
      </c>
      <c r="H7243">
        <v>30.186</v>
      </c>
      <c r="U7243">
        <v>30.186</v>
      </c>
    </row>
    <row r="7244" spans="1:21" x14ac:dyDescent="0.35">
      <c r="A7244" t="s">
        <v>2170</v>
      </c>
      <c r="B7244" t="s">
        <v>1074</v>
      </c>
      <c r="C7244" t="s">
        <v>13</v>
      </c>
      <c r="D7244" t="s">
        <v>2592</v>
      </c>
      <c r="E7244">
        <v>24.14</v>
      </c>
      <c r="F7244">
        <v>2</v>
      </c>
      <c r="G7244">
        <v>0</v>
      </c>
      <c r="H7244">
        <v>7.9661999999999997</v>
      </c>
      <c r="U7244">
        <v>7.9661999999999997</v>
      </c>
    </row>
    <row r="7245" spans="1:21" x14ac:dyDescent="0.35">
      <c r="A7245" t="s">
        <v>1900</v>
      </c>
      <c r="B7245" t="s">
        <v>2051</v>
      </c>
      <c r="C7245" t="s">
        <v>55</v>
      </c>
      <c r="D7245" t="s">
        <v>893</v>
      </c>
      <c r="E7245">
        <v>4416.174</v>
      </c>
      <c r="F7245">
        <v>9</v>
      </c>
      <c r="G7245">
        <v>0.3</v>
      </c>
      <c r="H7245">
        <v>-630.88199999999995</v>
      </c>
      <c r="U7245">
        <v>-630.88199999999995</v>
      </c>
    </row>
    <row r="7246" spans="1:21" x14ac:dyDescent="0.35">
      <c r="A7246" t="s">
        <v>2245</v>
      </c>
      <c r="B7246" t="s">
        <v>875</v>
      </c>
      <c r="C7246" t="s">
        <v>13</v>
      </c>
      <c r="D7246" t="s">
        <v>2513</v>
      </c>
      <c r="E7246">
        <v>49.56</v>
      </c>
      <c r="F7246">
        <v>7</v>
      </c>
      <c r="G7246">
        <v>0</v>
      </c>
      <c r="H7246">
        <v>18.832799999999999</v>
      </c>
      <c r="U7246">
        <v>18.832799999999999</v>
      </c>
    </row>
    <row r="7247" spans="1:21" x14ac:dyDescent="0.35">
      <c r="A7247" s="1">
        <v>42980</v>
      </c>
      <c r="B7247" t="s">
        <v>2185</v>
      </c>
      <c r="C7247" t="s">
        <v>13</v>
      </c>
      <c r="D7247" t="s">
        <v>1716</v>
      </c>
      <c r="E7247">
        <v>354.9</v>
      </c>
      <c r="F7247">
        <v>5</v>
      </c>
      <c r="G7247">
        <v>0</v>
      </c>
      <c r="H7247">
        <v>17.745000000000001</v>
      </c>
      <c r="U7247">
        <v>17.745000000000001</v>
      </c>
    </row>
    <row r="7248" spans="1:21" x14ac:dyDescent="0.35">
      <c r="A7248" s="1">
        <v>41701</v>
      </c>
      <c r="B7248" t="s">
        <v>1232</v>
      </c>
      <c r="C7248" t="s">
        <v>55</v>
      </c>
      <c r="D7248" t="s">
        <v>2589</v>
      </c>
      <c r="E7248">
        <v>15.12</v>
      </c>
      <c r="F7248">
        <v>3</v>
      </c>
      <c r="G7248">
        <v>0.2</v>
      </c>
      <c r="H7248">
        <v>4.9139999999999997</v>
      </c>
      <c r="U7248">
        <v>4.9139999999999997</v>
      </c>
    </row>
    <row r="7249" spans="1:21" x14ac:dyDescent="0.35">
      <c r="A7249" s="1">
        <v>41701</v>
      </c>
      <c r="B7249" t="s">
        <v>1232</v>
      </c>
      <c r="C7249" t="s">
        <v>55</v>
      </c>
      <c r="D7249" t="s">
        <v>699</v>
      </c>
      <c r="E7249">
        <v>302.45</v>
      </c>
      <c r="F7249">
        <v>5</v>
      </c>
      <c r="G7249">
        <v>0.5</v>
      </c>
      <c r="H7249">
        <v>-199.61699999999999</v>
      </c>
      <c r="U7249">
        <v>-199.61699999999999</v>
      </c>
    </row>
    <row r="7250" spans="1:21" x14ac:dyDescent="0.35">
      <c r="A7250" s="1">
        <v>41701</v>
      </c>
      <c r="B7250" t="s">
        <v>1232</v>
      </c>
      <c r="C7250" t="s">
        <v>55</v>
      </c>
      <c r="D7250" t="s">
        <v>1234</v>
      </c>
      <c r="E7250">
        <v>44.671999999999997</v>
      </c>
      <c r="F7250">
        <v>8</v>
      </c>
      <c r="G7250">
        <v>0.2</v>
      </c>
      <c r="H7250">
        <v>-10.0512</v>
      </c>
      <c r="U7250">
        <v>-10.0512</v>
      </c>
    </row>
    <row r="7251" spans="1:21" x14ac:dyDescent="0.35">
      <c r="A7251" s="1">
        <v>42100</v>
      </c>
      <c r="B7251" t="s">
        <v>2264</v>
      </c>
      <c r="C7251" t="s">
        <v>13</v>
      </c>
      <c r="D7251" t="s">
        <v>2426</v>
      </c>
      <c r="E7251">
        <v>119.98</v>
      </c>
      <c r="F7251">
        <v>2</v>
      </c>
      <c r="G7251">
        <v>0</v>
      </c>
      <c r="H7251">
        <v>35.994</v>
      </c>
      <c r="U7251">
        <v>35.994</v>
      </c>
    </row>
    <row r="7252" spans="1:21" x14ac:dyDescent="0.35">
      <c r="A7252" s="1">
        <v>42100</v>
      </c>
      <c r="B7252" t="s">
        <v>2264</v>
      </c>
      <c r="C7252" t="s">
        <v>13</v>
      </c>
      <c r="D7252" t="s">
        <v>2602</v>
      </c>
      <c r="E7252">
        <v>989.97</v>
      </c>
      <c r="F7252">
        <v>3</v>
      </c>
      <c r="G7252">
        <v>0</v>
      </c>
      <c r="H7252">
        <v>395.988</v>
      </c>
      <c r="U7252">
        <v>395.988</v>
      </c>
    </row>
    <row r="7253" spans="1:21" x14ac:dyDescent="0.35">
      <c r="A7253" t="s">
        <v>1088</v>
      </c>
      <c r="B7253" t="s">
        <v>2065</v>
      </c>
      <c r="C7253" t="s">
        <v>8</v>
      </c>
      <c r="D7253" t="s">
        <v>2688</v>
      </c>
      <c r="E7253">
        <v>9.2159999999999993</v>
      </c>
      <c r="F7253">
        <v>4</v>
      </c>
      <c r="G7253">
        <v>0.2</v>
      </c>
      <c r="H7253">
        <v>3.3408000000000002</v>
      </c>
      <c r="U7253">
        <v>3.3408000000000002</v>
      </c>
    </row>
    <row r="7254" spans="1:21" x14ac:dyDescent="0.35">
      <c r="A7254" s="1">
        <v>42713</v>
      </c>
      <c r="B7254" t="s">
        <v>1072</v>
      </c>
      <c r="C7254" t="s">
        <v>35</v>
      </c>
      <c r="D7254" t="s">
        <v>2026</v>
      </c>
      <c r="E7254">
        <v>68.52</v>
      </c>
      <c r="F7254">
        <v>3</v>
      </c>
      <c r="G7254">
        <v>0</v>
      </c>
      <c r="H7254">
        <v>31.519200000000001</v>
      </c>
      <c r="U7254">
        <v>31.519200000000001</v>
      </c>
    </row>
    <row r="7255" spans="1:21" x14ac:dyDescent="0.35">
      <c r="A7255" t="s">
        <v>838</v>
      </c>
      <c r="B7255" t="s">
        <v>2268</v>
      </c>
      <c r="C7255" t="s">
        <v>35</v>
      </c>
      <c r="D7255" t="s">
        <v>337</v>
      </c>
      <c r="E7255">
        <v>364.74</v>
      </c>
      <c r="F7255">
        <v>3</v>
      </c>
      <c r="G7255">
        <v>0</v>
      </c>
      <c r="H7255">
        <v>109.422</v>
      </c>
      <c r="U7255">
        <v>109.422</v>
      </c>
    </row>
    <row r="7256" spans="1:21" x14ac:dyDescent="0.35">
      <c r="A7256" t="s">
        <v>838</v>
      </c>
      <c r="B7256" t="s">
        <v>2268</v>
      </c>
      <c r="C7256" t="s">
        <v>35</v>
      </c>
      <c r="D7256" t="s">
        <v>1895</v>
      </c>
      <c r="E7256">
        <v>47.4</v>
      </c>
      <c r="F7256">
        <v>5</v>
      </c>
      <c r="G7256">
        <v>0</v>
      </c>
      <c r="H7256">
        <v>21.33</v>
      </c>
      <c r="U7256">
        <v>21.33</v>
      </c>
    </row>
    <row r="7257" spans="1:21" x14ac:dyDescent="0.35">
      <c r="A7257" t="s">
        <v>838</v>
      </c>
      <c r="B7257" t="s">
        <v>2268</v>
      </c>
      <c r="C7257" t="s">
        <v>35</v>
      </c>
      <c r="D7257" t="s">
        <v>502</v>
      </c>
      <c r="E7257">
        <v>49.76</v>
      </c>
      <c r="F7257">
        <v>4</v>
      </c>
      <c r="G7257">
        <v>0</v>
      </c>
      <c r="H7257">
        <v>13.9328</v>
      </c>
      <c r="U7257">
        <v>13.9328</v>
      </c>
    </row>
    <row r="7258" spans="1:21" x14ac:dyDescent="0.35">
      <c r="A7258" t="s">
        <v>838</v>
      </c>
      <c r="B7258" t="s">
        <v>2268</v>
      </c>
      <c r="C7258" t="s">
        <v>35</v>
      </c>
      <c r="D7258" t="s">
        <v>618</v>
      </c>
      <c r="E7258">
        <v>5.56</v>
      </c>
      <c r="F7258">
        <v>2</v>
      </c>
      <c r="G7258">
        <v>0</v>
      </c>
      <c r="H7258">
        <v>1.4456</v>
      </c>
      <c r="U7258">
        <v>1.4456</v>
      </c>
    </row>
    <row r="7259" spans="1:21" x14ac:dyDescent="0.35">
      <c r="A7259" t="s">
        <v>838</v>
      </c>
      <c r="B7259" t="s">
        <v>2268</v>
      </c>
      <c r="C7259" t="s">
        <v>35</v>
      </c>
      <c r="D7259" t="s">
        <v>1532</v>
      </c>
      <c r="E7259">
        <v>629.1</v>
      </c>
      <c r="F7259">
        <v>6</v>
      </c>
      <c r="G7259">
        <v>0</v>
      </c>
      <c r="H7259">
        <v>301.96800000000002</v>
      </c>
      <c r="U7259">
        <v>301.96800000000002</v>
      </c>
    </row>
    <row r="7260" spans="1:21" x14ac:dyDescent="0.35">
      <c r="A7260" t="s">
        <v>838</v>
      </c>
      <c r="B7260" t="s">
        <v>2268</v>
      </c>
      <c r="C7260" t="s">
        <v>35</v>
      </c>
      <c r="D7260" t="s">
        <v>275</v>
      </c>
      <c r="E7260">
        <v>14.7</v>
      </c>
      <c r="F7260">
        <v>5</v>
      </c>
      <c r="G7260">
        <v>0</v>
      </c>
      <c r="H7260">
        <v>3.9689999999999999</v>
      </c>
      <c r="U7260">
        <v>3.9689999999999999</v>
      </c>
    </row>
    <row r="7261" spans="1:21" x14ac:dyDescent="0.35">
      <c r="A7261" t="s">
        <v>838</v>
      </c>
      <c r="B7261" t="s">
        <v>2268</v>
      </c>
      <c r="C7261" t="s">
        <v>35</v>
      </c>
      <c r="D7261" t="s">
        <v>1612</v>
      </c>
      <c r="E7261">
        <v>45.36</v>
      </c>
      <c r="F7261">
        <v>7</v>
      </c>
      <c r="G7261">
        <v>0</v>
      </c>
      <c r="H7261">
        <v>21.7728</v>
      </c>
      <c r="U7261">
        <v>21.7728</v>
      </c>
    </row>
    <row r="7262" spans="1:21" x14ac:dyDescent="0.35">
      <c r="A7262" t="s">
        <v>838</v>
      </c>
      <c r="B7262" t="s">
        <v>2268</v>
      </c>
      <c r="C7262" t="s">
        <v>35</v>
      </c>
      <c r="D7262" t="s">
        <v>1747</v>
      </c>
      <c r="E7262">
        <v>125.99</v>
      </c>
      <c r="F7262">
        <v>1</v>
      </c>
      <c r="G7262">
        <v>0</v>
      </c>
      <c r="H7262">
        <v>35.277200000000001</v>
      </c>
      <c r="U7262">
        <v>35.277200000000001</v>
      </c>
    </row>
    <row r="7263" spans="1:21" x14ac:dyDescent="0.35">
      <c r="A7263" s="1">
        <v>43014</v>
      </c>
      <c r="B7263" t="s">
        <v>1562</v>
      </c>
      <c r="C7263" t="s">
        <v>13</v>
      </c>
      <c r="D7263" t="s">
        <v>2564</v>
      </c>
      <c r="E7263">
        <v>14.7</v>
      </c>
      <c r="F7263">
        <v>7</v>
      </c>
      <c r="G7263">
        <v>0</v>
      </c>
      <c r="H7263">
        <v>4.1159999999999997</v>
      </c>
      <c r="U7263">
        <v>4.1159999999999997</v>
      </c>
    </row>
    <row r="7264" spans="1:21" x14ac:dyDescent="0.35">
      <c r="A7264" t="s">
        <v>1889</v>
      </c>
      <c r="B7264" t="s">
        <v>1746</v>
      </c>
      <c r="C7264" t="s">
        <v>55</v>
      </c>
      <c r="D7264" t="s">
        <v>109</v>
      </c>
      <c r="E7264">
        <v>32.700000000000003</v>
      </c>
      <c r="F7264">
        <v>5</v>
      </c>
      <c r="G7264">
        <v>0.4</v>
      </c>
      <c r="H7264">
        <v>-6.54</v>
      </c>
      <c r="U7264">
        <v>-6.54</v>
      </c>
    </row>
    <row r="7265" spans="1:21" x14ac:dyDescent="0.35">
      <c r="A7265" t="s">
        <v>1889</v>
      </c>
      <c r="B7265" t="s">
        <v>1746</v>
      </c>
      <c r="C7265" t="s">
        <v>55</v>
      </c>
      <c r="D7265" t="s">
        <v>2506</v>
      </c>
      <c r="E7265">
        <v>31.68</v>
      </c>
      <c r="F7265">
        <v>4</v>
      </c>
      <c r="G7265">
        <v>0.2</v>
      </c>
      <c r="H7265">
        <v>11.087999999999999</v>
      </c>
      <c r="U7265">
        <v>11.087999999999999</v>
      </c>
    </row>
    <row r="7266" spans="1:21" x14ac:dyDescent="0.35">
      <c r="A7266" t="s">
        <v>810</v>
      </c>
      <c r="B7266" t="s">
        <v>178</v>
      </c>
      <c r="C7266" t="s">
        <v>8</v>
      </c>
      <c r="D7266" t="s">
        <v>2325</v>
      </c>
      <c r="E7266">
        <v>181.86</v>
      </c>
      <c r="F7266">
        <v>7</v>
      </c>
      <c r="G7266">
        <v>0</v>
      </c>
      <c r="H7266">
        <v>50.9208</v>
      </c>
      <c r="U7266">
        <v>50.9208</v>
      </c>
    </row>
    <row r="7267" spans="1:21" x14ac:dyDescent="0.35">
      <c r="A7267" t="s">
        <v>1721</v>
      </c>
      <c r="B7267" t="s">
        <v>1626</v>
      </c>
      <c r="C7267" t="s">
        <v>35</v>
      </c>
      <c r="D7267" t="s">
        <v>1525</v>
      </c>
      <c r="E7267">
        <v>155.37200000000001</v>
      </c>
      <c r="F7267">
        <v>2</v>
      </c>
      <c r="G7267">
        <v>0.3</v>
      </c>
      <c r="H7267">
        <v>-35.513599999999997</v>
      </c>
      <c r="U7267">
        <v>-35.513599999999997</v>
      </c>
    </row>
    <row r="7268" spans="1:21" x14ac:dyDescent="0.35">
      <c r="A7268" t="s">
        <v>2103</v>
      </c>
      <c r="B7268" t="s">
        <v>2338</v>
      </c>
      <c r="C7268" t="s">
        <v>8</v>
      </c>
      <c r="D7268" t="s">
        <v>961</v>
      </c>
      <c r="E7268">
        <v>13.428000000000001</v>
      </c>
      <c r="F7268">
        <v>3</v>
      </c>
      <c r="G7268">
        <v>0.7</v>
      </c>
      <c r="H7268">
        <v>-11.19</v>
      </c>
      <c r="U7268">
        <v>-11.19</v>
      </c>
    </row>
    <row r="7269" spans="1:21" x14ac:dyDescent="0.35">
      <c r="A7269" t="s">
        <v>2103</v>
      </c>
      <c r="B7269" t="s">
        <v>2338</v>
      </c>
      <c r="C7269" t="s">
        <v>8</v>
      </c>
      <c r="D7269" t="s">
        <v>1682</v>
      </c>
      <c r="E7269">
        <v>67.135999999999996</v>
      </c>
      <c r="F7269">
        <v>4</v>
      </c>
      <c r="G7269">
        <v>0.2</v>
      </c>
      <c r="H7269">
        <v>-0.83919999999999995</v>
      </c>
      <c r="U7269">
        <v>-0.83919999999999995</v>
      </c>
    </row>
    <row r="7270" spans="1:21" x14ac:dyDescent="0.35">
      <c r="A7270" t="s">
        <v>2689</v>
      </c>
      <c r="B7270" t="s">
        <v>679</v>
      </c>
      <c r="C7270" t="s">
        <v>8</v>
      </c>
      <c r="D7270" t="s">
        <v>2404</v>
      </c>
      <c r="E7270">
        <v>89.567999999999998</v>
      </c>
      <c r="F7270">
        <v>2</v>
      </c>
      <c r="G7270">
        <v>0.2</v>
      </c>
      <c r="H7270">
        <v>32.468400000000003</v>
      </c>
      <c r="U7270">
        <v>32.468400000000003</v>
      </c>
    </row>
    <row r="7271" spans="1:21" x14ac:dyDescent="0.35">
      <c r="A7271" t="s">
        <v>2689</v>
      </c>
      <c r="B7271" t="s">
        <v>679</v>
      </c>
      <c r="C7271" t="s">
        <v>8</v>
      </c>
      <c r="D7271" t="s">
        <v>2690</v>
      </c>
      <c r="E7271">
        <v>315.77600000000001</v>
      </c>
      <c r="F7271">
        <v>8</v>
      </c>
      <c r="G7271">
        <v>0.2</v>
      </c>
      <c r="H7271">
        <v>31.5776</v>
      </c>
      <c r="U7271">
        <v>31.5776</v>
      </c>
    </row>
    <row r="7272" spans="1:21" x14ac:dyDescent="0.35">
      <c r="A7272" t="s">
        <v>2540</v>
      </c>
      <c r="B7272" t="s">
        <v>1652</v>
      </c>
      <c r="C7272" t="s">
        <v>13</v>
      </c>
      <c r="D7272" t="s">
        <v>1868</v>
      </c>
      <c r="E7272">
        <v>273.666</v>
      </c>
      <c r="F7272">
        <v>2</v>
      </c>
      <c r="G7272">
        <v>0.15</v>
      </c>
      <c r="H7272">
        <v>-12.878399999999999</v>
      </c>
      <c r="U7272">
        <v>-12.878399999999999</v>
      </c>
    </row>
    <row r="7273" spans="1:21" x14ac:dyDescent="0.35">
      <c r="A7273" t="s">
        <v>2540</v>
      </c>
      <c r="B7273" t="s">
        <v>1652</v>
      </c>
      <c r="C7273" t="s">
        <v>13</v>
      </c>
      <c r="D7273" t="s">
        <v>2059</v>
      </c>
      <c r="E7273">
        <v>17.48</v>
      </c>
      <c r="F7273">
        <v>4</v>
      </c>
      <c r="G7273">
        <v>0</v>
      </c>
      <c r="H7273">
        <v>4.5448000000000004</v>
      </c>
      <c r="U7273">
        <v>4.5448000000000004</v>
      </c>
    </row>
    <row r="7274" spans="1:21" x14ac:dyDescent="0.35">
      <c r="A7274" s="1">
        <v>42653</v>
      </c>
      <c r="B7274" t="s">
        <v>1541</v>
      </c>
      <c r="C7274" t="s">
        <v>8</v>
      </c>
      <c r="D7274" t="s">
        <v>927</v>
      </c>
      <c r="E7274">
        <v>20.608000000000001</v>
      </c>
      <c r="F7274">
        <v>2</v>
      </c>
      <c r="G7274">
        <v>0.2</v>
      </c>
      <c r="H7274">
        <v>-4.3792</v>
      </c>
      <c r="U7274">
        <v>-4.3792</v>
      </c>
    </row>
    <row r="7275" spans="1:21" x14ac:dyDescent="0.35">
      <c r="A7275" s="1">
        <v>42653</v>
      </c>
      <c r="B7275" t="s">
        <v>1541</v>
      </c>
      <c r="C7275" t="s">
        <v>8</v>
      </c>
      <c r="D7275" t="s">
        <v>492</v>
      </c>
      <c r="E7275">
        <v>4.0949999999999998</v>
      </c>
      <c r="F7275">
        <v>3</v>
      </c>
      <c r="G7275">
        <v>0.7</v>
      </c>
      <c r="H7275">
        <v>-2.73</v>
      </c>
      <c r="U7275">
        <v>-2.73</v>
      </c>
    </row>
    <row r="7276" spans="1:21" x14ac:dyDescent="0.35">
      <c r="A7276" t="s">
        <v>210</v>
      </c>
      <c r="B7276" t="s">
        <v>2014</v>
      </c>
      <c r="C7276" t="s">
        <v>13</v>
      </c>
      <c r="D7276" t="s">
        <v>2314</v>
      </c>
      <c r="E7276">
        <v>339.96</v>
      </c>
      <c r="F7276">
        <v>5</v>
      </c>
      <c r="G7276">
        <v>0.2</v>
      </c>
      <c r="H7276">
        <v>42.494999999999997</v>
      </c>
      <c r="U7276">
        <v>42.494999999999997</v>
      </c>
    </row>
    <row r="7277" spans="1:21" x14ac:dyDescent="0.35">
      <c r="A7277" t="s">
        <v>210</v>
      </c>
      <c r="B7277" t="s">
        <v>2014</v>
      </c>
      <c r="C7277" t="s">
        <v>13</v>
      </c>
      <c r="D7277" t="s">
        <v>1151</v>
      </c>
      <c r="E7277">
        <v>63.98</v>
      </c>
      <c r="F7277">
        <v>7</v>
      </c>
      <c r="G7277">
        <v>0</v>
      </c>
      <c r="H7277">
        <v>21.7532</v>
      </c>
      <c r="U7277">
        <v>21.7532</v>
      </c>
    </row>
    <row r="7278" spans="1:21" x14ac:dyDescent="0.35">
      <c r="A7278" s="1">
        <v>41681</v>
      </c>
      <c r="B7278" t="s">
        <v>1604</v>
      </c>
      <c r="C7278" t="s">
        <v>8</v>
      </c>
      <c r="D7278" t="s">
        <v>2109</v>
      </c>
      <c r="E7278">
        <v>799.92</v>
      </c>
      <c r="F7278">
        <v>10</v>
      </c>
      <c r="G7278">
        <v>0.2</v>
      </c>
      <c r="H7278">
        <v>239.976</v>
      </c>
      <c r="U7278">
        <v>239.976</v>
      </c>
    </row>
    <row r="7279" spans="1:21" x14ac:dyDescent="0.35">
      <c r="A7279" t="s">
        <v>797</v>
      </c>
      <c r="B7279" t="s">
        <v>1547</v>
      </c>
      <c r="C7279" t="s">
        <v>13</v>
      </c>
      <c r="D7279" t="s">
        <v>2677</v>
      </c>
      <c r="E7279">
        <v>35.984000000000002</v>
      </c>
      <c r="F7279">
        <v>2</v>
      </c>
      <c r="G7279">
        <v>0.2</v>
      </c>
      <c r="H7279">
        <v>4.4980000000000002</v>
      </c>
      <c r="U7279">
        <v>4.4980000000000002</v>
      </c>
    </row>
    <row r="7280" spans="1:21" x14ac:dyDescent="0.35">
      <c r="A7280" t="s">
        <v>797</v>
      </c>
      <c r="B7280" t="s">
        <v>1547</v>
      </c>
      <c r="C7280" t="s">
        <v>13</v>
      </c>
      <c r="D7280" t="s">
        <v>2066</v>
      </c>
      <c r="E7280">
        <v>389.97</v>
      </c>
      <c r="F7280">
        <v>3</v>
      </c>
      <c r="G7280">
        <v>0</v>
      </c>
      <c r="H7280">
        <v>132.5898</v>
      </c>
      <c r="U7280">
        <v>132.5898</v>
      </c>
    </row>
    <row r="7281" spans="1:21" x14ac:dyDescent="0.35">
      <c r="A7281" t="s">
        <v>825</v>
      </c>
      <c r="B7281" t="s">
        <v>1017</v>
      </c>
      <c r="C7281" t="s">
        <v>13</v>
      </c>
      <c r="D7281" t="s">
        <v>867</v>
      </c>
      <c r="E7281">
        <v>185.52799999999999</v>
      </c>
      <c r="F7281">
        <v>7</v>
      </c>
      <c r="G7281">
        <v>0.2</v>
      </c>
      <c r="H7281">
        <v>48.701099999999997</v>
      </c>
      <c r="U7281">
        <v>48.701099999999997</v>
      </c>
    </row>
    <row r="7282" spans="1:21" x14ac:dyDescent="0.35">
      <c r="A7282" t="s">
        <v>2216</v>
      </c>
      <c r="B7282" t="s">
        <v>2118</v>
      </c>
      <c r="C7282" t="s">
        <v>55</v>
      </c>
      <c r="D7282" t="s">
        <v>849</v>
      </c>
      <c r="E7282">
        <v>2541.98</v>
      </c>
      <c r="F7282">
        <v>2</v>
      </c>
      <c r="G7282">
        <v>0</v>
      </c>
      <c r="H7282">
        <v>1270.99</v>
      </c>
      <c r="U7282">
        <v>1270.99</v>
      </c>
    </row>
    <row r="7283" spans="1:21" x14ac:dyDescent="0.35">
      <c r="A7283" t="s">
        <v>1368</v>
      </c>
      <c r="B7283" t="s">
        <v>2319</v>
      </c>
      <c r="C7283" t="s">
        <v>13</v>
      </c>
      <c r="D7283" t="s">
        <v>417</v>
      </c>
      <c r="E7283">
        <v>599.98500000000001</v>
      </c>
      <c r="F7283">
        <v>5</v>
      </c>
      <c r="G7283">
        <v>0.7</v>
      </c>
      <c r="H7283">
        <v>-479.988</v>
      </c>
      <c r="U7283">
        <v>-479.988</v>
      </c>
    </row>
    <row r="7284" spans="1:21" x14ac:dyDescent="0.35">
      <c r="A7284" t="s">
        <v>1023</v>
      </c>
      <c r="B7284" t="s">
        <v>1132</v>
      </c>
      <c r="C7284" t="s">
        <v>35</v>
      </c>
      <c r="D7284" t="s">
        <v>1485</v>
      </c>
      <c r="E7284">
        <v>3.036</v>
      </c>
      <c r="F7284">
        <v>3</v>
      </c>
      <c r="G7284">
        <v>0.8</v>
      </c>
      <c r="H7284">
        <v>-5.0094000000000003</v>
      </c>
      <c r="U7284">
        <v>-5.0094000000000003</v>
      </c>
    </row>
    <row r="7285" spans="1:21" x14ac:dyDescent="0.35">
      <c r="A7285" s="1">
        <v>42987</v>
      </c>
      <c r="B7285" t="s">
        <v>390</v>
      </c>
      <c r="C7285" t="s">
        <v>55</v>
      </c>
      <c r="D7285" t="s">
        <v>600</v>
      </c>
      <c r="E7285">
        <v>25.92</v>
      </c>
      <c r="F7285">
        <v>5</v>
      </c>
      <c r="G7285">
        <v>0.2</v>
      </c>
      <c r="H7285">
        <v>3.8879999999999999</v>
      </c>
      <c r="U7285">
        <v>3.8879999999999999</v>
      </c>
    </row>
    <row r="7286" spans="1:21" x14ac:dyDescent="0.35">
      <c r="A7286" s="1">
        <v>42987</v>
      </c>
      <c r="B7286" t="s">
        <v>390</v>
      </c>
      <c r="C7286" t="s">
        <v>55</v>
      </c>
      <c r="D7286" t="s">
        <v>889</v>
      </c>
      <c r="E7286">
        <v>66.111999999999995</v>
      </c>
      <c r="F7286">
        <v>2</v>
      </c>
      <c r="G7286">
        <v>0.2</v>
      </c>
      <c r="H7286">
        <v>-9.0904000000000007</v>
      </c>
      <c r="U7286">
        <v>-9.0904000000000007</v>
      </c>
    </row>
    <row r="7287" spans="1:21" x14ac:dyDescent="0.35">
      <c r="A7287" t="s">
        <v>1235</v>
      </c>
      <c r="B7287" t="s">
        <v>1203</v>
      </c>
      <c r="C7287" t="s">
        <v>13</v>
      </c>
      <c r="D7287" t="s">
        <v>1030</v>
      </c>
      <c r="E7287">
        <v>46.36</v>
      </c>
      <c r="F7287">
        <v>4</v>
      </c>
      <c r="G7287">
        <v>0</v>
      </c>
      <c r="H7287">
        <v>15.2988</v>
      </c>
      <c r="U7287">
        <v>15.2988</v>
      </c>
    </row>
    <row r="7288" spans="1:21" x14ac:dyDescent="0.35">
      <c r="A7288" t="s">
        <v>105</v>
      </c>
      <c r="B7288" t="s">
        <v>2496</v>
      </c>
      <c r="C7288" t="s">
        <v>35</v>
      </c>
      <c r="D7288" t="s">
        <v>2546</v>
      </c>
      <c r="E7288">
        <v>6.9</v>
      </c>
      <c r="F7288">
        <v>1</v>
      </c>
      <c r="G7288">
        <v>0</v>
      </c>
      <c r="H7288">
        <v>0.55200000000000005</v>
      </c>
      <c r="U7288">
        <v>0.55200000000000005</v>
      </c>
    </row>
    <row r="7289" spans="1:21" x14ac:dyDescent="0.35">
      <c r="A7289" t="s">
        <v>105</v>
      </c>
      <c r="B7289" t="s">
        <v>2496</v>
      </c>
      <c r="C7289" t="s">
        <v>35</v>
      </c>
      <c r="D7289" t="s">
        <v>2187</v>
      </c>
      <c r="E7289">
        <v>57.69</v>
      </c>
      <c r="F7289">
        <v>3</v>
      </c>
      <c r="G7289">
        <v>0</v>
      </c>
      <c r="H7289">
        <v>23.652899999999999</v>
      </c>
      <c r="U7289">
        <v>23.652899999999999</v>
      </c>
    </row>
    <row r="7290" spans="1:21" x14ac:dyDescent="0.35">
      <c r="A7290" s="1">
        <v>41679</v>
      </c>
      <c r="B7290" t="s">
        <v>553</v>
      </c>
      <c r="C7290" t="s">
        <v>35</v>
      </c>
      <c r="D7290" t="s">
        <v>2180</v>
      </c>
      <c r="E7290">
        <v>559.71</v>
      </c>
      <c r="F7290">
        <v>3</v>
      </c>
      <c r="G7290">
        <v>0.4</v>
      </c>
      <c r="H7290">
        <v>-121.2705</v>
      </c>
      <c r="U7290">
        <v>-121.2705</v>
      </c>
    </row>
    <row r="7291" spans="1:21" x14ac:dyDescent="0.35">
      <c r="A7291" t="s">
        <v>2255</v>
      </c>
      <c r="B7291" t="s">
        <v>242</v>
      </c>
      <c r="C7291" t="s">
        <v>13</v>
      </c>
      <c r="D7291" t="s">
        <v>573</v>
      </c>
      <c r="E7291">
        <v>305.01</v>
      </c>
      <c r="F7291">
        <v>9</v>
      </c>
      <c r="G7291">
        <v>0</v>
      </c>
      <c r="H7291">
        <v>76.252499999999998</v>
      </c>
      <c r="U7291">
        <v>76.252499999999998</v>
      </c>
    </row>
    <row r="7292" spans="1:21" x14ac:dyDescent="0.35">
      <c r="A7292" t="s">
        <v>2255</v>
      </c>
      <c r="B7292" t="s">
        <v>242</v>
      </c>
      <c r="C7292" t="s">
        <v>13</v>
      </c>
      <c r="D7292" t="s">
        <v>270</v>
      </c>
      <c r="E7292">
        <v>50.783999999999999</v>
      </c>
      <c r="F7292">
        <v>2</v>
      </c>
      <c r="G7292">
        <v>0.2</v>
      </c>
      <c r="H7292">
        <v>17.7744</v>
      </c>
      <c r="U7292">
        <v>17.7744</v>
      </c>
    </row>
    <row r="7293" spans="1:21" x14ac:dyDescent="0.35">
      <c r="A7293" t="s">
        <v>2255</v>
      </c>
      <c r="B7293" t="s">
        <v>242</v>
      </c>
      <c r="C7293" t="s">
        <v>13</v>
      </c>
      <c r="D7293" t="s">
        <v>518</v>
      </c>
      <c r="E7293">
        <v>26.01</v>
      </c>
      <c r="F7293">
        <v>9</v>
      </c>
      <c r="G7293">
        <v>0</v>
      </c>
      <c r="H7293">
        <v>12.2247</v>
      </c>
      <c r="U7293">
        <v>12.2247</v>
      </c>
    </row>
    <row r="7294" spans="1:21" x14ac:dyDescent="0.35">
      <c r="A7294" s="1">
        <v>42837</v>
      </c>
      <c r="B7294" t="s">
        <v>941</v>
      </c>
      <c r="C7294" t="s">
        <v>8</v>
      </c>
      <c r="D7294" t="s">
        <v>2669</v>
      </c>
      <c r="E7294">
        <v>649</v>
      </c>
      <c r="F7294">
        <v>2</v>
      </c>
      <c r="G7294">
        <v>0.5</v>
      </c>
      <c r="H7294">
        <v>-272.58</v>
      </c>
      <c r="U7294">
        <v>-272.58</v>
      </c>
    </row>
    <row r="7295" spans="1:21" x14ac:dyDescent="0.35">
      <c r="A7295" t="s">
        <v>2254</v>
      </c>
      <c r="B7295" t="s">
        <v>1928</v>
      </c>
      <c r="C7295" t="s">
        <v>13</v>
      </c>
      <c r="D7295" t="s">
        <v>2538</v>
      </c>
      <c r="E7295">
        <v>59.99</v>
      </c>
      <c r="F7295">
        <v>7</v>
      </c>
      <c r="G7295">
        <v>0</v>
      </c>
      <c r="H7295">
        <v>21.596399999999999</v>
      </c>
      <c r="U7295">
        <v>21.596399999999999</v>
      </c>
    </row>
    <row r="7296" spans="1:21" x14ac:dyDescent="0.35">
      <c r="A7296" t="s">
        <v>2536</v>
      </c>
      <c r="B7296" t="s">
        <v>313</v>
      </c>
      <c r="C7296" t="s">
        <v>13</v>
      </c>
      <c r="D7296" t="s">
        <v>959</v>
      </c>
      <c r="E7296">
        <v>20.239999999999998</v>
      </c>
      <c r="F7296">
        <v>1</v>
      </c>
      <c r="G7296">
        <v>0</v>
      </c>
      <c r="H7296">
        <v>7.8936000000000002</v>
      </c>
      <c r="U7296">
        <v>7.8936000000000002</v>
      </c>
    </row>
    <row r="7297" spans="1:21" x14ac:dyDescent="0.35">
      <c r="A7297" s="1">
        <v>41734</v>
      </c>
      <c r="B7297" t="s">
        <v>1434</v>
      </c>
      <c r="C7297" t="s">
        <v>35</v>
      </c>
      <c r="D7297" t="s">
        <v>2406</v>
      </c>
      <c r="E7297">
        <v>37.840000000000003</v>
      </c>
      <c r="F7297">
        <v>2</v>
      </c>
      <c r="G7297">
        <v>0.2</v>
      </c>
      <c r="H7297">
        <v>2.8380000000000001</v>
      </c>
      <c r="U7297">
        <v>2.8380000000000001</v>
      </c>
    </row>
    <row r="7298" spans="1:21" x14ac:dyDescent="0.35">
      <c r="A7298" s="1">
        <v>41734</v>
      </c>
      <c r="B7298" t="s">
        <v>1434</v>
      </c>
      <c r="C7298" t="s">
        <v>35</v>
      </c>
      <c r="D7298" t="s">
        <v>2563</v>
      </c>
      <c r="E7298">
        <v>5.4720000000000004</v>
      </c>
      <c r="F7298">
        <v>6</v>
      </c>
      <c r="G7298">
        <v>0.2</v>
      </c>
      <c r="H7298">
        <v>1.8468</v>
      </c>
      <c r="U7298">
        <v>1.8468</v>
      </c>
    </row>
    <row r="7299" spans="1:21" x14ac:dyDescent="0.35">
      <c r="A7299" s="1">
        <v>42279</v>
      </c>
      <c r="B7299" t="s">
        <v>950</v>
      </c>
      <c r="C7299" t="s">
        <v>55</v>
      </c>
      <c r="D7299" t="s">
        <v>1940</v>
      </c>
      <c r="E7299">
        <v>77.239999999999995</v>
      </c>
      <c r="F7299">
        <v>5</v>
      </c>
      <c r="G7299">
        <v>0.2</v>
      </c>
      <c r="H7299">
        <v>7.7240000000000002</v>
      </c>
      <c r="U7299">
        <v>7.7240000000000002</v>
      </c>
    </row>
    <row r="7300" spans="1:21" x14ac:dyDescent="0.35">
      <c r="A7300" t="s">
        <v>38</v>
      </c>
      <c r="B7300" t="s">
        <v>1132</v>
      </c>
      <c r="C7300" t="s">
        <v>35</v>
      </c>
      <c r="D7300" t="s">
        <v>533</v>
      </c>
      <c r="E7300">
        <v>292.10000000000002</v>
      </c>
      <c r="F7300">
        <v>4</v>
      </c>
      <c r="G7300">
        <v>0.5</v>
      </c>
      <c r="H7300">
        <v>-175.26</v>
      </c>
      <c r="U7300">
        <v>-175.26</v>
      </c>
    </row>
    <row r="7301" spans="1:21" x14ac:dyDescent="0.35">
      <c r="A7301" t="s">
        <v>38</v>
      </c>
      <c r="B7301" t="s">
        <v>1132</v>
      </c>
      <c r="C7301" t="s">
        <v>35</v>
      </c>
      <c r="D7301" t="s">
        <v>2252</v>
      </c>
      <c r="E7301">
        <v>8.5440000000000005</v>
      </c>
      <c r="F7301">
        <v>2</v>
      </c>
      <c r="G7301">
        <v>0.6</v>
      </c>
      <c r="H7301">
        <v>-7.476</v>
      </c>
      <c r="U7301">
        <v>-7.476</v>
      </c>
    </row>
    <row r="7302" spans="1:21" x14ac:dyDescent="0.35">
      <c r="A7302" t="s">
        <v>38</v>
      </c>
      <c r="B7302" t="s">
        <v>1132</v>
      </c>
      <c r="C7302" t="s">
        <v>35</v>
      </c>
      <c r="D7302" t="s">
        <v>2514</v>
      </c>
      <c r="E7302">
        <v>424.11599999999999</v>
      </c>
      <c r="F7302">
        <v>6</v>
      </c>
      <c r="G7302">
        <v>0.3</v>
      </c>
      <c r="H7302">
        <v>-30.294</v>
      </c>
      <c r="U7302">
        <v>-30.294</v>
      </c>
    </row>
    <row r="7303" spans="1:21" x14ac:dyDescent="0.35">
      <c r="A7303" t="s">
        <v>38</v>
      </c>
      <c r="B7303" t="s">
        <v>1132</v>
      </c>
      <c r="C7303" t="s">
        <v>35</v>
      </c>
      <c r="D7303" t="s">
        <v>988</v>
      </c>
      <c r="E7303">
        <v>2.8919999999999999</v>
      </c>
      <c r="F7303">
        <v>3</v>
      </c>
      <c r="G7303">
        <v>0.8</v>
      </c>
      <c r="H7303">
        <v>-4.9164000000000003</v>
      </c>
      <c r="U7303">
        <v>-4.9164000000000003</v>
      </c>
    </row>
    <row r="7304" spans="1:21" x14ac:dyDescent="0.35">
      <c r="A7304" t="s">
        <v>38</v>
      </c>
      <c r="B7304" t="s">
        <v>1132</v>
      </c>
      <c r="C7304" t="s">
        <v>35</v>
      </c>
      <c r="D7304" t="s">
        <v>1107</v>
      </c>
      <c r="E7304">
        <v>381.72</v>
      </c>
      <c r="F7304">
        <v>5</v>
      </c>
      <c r="G7304">
        <v>0.2</v>
      </c>
      <c r="H7304">
        <v>-66.801000000000002</v>
      </c>
      <c r="U7304">
        <v>-66.801000000000002</v>
      </c>
    </row>
    <row r="7305" spans="1:21" x14ac:dyDescent="0.35">
      <c r="A7305" s="1">
        <v>42834</v>
      </c>
      <c r="B7305" t="s">
        <v>2631</v>
      </c>
      <c r="C7305" t="s">
        <v>8</v>
      </c>
      <c r="D7305" t="s">
        <v>328</v>
      </c>
      <c r="E7305">
        <v>97.183999999999997</v>
      </c>
      <c r="F7305">
        <v>2</v>
      </c>
      <c r="G7305">
        <v>0.2</v>
      </c>
      <c r="H7305">
        <v>6.0739999999999998</v>
      </c>
      <c r="U7305">
        <v>6.0739999999999998</v>
      </c>
    </row>
    <row r="7306" spans="1:21" x14ac:dyDescent="0.35">
      <c r="A7306" s="1">
        <v>42834</v>
      </c>
      <c r="B7306" t="s">
        <v>2631</v>
      </c>
      <c r="C7306" t="s">
        <v>8</v>
      </c>
      <c r="D7306" t="s">
        <v>1273</v>
      </c>
      <c r="E7306">
        <v>10.368</v>
      </c>
      <c r="F7306">
        <v>2</v>
      </c>
      <c r="G7306">
        <v>0.2</v>
      </c>
      <c r="H7306">
        <v>3.6288</v>
      </c>
      <c r="U7306">
        <v>3.6288</v>
      </c>
    </row>
    <row r="7307" spans="1:21" x14ac:dyDescent="0.35">
      <c r="A7307" t="s">
        <v>2691</v>
      </c>
      <c r="B7307" t="s">
        <v>871</v>
      </c>
      <c r="C7307" t="s">
        <v>35</v>
      </c>
      <c r="D7307" t="s">
        <v>777</v>
      </c>
      <c r="E7307">
        <v>890.84100000000001</v>
      </c>
      <c r="F7307">
        <v>3</v>
      </c>
      <c r="G7307">
        <v>0.3</v>
      </c>
      <c r="H7307">
        <v>-152.71559999999999</v>
      </c>
      <c r="U7307">
        <v>-152.71559999999999</v>
      </c>
    </row>
    <row r="7308" spans="1:21" x14ac:dyDescent="0.35">
      <c r="A7308" s="1">
        <v>42501</v>
      </c>
      <c r="B7308" t="s">
        <v>450</v>
      </c>
      <c r="C7308" t="s">
        <v>13</v>
      </c>
      <c r="D7308" t="s">
        <v>2385</v>
      </c>
      <c r="E7308">
        <v>72</v>
      </c>
      <c r="F7308">
        <v>4</v>
      </c>
      <c r="G7308">
        <v>0</v>
      </c>
      <c r="H7308">
        <v>12.96</v>
      </c>
      <c r="U7308">
        <v>12.96</v>
      </c>
    </row>
    <row r="7309" spans="1:21" x14ac:dyDescent="0.35">
      <c r="A7309" s="1">
        <v>42501</v>
      </c>
      <c r="B7309" t="s">
        <v>450</v>
      </c>
      <c r="C7309" t="s">
        <v>13</v>
      </c>
      <c r="D7309" t="s">
        <v>2269</v>
      </c>
      <c r="E7309">
        <v>113.88800000000001</v>
      </c>
      <c r="F7309">
        <v>2</v>
      </c>
      <c r="G7309">
        <v>0.2</v>
      </c>
      <c r="H7309">
        <v>9.9651999999999994</v>
      </c>
      <c r="U7309">
        <v>9.9651999999999994</v>
      </c>
    </row>
    <row r="7310" spans="1:21" x14ac:dyDescent="0.35">
      <c r="A7310" s="1">
        <v>42501</v>
      </c>
      <c r="B7310" t="s">
        <v>450</v>
      </c>
      <c r="C7310" t="s">
        <v>13</v>
      </c>
      <c r="D7310" t="s">
        <v>832</v>
      </c>
      <c r="E7310">
        <v>158.13</v>
      </c>
      <c r="F7310">
        <v>3</v>
      </c>
      <c r="G7310">
        <v>0</v>
      </c>
      <c r="H7310">
        <v>77.483699999999999</v>
      </c>
      <c r="U7310">
        <v>77.483699999999999</v>
      </c>
    </row>
    <row r="7311" spans="1:21" x14ac:dyDescent="0.35">
      <c r="A7311" s="1">
        <v>43014</v>
      </c>
      <c r="B7311" t="s">
        <v>638</v>
      </c>
      <c r="C7311" t="s">
        <v>55</v>
      </c>
      <c r="D7311" t="s">
        <v>1934</v>
      </c>
      <c r="E7311">
        <v>14.13</v>
      </c>
      <c r="F7311">
        <v>3</v>
      </c>
      <c r="G7311">
        <v>0</v>
      </c>
      <c r="H7311">
        <v>0.70650000000000002</v>
      </c>
      <c r="U7311">
        <v>0.70650000000000002</v>
      </c>
    </row>
    <row r="7312" spans="1:21" x14ac:dyDescent="0.35">
      <c r="A7312" s="1">
        <v>42285</v>
      </c>
      <c r="B7312" t="s">
        <v>892</v>
      </c>
      <c r="C7312" t="s">
        <v>35</v>
      </c>
      <c r="D7312" t="s">
        <v>1542</v>
      </c>
      <c r="E7312">
        <v>64.75</v>
      </c>
      <c r="F7312">
        <v>5</v>
      </c>
      <c r="G7312">
        <v>0</v>
      </c>
      <c r="H7312">
        <v>29.137499999999999</v>
      </c>
      <c r="U7312">
        <v>29.137499999999999</v>
      </c>
    </row>
    <row r="7313" spans="1:21" x14ac:dyDescent="0.35">
      <c r="A7313" s="1">
        <v>42257</v>
      </c>
      <c r="B7313" t="s">
        <v>2140</v>
      </c>
      <c r="C7313" t="s">
        <v>8</v>
      </c>
      <c r="D7313" t="s">
        <v>1292</v>
      </c>
      <c r="E7313">
        <v>1.8720000000000001</v>
      </c>
      <c r="F7313">
        <v>2</v>
      </c>
      <c r="G7313">
        <v>0.7</v>
      </c>
      <c r="H7313">
        <v>-1.3104</v>
      </c>
      <c r="U7313">
        <v>-1.3104</v>
      </c>
    </row>
    <row r="7314" spans="1:21" x14ac:dyDescent="0.35">
      <c r="A7314" s="1">
        <v>42257</v>
      </c>
      <c r="B7314" t="s">
        <v>2140</v>
      </c>
      <c r="C7314" t="s">
        <v>8</v>
      </c>
      <c r="D7314" t="s">
        <v>835</v>
      </c>
      <c r="E7314">
        <v>11.214</v>
      </c>
      <c r="F7314">
        <v>2</v>
      </c>
      <c r="G7314">
        <v>0.7</v>
      </c>
      <c r="H7314">
        <v>-8.5974000000000004</v>
      </c>
      <c r="U7314">
        <v>-8.5974000000000004</v>
      </c>
    </row>
    <row r="7315" spans="1:21" x14ac:dyDescent="0.35">
      <c r="A7315" s="1">
        <v>42257</v>
      </c>
      <c r="B7315" t="s">
        <v>2140</v>
      </c>
      <c r="C7315" t="s">
        <v>8</v>
      </c>
      <c r="D7315" t="s">
        <v>2518</v>
      </c>
      <c r="E7315">
        <v>37.375999999999998</v>
      </c>
      <c r="F7315">
        <v>8</v>
      </c>
      <c r="G7315">
        <v>0.2</v>
      </c>
      <c r="H7315">
        <v>7.4752000000000001</v>
      </c>
      <c r="U7315">
        <v>7.4752000000000001</v>
      </c>
    </row>
    <row r="7316" spans="1:21" x14ac:dyDescent="0.35">
      <c r="A7316" t="s">
        <v>1201</v>
      </c>
      <c r="B7316" t="s">
        <v>776</v>
      </c>
      <c r="C7316" t="s">
        <v>35</v>
      </c>
      <c r="D7316" t="s">
        <v>1813</v>
      </c>
      <c r="E7316">
        <v>286.39999999999998</v>
      </c>
      <c r="F7316">
        <v>1</v>
      </c>
      <c r="G7316">
        <v>0.2</v>
      </c>
      <c r="H7316">
        <v>25.06</v>
      </c>
      <c r="U7316">
        <v>25.06</v>
      </c>
    </row>
    <row r="7317" spans="1:21" x14ac:dyDescent="0.35">
      <c r="A7317" s="1">
        <v>43044</v>
      </c>
      <c r="B7317" t="s">
        <v>934</v>
      </c>
      <c r="C7317" t="s">
        <v>55</v>
      </c>
      <c r="D7317" t="s">
        <v>1745</v>
      </c>
      <c r="E7317">
        <v>43.92</v>
      </c>
      <c r="F7317">
        <v>3</v>
      </c>
      <c r="G7317">
        <v>0</v>
      </c>
      <c r="H7317">
        <v>12.736800000000001</v>
      </c>
      <c r="U7317">
        <v>12.736800000000001</v>
      </c>
    </row>
    <row r="7318" spans="1:21" x14ac:dyDescent="0.35">
      <c r="A7318" t="s">
        <v>2692</v>
      </c>
      <c r="B7318" t="s">
        <v>950</v>
      </c>
      <c r="C7318" t="s">
        <v>55</v>
      </c>
      <c r="D7318" t="s">
        <v>25</v>
      </c>
      <c r="E7318">
        <v>142.18199999999999</v>
      </c>
      <c r="F7318">
        <v>1</v>
      </c>
      <c r="G7318">
        <v>0.4</v>
      </c>
      <c r="H7318">
        <v>-37.915199999999999</v>
      </c>
      <c r="U7318">
        <v>-37.915199999999999</v>
      </c>
    </row>
    <row r="7319" spans="1:21" x14ac:dyDescent="0.35">
      <c r="A7319" t="s">
        <v>955</v>
      </c>
      <c r="B7319" t="s">
        <v>1859</v>
      </c>
      <c r="C7319" t="s">
        <v>13</v>
      </c>
      <c r="D7319" t="s">
        <v>2665</v>
      </c>
      <c r="E7319">
        <v>19.608000000000001</v>
      </c>
      <c r="F7319">
        <v>3</v>
      </c>
      <c r="G7319">
        <v>0.2</v>
      </c>
      <c r="H7319">
        <v>6.6177000000000001</v>
      </c>
      <c r="U7319">
        <v>6.6177000000000001</v>
      </c>
    </row>
    <row r="7320" spans="1:21" x14ac:dyDescent="0.35">
      <c r="A7320" t="s">
        <v>955</v>
      </c>
      <c r="B7320" t="s">
        <v>1859</v>
      </c>
      <c r="C7320" t="s">
        <v>13</v>
      </c>
      <c r="D7320" t="s">
        <v>1533</v>
      </c>
      <c r="E7320">
        <v>4.1580000000000004</v>
      </c>
      <c r="F7320">
        <v>7</v>
      </c>
      <c r="G7320">
        <v>0.7</v>
      </c>
      <c r="H7320">
        <v>-3.4649999999999999</v>
      </c>
      <c r="U7320">
        <v>-3.4649999999999999</v>
      </c>
    </row>
    <row r="7321" spans="1:21" x14ac:dyDescent="0.35">
      <c r="A7321" t="s">
        <v>720</v>
      </c>
      <c r="B7321" t="s">
        <v>1573</v>
      </c>
      <c r="C7321" t="s">
        <v>55</v>
      </c>
      <c r="D7321" t="s">
        <v>2169</v>
      </c>
      <c r="E7321">
        <v>979.95</v>
      </c>
      <c r="F7321">
        <v>5</v>
      </c>
      <c r="G7321">
        <v>0</v>
      </c>
      <c r="H7321">
        <v>264.5865</v>
      </c>
      <c r="U7321">
        <v>264.5865</v>
      </c>
    </row>
    <row r="7322" spans="1:21" x14ac:dyDescent="0.35">
      <c r="A7322" t="s">
        <v>720</v>
      </c>
      <c r="B7322" t="s">
        <v>1573</v>
      </c>
      <c r="C7322" t="s">
        <v>55</v>
      </c>
      <c r="D7322" t="s">
        <v>1986</v>
      </c>
      <c r="E7322">
        <v>135.30000000000001</v>
      </c>
      <c r="F7322">
        <v>5</v>
      </c>
      <c r="G7322">
        <v>0</v>
      </c>
      <c r="H7322">
        <v>37.884</v>
      </c>
      <c r="U7322">
        <v>37.884</v>
      </c>
    </row>
    <row r="7323" spans="1:21" x14ac:dyDescent="0.35">
      <c r="A7323" s="1">
        <v>42803</v>
      </c>
      <c r="B7323" t="s">
        <v>1733</v>
      </c>
      <c r="C7323" t="s">
        <v>35</v>
      </c>
      <c r="D7323" t="s">
        <v>1794</v>
      </c>
      <c r="E7323">
        <v>8.9039999999999999</v>
      </c>
      <c r="F7323">
        <v>3</v>
      </c>
      <c r="G7323">
        <v>0.2</v>
      </c>
      <c r="H7323">
        <v>3.339</v>
      </c>
      <c r="U7323">
        <v>3.339</v>
      </c>
    </row>
    <row r="7324" spans="1:21" x14ac:dyDescent="0.35">
      <c r="A7324" s="1">
        <v>42803</v>
      </c>
      <c r="B7324" t="s">
        <v>1733</v>
      </c>
      <c r="C7324" t="s">
        <v>35</v>
      </c>
      <c r="D7324" t="s">
        <v>1265</v>
      </c>
      <c r="E7324">
        <v>100.8</v>
      </c>
      <c r="F7324">
        <v>2</v>
      </c>
      <c r="G7324">
        <v>0.2</v>
      </c>
      <c r="H7324">
        <v>21.42</v>
      </c>
      <c r="U7324">
        <v>21.42</v>
      </c>
    </row>
    <row r="7325" spans="1:21" x14ac:dyDescent="0.35">
      <c r="A7325" s="1">
        <v>42867</v>
      </c>
      <c r="B7325" t="s">
        <v>925</v>
      </c>
      <c r="C7325" t="s">
        <v>55</v>
      </c>
      <c r="D7325" t="s">
        <v>228</v>
      </c>
      <c r="E7325">
        <v>41.96</v>
      </c>
      <c r="F7325">
        <v>2</v>
      </c>
      <c r="G7325">
        <v>0</v>
      </c>
      <c r="H7325">
        <v>10.909599999999999</v>
      </c>
      <c r="U7325">
        <v>10.909599999999999</v>
      </c>
    </row>
    <row r="7326" spans="1:21" x14ac:dyDescent="0.35">
      <c r="A7326" s="1">
        <v>42867</v>
      </c>
      <c r="B7326" t="s">
        <v>925</v>
      </c>
      <c r="C7326" t="s">
        <v>55</v>
      </c>
      <c r="D7326" t="s">
        <v>697</v>
      </c>
      <c r="E7326">
        <v>9.4499999999999993</v>
      </c>
      <c r="F7326">
        <v>3</v>
      </c>
      <c r="G7326">
        <v>0</v>
      </c>
      <c r="H7326">
        <v>4.5359999999999996</v>
      </c>
      <c r="U7326">
        <v>4.5359999999999996</v>
      </c>
    </row>
    <row r="7327" spans="1:21" x14ac:dyDescent="0.35">
      <c r="A7327" s="1">
        <v>43019</v>
      </c>
      <c r="B7327" t="s">
        <v>1036</v>
      </c>
      <c r="C7327" t="s">
        <v>13</v>
      </c>
      <c r="D7327" t="s">
        <v>2086</v>
      </c>
      <c r="E7327">
        <v>400.8</v>
      </c>
      <c r="F7327">
        <v>5</v>
      </c>
      <c r="G7327">
        <v>0</v>
      </c>
      <c r="H7327">
        <v>112.224</v>
      </c>
      <c r="U7327">
        <v>112.224</v>
      </c>
    </row>
    <row r="7328" spans="1:21" x14ac:dyDescent="0.35">
      <c r="A7328" s="1">
        <v>43019</v>
      </c>
      <c r="B7328" t="s">
        <v>1036</v>
      </c>
      <c r="C7328" t="s">
        <v>13</v>
      </c>
      <c r="D7328" t="s">
        <v>722</v>
      </c>
      <c r="E7328">
        <v>28.792000000000002</v>
      </c>
      <c r="F7328">
        <v>1</v>
      </c>
      <c r="G7328">
        <v>0.2</v>
      </c>
      <c r="H7328">
        <v>10.077199999999999</v>
      </c>
      <c r="U7328">
        <v>10.077199999999999</v>
      </c>
    </row>
    <row r="7329" spans="1:21" x14ac:dyDescent="0.35">
      <c r="A7329" t="s">
        <v>1882</v>
      </c>
      <c r="B7329" t="s">
        <v>1254</v>
      </c>
      <c r="C7329" t="s">
        <v>13</v>
      </c>
      <c r="D7329" t="s">
        <v>2036</v>
      </c>
      <c r="E7329">
        <v>111</v>
      </c>
      <c r="F7329">
        <v>2</v>
      </c>
      <c r="G7329">
        <v>0</v>
      </c>
      <c r="H7329">
        <v>14.43</v>
      </c>
      <c r="U7329">
        <v>14.43</v>
      </c>
    </row>
    <row r="7330" spans="1:21" x14ac:dyDescent="0.35">
      <c r="A7330" t="s">
        <v>1882</v>
      </c>
      <c r="B7330" t="s">
        <v>1254</v>
      </c>
      <c r="C7330" t="s">
        <v>13</v>
      </c>
      <c r="D7330" t="s">
        <v>417</v>
      </c>
      <c r="E7330">
        <v>1279.9680000000001</v>
      </c>
      <c r="F7330">
        <v>4</v>
      </c>
      <c r="G7330">
        <v>0.2</v>
      </c>
      <c r="H7330">
        <v>415.9896</v>
      </c>
      <c r="U7330">
        <v>415.9896</v>
      </c>
    </row>
    <row r="7331" spans="1:21" x14ac:dyDescent="0.35">
      <c r="A7331" t="s">
        <v>1882</v>
      </c>
      <c r="B7331" t="s">
        <v>1254</v>
      </c>
      <c r="C7331" t="s">
        <v>13</v>
      </c>
      <c r="D7331" t="s">
        <v>1974</v>
      </c>
      <c r="E7331">
        <v>1856.19</v>
      </c>
      <c r="F7331">
        <v>7</v>
      </c>
      <c r="G7331">
        <v>0</v>
      </c>
      <c r="H7331">
        <v>334.11419999999998</v>
      </c>
      <c r="U7331">
        <v>334.11419999999998</v>
      </c>
    </row>
    <row r="7332" spans="1:21" x14ac:dyDescent="0.35">
      <c r="A7332" s="1">
        <v>42715</v>
      </c>
      <c r="B7332" t="s">
        <v>294</v>
      </c>
      <c r="C7332" t="s">
        <v>35</v>
      </c>
      <c r="D7332" t="s">
        <v>1895</v>
      </c>
      <c r="E7332">
        <v>22.751999999999999</v>
      </c>
      <c r="F7332">
        <v>6</v>
      </c>
      <c r="G7332">
        <v>0.6</v>
      </c>
      <c r="H7332">
        <v>-8.532</v>
      </c>
      <c r="U7332">
        <v>-8.532</v>
      </c>
    </row>
    <row r="7333" spans="1:21" x14ac:dyDescent="0.35">
      <c r="A7333" t="s">
        <v>177</v>
      </c>
      <c r="B7333" t="s">
        <v>1635</v>
      </c>
      <c r="C7333" t="s">
        <v>55</v>
      </c>
      <c r="D7333" t="s">
        <v>471</v>
      </c>
      <c r="E7333">
        <v>61.542000000000002</v>
      </c>
      <c r="F7333">
        <v>1</v>
      </c>
      <c r="G7333">
        <v>0.4</v>
      </c>
      <c r="H7333">
        <v>-13.334099999999999</v>
      </c>
      <c r="U7333">
        <v>-13.334099999999999</v>
      </c>
    </row>
    <row r="7334" spans="1:21" x14ac:dyDescent="0.35">
      <c r="A7334" t="s">
        <v>177</v>
      </c>
      <c r="B7334" t="s">
        <v>1635</v>
      </c>
      <c r="C7334" t="s">
        <v>55</v>
      </c>
      <c r="D7334" t="s">
        <v>2408</v>
      </c>
      <c r="E7334">
        <v>81.438000000000002</v>
      </c>
      <c r="F7334">
        <v>7</v>
      </c>
      <c r="G7334">
        <v>0.7</v>
      </c>
      <c r="H7334">
        <v>-65.150400000000005</v>
      </c>
      <c r="U7334">
        <v>-65.150400000000005</v>
      </c>
    </row>
    <row r="7335" spans="1:21" x14ac:dyDescent="0.35">
      <c r="A7335" s="1">
        <v>42312</v>
      </c>
      <c r="B7335" t="s">
        <v>2357</v>
      </c>
      <c r="C7335" t="s">
        <v>8</v>
      </c>
      <c r="D7335" t="s">
        <v>852</v>
      </c>
      <c r="E7335">
        <v>67.36</v>
      </c>
      <c r="F7335">
        <v>2</v>
      </c>
      <c r="G7335">
        <v>0.2</v>
      </c>
      <c r="H7335">
        <v>10.103999999999999</v>
      </c>
      <c r="U7335">
        <v>10.103999999999999</v>
      </c>
    </row>
    <row r="7336" spans="1:21" x14ac:dyDescent="0.35">
      <c r="A7336" s="1">
        <v>42312</v>
      </c>
      <c r="B7336" t="s">
        <v>2357</v>
      </c>
      <c r="C7336" t="s">
        <v>8</v>
      </c>
      <c r="D7336" t="s">
        <v>416</v>
      </c>
      <c r="E7336">
        <v>54.527999999999999</v>
      </c>
      <c r="F7336">
        <v>3</v>
      </c>
      <c r="G7336">
        <v>0.2</v>
      </c>
      <c r="H7336">
        <v>14.313599999999999</v>
      </c>
      <c r="U7336">
        <v>14.313599999999999</v>
      </c>
    </row>
    <row r="7337" spans="1:21" x14ac:dyDescent="0.35">
      <c r="A7337" t="s">
        <v>1797</v>
      </c>
      <c r="B7337" t="s">
        <v>2057</v>
      </c>
      <c r="C7337" t="s">
        <v>55</v>
      </c>
      <c r="D7337" t="s">
        <v>1754</v>
      </c>
      <c r="E7337">
        <v>843.9</v>
      </c>
      <c r="F7337">
        <v>2</v>
      </c>
      <c r="G7337">
        <v>0</v>
      </c>
      <c r="H7337">
        <v>371.31599999999997</v>
      </c>
      <c r="U7337">
        <v>371.31599999999997</v>
      </c>
    </row>
    <row r="7338" spans="1:21" x14ac:dyDescent="0.35">
      <c r="A7338" t="s">
        <v>1797</v>
      </c>
      <c r="B7338" t="s">
        <v>2057</v>
      </c>
      <c r="C7338" t="s">
        <v>55</v>
      </c>
      <c r="D7338" t="s">
        <v>366</v>
      </c>
      <c r="E7338">
        <v>449.56799999999998</v>
      </c>
      <c r="F7338">
        <v>2</v>
      </c>
      <c r="G7338">
        <v>0.2</v>
      </c>
      <c r="H7338">
        <v>56.195999999999998</v>
      </c>
      <c r="U7338">
        <v>56.195999999999998</v>
      </c>
    </row>
    <row r="7339" spans="1:21" x14ac:dyDescent="0.35">
      <c r="A7339" t="s">
        <v>1136</v>
      </c>
      <c r="B7339" t="s">
        <v>2068</v>
      </c>
      <c r="C7339" t="s">
        <v>13</v>
      </c>
      <c r="D7339" t="s">
        <v>2366</v>
      </c>
      <c r="E7339">
        <v>15.51</v>
      </c>
      <c r="F7339">
        <v>1</v>
      </c>
      <c r="G7339">
        <v>0</v>
      </c>
      <c r="H7339">
        <v>3.8774999999999999</v>
      </c>
      <c r="U7339">
        <v>3.8774999999999999</v>
      </c>
    </row>
    <row r="7340" spans="1:21" x14ac:dyDescent="0.35">
      <c r="A7340" t="s">
        <v>1441</v>
      </c>
      <c r="B7340" t="s">
        <v>1515</v>
      </c>
      <c r="C7340" t="s">
        <v>55</v>
      </c>
      <c r="D7340" t="s">
        <v>2269</v>
      </c>
      <c r="E7340">
        <v>192.18600000000001</v>
      </c>
      <c r="F7340">
        <v>3</v>
      </c>
      <c r="G7340">
        <v>0.1</v>
      </c>
      <c r="H7340">
        <v>36.3018</v>
      </c>
      <c r="U7340">
        <v>36.3018</v>
      </c>
    </row>
    <row r="7341" spans="1:21" x14ac:dyDescent="0.35">
      <c r="A7341" t="s">
        <v>2630</v>
      </c>
      <c r="B7341" t="s">
        <v>1275</v>
      </c>
      <c r="C7341" t="s">
        <v>55</v>
      </c>
      <c r="D7341" t="s">
        <v>1155</v>
      </c>
      <c r="E7341">
        <v>5.76</v>
      </c>
      <c r="F7341">
        <v>2</v>
      </c>
      <c r="G7341">
        <v>0</v>
      </c>
      <c r="H7341">
        <v>1.6128</v>
      </c>
      <c r="U7341">
        <v>1.6128</v>
      </c>
    </row>
    <row r="7342" spans="1:21" x14ac:dyDescent="0.35">
      <c r="A7342" t="s">
        <v>2077</v>
      </c>
      <c r="B7342" t="s">
        <v>1714</v>
      </c>
      <c r="C7342" t="s">
        <v>8</v>
      </c>
      <c r="D7342" t="s">
        <v>2020</v>
      </c>
      <c r="E7342">
        <v>67.88</v>
      </c>
      <c r="F7342">
        <v>2</v>
      </c>
      <c r="G7342">
        <v>0</v>
      </c>
      <c r="H7342">
        <v>18.3276</v>
      </c>
      <c r="U7342">
        <v>18.3276</v>
      </c>
    </row>
    <row r="7343" spans="1:21" x14ac:dyDescent="0.35">
      <c r="A7343" t="s">
        <v>2077</v>
      </c>
      <c r="B7343" t="s">
        <v>1714</v>
      </c>
      <c r="C7343" t="s">
        <v>8</v>
      </c>
      <c r="D7343" t="s">
        <v>113</v>
      </c>
      <c r="E7343">
        <v>162.88999999999999</v>
      </c>
      <c r="F7343">
        <v>13</v>
      </c>
      <c r="G7343">
        <v>0</v>
      </c>
      <c r="H7343">
        <v>76.558300000000003</v>
      </c>
      <c r="U7343">
        <v>76.558300000000003</v>
      </c>
    </row>
    <row r="7344" spans="1:21" x14ac:dyDescent="0.35">
      <c r="A7344" t="s">
        <v>2077</v>
      </c>
      <c r="B7344" t="s">
        <v>1714</v>
      </c>
      <c r="C7344" t="s">
        <v>8</v>
      </c>
      <c r="D7344" t="s">
        <v>2538</v>
      </c>
      <c r="E7344">
        <v>25.71</v>
      </c>
      <c r="F7344">
        <v>3</v>
      </c>
      <c r="G7344">
        <v>0</v>
      </c>
      <c r="H7344">
        <v>9.2555999999999994</v>
      </c>
      <c r="U7344">
        <v>9.2555999999999994</v>
      </c>
    </row>
    <row r="7345" spans="1:21" x14ac:dyDescent="0.35">
      <c r="A7345" t="s">
        <v>247</v>
      </c>
      <c r="B7345" t="s">
        <v>64</v>
      </c>
      <c r="C7345" t="s">
        <v>55</v>
      </c>
      <c r="D7345" t="s">
        <v>1522</v>
      </c>
      <c r="E7345">
        <v>191.88</v>
      </c>
      <c r="F7345">
        <v>6</v>
      </c>
      <c r="G7345">
        <v>0</v>
      </c>
      <c r="H7345">
        <v>19.187999999999999</v>
      </c>
      <c r="U7345">
        <v>19.187999999999999</v>
      </c>
    </row>
    <row r="7346" spans="1:21" x14ac:dyDescent="0.35">
      <c r="A7346" s="1">
        <v>43051</v>
      </c>
      <c r="B7346" t="s">
        <v>12</v>
      </c>
      <c r="C7346" t="s">
        <v>8</v>
      </c>
      <c r="D7346" t="s">
        <v>387</v>
      </c>
      <c r="E7346">
        <v>721.875</v>
      </c>
      <c r="F7346">
        <v>6</v>
      </c>
      <c r="G7346">
        <v>0.45</v>
      </c>
      <c r="H7346">
        <v>-420</v>
      </c>
      <c r="U7346">
        <v>-420</v>
      </c>
    </row>
    <row r="7347" spans="1:21" x14ac:dyDescent="0.35">
      <c r="A7347" s="1">
        <v>43051</v>
      </c>
      <c r="B7347" t="s">
        <v>12</v>
      </c>
      <c r="C7347" t="s">
        <v>8</v>
      </c>
      <c r="D7347" t="s">
        <v>866</v>
      </c>
      <c r="E7347">
        <v>73.567999999999998</v>
      </c>
      <c r="F7347">
        <v>4</v>
      </c>
      <c r="G7347">
        <v>0.2</v>
      </c>
      <c r="H7347">
        <v>-16.552800000000001</v>
      </c>
      <c r="U7347">
        <v>-16.552800000000001</v>
      </c>
    </row>
    <row r="7348" spans="1:21" x14ac:dyDescent="0.35">
      <c r="A7348" s="1">
        <v>43051</v>
      </c>
      <c r="B7348" t="s">
        <v>12</v>
      </c>
      <c r="C7348" t="s">
        <v>8</v>
      </c>
      <c r="D7348" t="s">
        <v>418</v>
      </c>
      <c r="E7348">
        <v>13.584</v>
      </c>
      <c r="F7348">
        <v>1</v>
      </c>
      <c r="G7348">
        <v>0.2</v>
      </c>
      <c r="H7348">
        <v>1.3584000000000001</v>
      </c>
      <c r="U7348">
        <v>1.3584000000000001</v>
      </c>
    </row>
    <row r="7349" spans="1:21" x14ac:dyDescent="0.35">
      <c r="A7349" s="1">
        <v>43051</v>
      </c>
      <c r="B7349" t="s">
        <v>12</v>
      </c>
      <c r="C7349" t="s">
        <v>8</v>
      </c>
      <c r="D7349" t="s">
        <v>768</v>
      </c>
      <c r="E7349">
        <v>64.784000000000006</v>
      </c>
      <c r="F7349">
        <v>1</v>
      </c>
      <c r="G7349">
        <v>0.2</v>
      </c>
      <c r="H7349">
        <v>-12.147</v>
      </c>
      <c r="U7349">
        <v>-12.147</v>
      </c>
    </row>
    <row r="7350" spans="1:21" x14ac:dyDescent="0.35">
      <c r="A7350" s="1">
        <v>41701</v>
      </c>
      <c r="B7350" t="s">
        <v>2388</v>
      </c>
      <c r="C7350" t="s">
        <v>35</v>
      </c>
      <c r="D7350" t="s">
        <v>1936</v>
      </c>
      <c r="E7350">
        <v>176.77199999999999</v>
      </c>
      <c r="F7350">
        <v>3</v>
      </c>
      <c r="G7350">
        <v>0.8</v>
      </c>
      <c r="H7350">
        <v>-459.60719999999998</v>
      </c>
      <c r="U7350">
        <v>-459.60719999999998</v>
      </c>
    </row>
    <row r="7351" spans="1:21" x14ac:dyDescent="0.35">
      <c r="A7351" t="s">
        <v>869</v>
      </c>
      <c r="B7351" t="s">
        <v>331</v>
      </c>
      <c r="C7351" t="s">
        <v>35</v>
      </c>
      <c r="D7351" t="s">
        <v>1115</v>
      </c>
      <c r="E7351">
        <v>38.82</v>
      </c>
      <c r="F7351">
        <v>6</v>
      </c>
      <c r="G7351">
        <v>0</v>
      </c>
      <c r="H7351">
        <v>19.41</v>
      </c>
      <c r="U7351">
        <v>19.41</v>
      </c>
    </row>
    <row r="7352" spans="1:21" x14ac:dyDescent="0.35">
      <c r="A7352" t="s">
        <v>869</v>
      </c>
      <c r="B7352" t="s">
        <v>331</v>
      </c>
      <c r="C7352" t="s">
        <v>35</v>
      </c>
      <c r="D7352" t="s">
        <v>464</v>
      </c>
      <c r="E7352">
        <v>21.9</v>
      </c>
      <c r="F7352">
        <v>5</v>
      </c>
      <c r="G7352">
        <v>0</v>
      </c>
      <c r="H7352">
        <v>10.512</v>
      </c>
      <c r="U7352">
        <v>10.512</v>
      </c>
    </row>
    <row r="7353" spans="1:21" x14ac:dyDescent="0.35">
      <c r="A7353" s="1">
        <v>43019</v>
      </c>
      <c r="B7353" t="s">
        <v>1694</v>
      </c>
      <c r="C7353" t="s">
        <v>13</v>
      </c>
      <c r="D7353" t="s">
        <v>765</v>
      </c>
      <c r="E7353">
        <v>111.79</v>
      </c>
      <c r="F7353">
        <v>7</v>
      </c>
      <c r="G7353">
        <v>0</v>
      </c>
      <c r="H7353">
        <v>43.598100000000002</v>
      </c>
      <c r="U7353">
        <v>43.598100000000002</v>
      </c>
    </row>
    <row r="7354" spans="1:21" x14ac:dyDescent="0.35">
      <c r="A7354" t="s">
        <v>1908</v>
      </c>
      <c r="B7354" t="s">
        <v>1377</v>
      </c>
      <c r="C7354" t="s">
        <v>55</v>
      </c>
      <c r="D7354" t="s">
        <v>1530</v>
      </c>
      <c r="E7354">
        <v>445.44</v>
      </c>
      <c r="F7354">
        <v>8</v>
      </c>
      <c r="G7354">
        <v>0.4</v>
      </c>
      <c r="H7354">
        <v>-81.664000000000001</v>
      </c>
      <c r="U7354">
        <v>-81.664000000000001</v>
      </c>
    </row>
    <row r="7355" spans="1:21" x14ac:dyDescent="0.35">
      <c r="A7355" t="s">
        <v>184</v>
      </c>
      <c r="B7355" t="s">
        <v>1363</v>
      </c>
      <c r="C7355" t="s">
        <v>55</v>
      </c>
      <c r="D7355" t="s">
        <v>1104</v>
      </c>
      <c r="E7355">
        <v>16.52</v>
      </c>
      <c r="F7355">
        <v>5</v>
      </c>
      <c r="G7355">
        <v>0.2</v>
      </c>
      <c r="H7355">
        <v>5.3689999999999998</v>
      </c>
      <c r="U7355">
        <v>5.3689999999999998</v>
      </c>
    </row>
    <row r="7356" spans="1:21" x14ac:dyDescent="0.35">
      <c r="A7356" s="1">
        <v>42888</v>
      </c>
      <c r="B7356" t="s">
        <v>1386</v>
      </c>
      <c r="C7356" t="s">
        <v>13</v>
      </c>
      <c r="D7356" t="s">
        <v>2643</v>
      </c>
      <c r="E7356">
        <v>29.9</v>
      </c>
      <c r="F7356">
        <v>5</v>
      </c>
      <c r="G7356">
        <v>0</v>
      </c>
      <c r="H7356">
        <v>13.455</v>
      </c>
      <c r="U7356">
        <v>13.455</v>
      </c>
    </row>
    <row r="7357" spans="1:21" x14ac:dyDescent="0.35">
      <c r="A7357" t="s">
        <v>80</v>
      </c>
      <c r="B7357" t="s">
        <v>2377</v>
      </c>
      <c r="C7357" t="s">
        <v>35</v>
      </c>
      <c r="D7357" t="s">
        <v>1564</v>
      </c>
      <c r="E7357">
        <v>116.4</v>
      </c>
      <c r="F7357">
        <v>8</v>
      </c>
      <c r="G7357">
        <v>0</v>
      </c>
      <c r="H7357">
        <v>52.38</v>
      </c>
      <c r="U7357">
        <v>52.38</v>
      </c>
    </row>
    <row r="7358" spans="1:21" x14ac:dyDescent="0.35">
      <c r="A7358" s="1">
        <v>42623</v>
      </c>
      <c r="B7358" t="s">
        <v>2045</v>
      </c>
      <c r="C7358" t="s">
        <v>13</v>
      </c>
      <c r="D7358" t="s">
        <v>1708</v>
      </c>
      <c r="E7358">
        <v>1.4079999999999999</v>
      </c>
      <c r="F7358">
        <v>1</v>
      </c>
      <c r="G7358">
        <v>0.2</v>
      </c>
      <c r="H7358">
        <v>0.15840000000000001</v>
      </c>
      <c r="U7358">
        <v>0.15840000000000001</v>
      </c>
    </row>
    <row r="7359" spans="1:21" x14ac:dyDescent="0.35">
      <c r="A7359" s="1">
        <v>42623</v>
      </c>
      <c r="B7359" t="s">
        <v>2045</v>
      </c>
      <c r="C7359" t="s">
        <v>13</v>
      </c>
      <c r="D7359" t="s">
        <v>1742</v>
      </c>
      <c r="E7359">
        <v>169.56800000000001</v>
      </c>
      <c r="F7359">
        <v>2</v>
      </c>
      <c r="G7359">
        <v>0.2</v>
      </c>
      <c r="H7359">
        <v>0</v>
      </c>
      <c r="U7359">
        <v>0</v>
      </c>
    </row>
    <row r="7360" spans="1:21" x14ac:dyDescent="0.35">
      <c r="A7360" t="s">
        <v>536</v>
      </c>
      <c r="B7360" t="s">
        <v>2568</v>
      </c>
      <c r="C7360" t="s">
        <v>55</v>
      </c>
      <c r="D7360" t="s">
        <v>1075</v>
      </c>
      <c r="E7360">
        <v>251.964</v>
      </c>
      <c r="F7360">
        <v>6</v>
      </c>
      <c r="G7360">
        <v>0.4</v>
      </c>
      <c r="H7360">
        <v>-50.392800000000001</v>
      </c>
      <c r="U7360">
        <v>-50.392800000000001</v>
      </c>
    </row>
    <row r="7361" spans="1:21" x14ac:dyDescent="0.35">
      <c r="A7361" t="s">
        <v>536</v>
      </c>
      <c r="B7361" t="s">
        <v>2568</v>
      </c>
      <c r="C7361" t="s">
        <v>55</v>
      </c>
      <c r="D7361" t="s">
        <v>588</v>
      </c>
      <c r="E7361">
        <v>523.76400000000001</v>
      </c>
      <c r="F7361">
        <v>3</v>
      </c>
      <c r="G7361">
        <v>0.4</v>
      </c>
      <c r="H7361">
        <v>-192.04679999999999</v>
      </c>
      <c r="U7361">
        <v>-192.04679999999999</v>
      </c>
    </row>
    <row r="7362" spans="1:21" x14ac:dyDescent="0.35">
      <c r="A7362" s="1">
        <v>42708</v>
      </c>
      <c r="B7362" t="s">
        <v>2182</v>
      </c>
      <c r="C7362" t="s">
        <v>13</v>
      </c>
      <c r="D7362" t="s">
        <v>1848</v>
      </c>
      <c r="E7362">
        <v>19.440000000000001</v>
      </c>
      <c r="F7362">
        <v>3</v>
      </c>
      <c r="G7362">
        <v>0</v>
      </c>
      <c r="H7362">
        <v>9.3312000000000008</v>
      </c>
      <c r="U7362">
        <v>9.3312000000000008</v>
      </c>
    </row>
    <row r="7363" spans="1:21" x14ac:dyDescent="0.35">
      <c r="A7363" s="1">
        <v>42708</v>
      </c>
      <c r="B7363" t="s">
        <v>2182</v>
      </c>
      <c r="C7363" t="s">
        <v>13</v>
      </c>
      <c r="D7363" t="s">
        <v>768</v>
      </c>
      <c r="E7363">
        <v>194.352</v>
      </c>
      <c r="F7363">
        <v>3</v>
      </c>
      <c r="G7363">
        <v>0.2</v>
      </c>
      <c r="H7363">
        <v>-36.441000000000003</v>
      </c>
      <c r="U7363">
        <v>-36.441000000000003</v>
      </c>
    </row>
    <row r="7364" spans="1:21" x14ac:dyDescent="0.35">
      <c r="A7364" s="1">
        <v>42708</v>
      </c>
      <c r="B7364" t="s">
        <v>2182</v>
      </c>
      <c r="C7364" t="s">
        <v>13</v>
      </c>
      <c r="D7364" t="s">
        <v>1359</v>
      </c>
      <c r="E7364">
        <v>36.624000000000002</v>
      </c>
      <c r="F7364">
        <v>3</v>
      </c>
      <c r="G7364">
        <v>0.2</v>
      </c>
      <c r="H7364">
        <v>13.734</v>
      </c>
      <c r="U7364">
        <v>13.734</v>
      </c>
    </row>
    <row r="7365" spans="1:21" x14ac:dyDescent="0.35">
      <c r="A7365" t="s">
        <v>355</v>
      </c>
      <c r="B7365" t="s">
        <v>420</v>
      </c>
      <c r="C7365" t="s">
        <v>55</v>
      </c>
      <c r="D7365" t="s">
        <v>1462</v>
      </c>
      <c r="E7365">
        <v>340.18200000000002</v>
      </c>
      <c r="F7365">
        <v>3</v>
      </c>
      <c r="G7365">
        <v>0.4</v>
      </c>
      <c r="H7365">
        <v>-73.706100000000006</v>
      </c>
      <c r="U7365">
        <v>-73.706100000000006</v>
      </c>
    </row>
    <row r="7366" spans="1:21" x14ac:dyDescent="0.35">
      <c r="A7366" t="s">
        <v>355</v>
      </c>
      <c r="B7366" t="s">
        <v>420</v>
      </c>
      <c r="C7366" t="s">
        <v>55</v>
      </c>
      <c r="D7366" t="s">
        <v>1969</v>
      </c>
      <c r="E7366">
        <v>12.672000000000001</v>
      </c>
      <c r="F7366">
        <v>8</v>
      </c>
      <c r="G7366">
        <v>0.2</v>
      </c>
      <c r="H7366">
        <v>2.6928000000000001</v>
      </c>
      <c r="U7366">
        <v>2.6928000000000001</v>
      </c>
    </row>
    <row r="7367" spans="1:21" x14ac:dyDescent="0.35">
      <c r="A7367" t="s">
        <v>355</v>
      </c>
      <c r="B7367" t="s">
        <v>420</v>
      </c>
      <c r="C7367" t="s">
        <v>55</v>
      </c>
      <c r="D7367" t="s">
        <v>2227</v>
      </c>
      <c r="E7367">
        <v>6.8879999999999999</v>
      </c>
      <c r="F7367">
        <v>2</v>
      </c>
      <c r="G7367">
        <v>0.7</v>
      </c>
      <c r="H7367">
        <v>-5.0511999999999997</v>
      </c>
      <c r="U7367">
        <v>-5.0511999999999997</v>
      </c>
    </row>
    <row r="7368" spans="1:21" x14ac:dyDescent="0.35">
      <c r="A7368" t="s">
        <v>355</v>
      </c>
      <c r="B7368" t="s">
        <v>420</v>
      </c>
      <c r="C7368" t="s">
        <v>55</v>
      </c>
      <c r="D7368" t="s">
        <v>2335</v>
      </c>
      <c r="E7368">
        <v>32.543999999999997</v>
      </c>
      <c r="F7368">
        <v>2</v>
      </c>
      <c r="G7368">
        <v>0.2</v>
      </c>
      <c r="H7368">
        <v>-7.7291999999999996</v>
      </c>
      <c r="U7368">
        <v>-7.7291999999999996</v>
      </c>
    </row>
    <row r="7369" spans="1:21" x14ac:dyDescent="0.35">
      <c r="A7369" t="s">
        <v>355</v>
      </c>
      <c r="B7369" t="s">
        <v>420</v>
      </c>
      <c r="C7369" t="s">
        <v>55</v>
      </c>
      <c r="D7369" t="s">
        <v>882</v>
      </c>
      <c r="E7369">
        <v>347.80200000000002</v>
      </c>
      <c r="F7369">
        <v>7</v>
      </c>
      <c r="G7369">
        <v>0.3</v>
      </c>
      <c r="H7369">
        <v>-24.843</v>
      </c>
      <c r="U7369">
        <v>-24.843</v>
      </c>
    </row>
    <row r="7370" spans="1:21" x14ac:dyDescent="0.35">
      <c r="A7370" t="s">
        <v>27</v>
      </c>
      <c r="B7370" t="s">
        <v>670</v>
      </c>
      <c r="C7370" t="s">
        <v>8</v>
      </c>
      <c r="D7370" t="s">
        <v>2280</v>
      </c>
      <c r="E7370">
        <v>15.57</v>
      </c>
      <c r="F7370">
        <v>3</v>
      </c>
      <c r="G7370">
        <v>0.7</v>
      </c>
      <c r="H7370">
        <v>-11.936999999999999</v>
      </c>
      <c r="U7370">
        <v>-11.936999999999999</v>
      </c>
    </row>
    <row r="7371" spans="1:21" x14ac:dyDescent="0.35">
      <c r="A7371" s="1">
        <v>42250</v>
      </c>
      <c r="B7371" t="s">
        <v>2037</v>
      </c>
      <c r="C7371" t="s">
        <v>8</v>
      </c>
      <c r="D7371" t="s">
        <v>1353</v>
      </c>
      <c r="E7371">
        <v>4.6079999999999997</v>
      </c>
      <c r="F7371">
        <v>2</v>
      </c>
      <c r="G7371">
        <v>0.2</v>
      </c>
      <c r="H7371">
        <v>1.6704000000000001</v>
      </c>
      <c r="U7371">
        <v>1.6704000000000001</v>
      </c>
    </row>
    <row r="7372" spans="1:21" x14ac:dyDescent="0.35">
      <c r="A7372" t="s">
        <v>283</v>
      </c>
      <c r="B7372" t="s">
        <v>1396</v>
      </c>
      <c r="C7372" t="s">
        <v>35</v>
      </c>
      <c r="D7372" t="s">
        <v>1593</v>
      </c>
      <c r="E7372">
        <v>257.98</v>
      </c>
      <c r="F7372">
        <v>2</v>
      </c>
      <c r="G7372">
        <v>0</v>
      </c>
      <c r="H7372">
        <v>74.8142</v>
      </c>
      <c r="U7372">
        <v>74.8142</v>
      </c>
    </row>
    <row r="7373" spans="1:21" x14ac:dyDescent="0.35">
      <c r="A7373" s="1">
        <v>42917</v>
      </c>
      <c r="B7373" t="s">
        <v>1576</v>
      </c>
      <c r="C7373" t="s">
        <v>13</v>
      </c>
      <c r="D7373" t="s">
        <v>18</v>
      </c>
      <c r="E7373">
        <v>153.78</v>
      </c>
      <c r="F7373">
        <v>11</v>
      </c>
      <c r="G7373">
        <v>0</v>
      </c>
      <c r="H7373">
        <v>44.596200000000003</v>
      </c>
      <c r="U7373">
        <v>44.596200000000003</v>
      </c>
    </row>
    <row r="7374" spans="1:21" x14ac:dyDescent="0.35">
      <c r="A7374" s="1">
        <v>42917</v>
      </c>
      <c r="B7374" t="s">
        <v>1576</v>
      </c>
      <c r="C7374" t="s">
        <v>13</v>
      </c>
      <c r="D7374" t="s">
        <v>2335</v>
      </c>
      <c r="E7374">
        <v>61.02</v>
      </c>
      <c r="F7374">
        <v>3</v>
      </c>
      <c r="G7374">
        <v>0</v>
      </c>
      <c r="H7374">
        <v>0.61019999999999996</v>
      </c>
      <c r="U7374">
        <v>0.61019999999999996</v>
      </c>
    </row>
    <row r="7375" spans="1:21" x14ac:dyDescent="0.35">
      <c r="A7375" s="1">
        <v>42917</v>
      </c>
      <c r="B7375" t="s">
        <v>1576</v>
      </c>
      <c r="C7375" t="s">
        <v>13</v>
      </c>
      <c r="D7375" t="s">
        <v>2671</v>
      </c>
      <c r="E7375">
        <v>110.11</v>
      </c>
      <c r="F7375">
        <v>7</v>
      </c>
      <c r="G7375">
        <v>0</v>
      </c>
      <c r="H7375">
        <v>31.931899999999999</v>
      </c>
      <c r="U7375">
        <v>31.931899999999999</v>
      </c>
    </row>
    <row r="7376" spans="1:21" x14ac:dyDescent="0.35">
      <c r="A7376" s="1">
        <v>42917</v>
      </c>
      <c r="B7376" t="s">
        <v>1576</v>
      </c>
      <c r="C7376" t="s">
        <v>13</v>
      </c>
      <c r="D7376" t="s">
        <v>263</v>
      </c>
      <c r="E7376">
        <v>7.89</v>
      </c>
      <c r="F7376">
        <v>1</v>
      </c>
      <c r="G7376">
        <v>0</v>
      </c>
      <c r="H7376">
        <v>3.5505</v>
      </c>
      <c r="U7376">
        <v>3.5505</v>
      </c>
    </row>
    <row r="7377" spans="1:21" x14ac:dyDescent="0.35">
      <c r="A7377" t="s">
        <v>2251</v>
      </c>
      <c r="B7377" t="s">
        <v>623</v>
      </c>
      <c r="C7377" t="s">
        <v>13</v>
      </c>
      <c r="D7377" t="s">
        <v>907</v>
      </c>
      <c r="E7377">
        <v>36.024000000000001</v>
      </c>
      <c r="F7377">
        <v>3</v>
      </c>
      <c r="G7377">
        <v>0.2</v>
      </c>
      <c r="H7377">
        <v>11.707800000000001</v>
      </c>
      <c r="U7377">
        <v>11.707800000000001</v>
      </c>
    </row>
    <row r="7378" spans="1:21" x14ac:dyDescent="0.35">
      <c r="A7378" s="1">
        <v>42777</v>
      </c>
      <c r="B7378" t="s">
        <v>240</v>
      </c>
      <c r="C7378" t="s">
        <v>35</v>
      </c>
      <c r="D7378" t="s">
        <v>418</v>
      </c>
      <c r="E7378">
        <v>54.335999999999999</v>
      </c>
      <c r="F7378">
        <v>4</v>
      </c>
      <c r="G7378">
        <v>0.2</v>
      </c>
      <c r="H7378">
        <v>5.4336000000000002</v>
      </c>
      <c r="U7378">
        <v>5.4336000000000002</v>
      </c>
    </row>
    <row r="7379" spans="1:21" x14ac:dyDescent="0.35">
      <c r="A7379" t="s">
        <v>330</v>
      </c>
      <c r="B7379" t="s">
        <v>1146</v>
      </c>
      <c r="C7379" t="s">
        <v>13</v>
      </c>
      <c r="D7379" t="s">
        <v>794</v>
      </c>
      <c r="E7379">
        <v>92.52</v>
      </c>
      <c r="F7379">
        <v>6</v>
      </c>
      <c r="G7379">
        <v>0</v>
      </c>
      <c r="H7379">
        <v>24.980399999999999</v>
      </c>
      <c r="U7379">
        <v>24.980399999999999</v>
      </c>
    </row>
    <row r="7380" spans="1:21" x14ac:dyDescent="0.35">
      <c r="A7380" t="s">
        <v>293</v>
      </c>
      <c r="B7380" t="s">
        <v>2598</v>
      </c>
      <c r="C7380" t="s">
        <v>8</v>
      </c>
      <c r="D7380" t="s">
        <v>1720</v>
      </c>
      <c r="E7380">
        <v>10.272</v>
      </c>
      <c r="F7380">
        <v>3</v>
      </c>
      <c r="G7380">
        <v>0.2</v>
      </c>
      <c r="H7380">
        <v>1.1556</v>
      </c>
      <c r="U7380">
        <v>1.1556</v>
      </c>
    </row>
    <row r="7381" spans="1:21" x14ac:dyDescent="0.35">
      <c r="A7381" t="s">
        <v>951</v>
      </c>
      <c r="B7381" t="s">
        <v>42</v>
      </c>
      <c r="C7381" t="s">
        <v>35</v>
      </c>
      <c r="D7381" t="s">
        <v>1702</v>
      </c>
      <c r="E7381">
        <v>40.74</v>
      </c>
      <c r="F7381">
        <v>3</v>
      </c>
      <c r="G7381">
        <v>0</v>
      </c>
      <c r="H7381">
        <v>0.40739999999999998</v>
      </c>
      <c r="U7381">
        <v>0.40739999999999998</v>
      </c>
    </row>
    <row r="7382" spans="1:21" x14ac:dyDescent="0.35">
      <c r="A7382" t="s">
        <v>951</v>
      </c>
      <c r="B7382" t="s">
        <v>42</v>
      </c>
      <c r="C7382" t="s">
        <v>35</v>
      </c>
      <c r="D7382" t="s">
        <v>2148</v>
      </c>
      <c r="E7382">
        <v>14.4</v>
      </c>
      <c r="F7382">
        <v>5</v>
      </c>
      <c r="G7382">
        <v>0</v>
      </c>
      <c r="H7382">
        <v>7.056</v>
      </c>
      <c r="U7382">
        <v>7.056</v>
      </c>
    </row>
    <row r="7383" spans="1:21" x14ac:dyDescent="0.35">
      <c r="A7383" t="s">
        <v>951</v>
      </c>
      <c r="B7383" t="s">
        <v>42</v>
      </c>
      <c r="C7383" t="s">
        <v>35</v>
      </c>
      <c r="D7383" t="s">
        <v>2330</v>
      </c>
      <c r="E7383">
        <v>149.94999999999999</v>
      </c>
      <c r="F7383">
        <v>5</v>
      </c>
      <c r="G7383">
        <v>0</v>
      </c>
      <c r="H7383">
        <v>41.985999999999997</v>
      </c>
      <c r="U7383">
        <v>41.985999999999997</v>
      </c>
    </row>
    <row r="7384" spans="1:21" x14ac:dyDescent="0.35">
      <c r="A7384" t="s">
        <v>951</v>
      </c>
      <c r="B7384" t="s">
        <v>42</v>
      </c>
      <c r="C7384" t="s">
        <v>35</v>
      </c>
      <c r="D7384" t="s">
        <v>2412</v>
      </c>
      <c r="E7384">
        <v>16.899999999999999</v>
      </c>
      <c r="F7384">
        <v>2</v>
      </c>
      <c r="G7384">
        <v>0</v>
      </c>
      <c r="H7384">
        <v>5.07</v>
      </c>
      <c r="U7384">
        <v>5.07</v>
      </c>
    </row>
    <row r="7385" spans="1:21" x14ac:dyDescent="0.35">
      <c r="A7385" t="s">
        <v>951</v>
      </c>
      <c r="B7385" t="s">
        <v>42</v>
      </c>
      <c r="C7385" t="s">
        <v>35</v>
      </c>
      <c r="D7385" t="s">
        <v>1245</v>
      </c>
      <c r="E7385">
        <v>17.61</v>
      </c>
      <c r="F7385">
        <v>3</v>
      </c>
      <c r="G7385">
        <v>0</v>
      </c>
      <c r="H7385">
        <v>8.4527999999999999</v>
      </c>
      <c r="U7385">
        <v>8.4527999999999999</v>
      </c>
    </row>
    <row r="7386" spans="1:21" x14ac:dyDescent="0.35">
      <c r="A7386" t="s">
        <v>951</v>
      </c>
      <c r="B7386" t="s">
        <v>42</v>
      </c>
      <c r="C7386" t="s">
        <v>35</v>
      </c>
      <c r="D7386" t="s">
        <v>1844</v>
      </c>
      <c r="E7386">
        <v>378</v>
      </c>
      <c r="F7386">
        <v>2</v>
      </c>
      <c r="G7386">
        <v>0</v>
      </c>
      <c r="H7386">
        <v>136.08000000000001</v>
      </c>
      <c r="U7386">
        <v>136.08000000000001</v>
      </c>
    </row>
    <row r="7387" spans="1:21" x14ac:dyDescent="0.35">
      <c r="A7387" t="s">
        <v>951</v>
      </c>
      <c r="B7387" t="s">
        <v>42</v>
      </c>
      <c r="C7387" t="s">
        <v>35</v>
      </c>
      <c r="D7387" t="s">
        <v>1679</v>
      </c>
      <c r="E7387">
        <v>17.64</v>
      </c>
      <c r="F7387">
        <v>3</v>
      </c>
      <c r="G7387">
        <v>0</v>
      </c>
      <c r="H7387">
        <v>8.6435999999999993</v>
      </c>
      <c r="U7387">
        <v>8.6435999999999993</v>
      </c>
    </row>
    <row r="7388" spans="1:21" x14ac:dyDescent="0.35">
      <c r="A7388" t="s">
        <v>951</v>
      </c>
      <c r="B7388" t="s">
        <v>42</v>
      </c>
      <c r="C7388" t="s">
        <v>35</v>
      </c>
      <c r="D7388" t="s">
        <v>1406</v>
      </c>
      <c r="E7388">
        <v>373.08</v>
      </c>
      <c r="F7388">
        <v>6</v>
      </c>
      <c r="G7388">
        <v>0</v>
      </c>
      <c r="H7388">
        <v>100.7316</v>
      </c>
      <c r="U7388">
        <v>100.7316</v>
      </c>
    </row>
    <row r="7389" spans="1:21" x14ac:dyDescent="0.35">
      <c r="A7389" t="s">
        <v>951</v>
      </c>
      <c r="B7389" t="s">
        <v>42</v>
      </c>
      <c r="C7389" t="s">
        <v>35</v>
      </c>
      <c r="D7389" t="s">
        <v>78</v>
      </c>
      <c r="E7389">
        <v>1336.44</v>
      </c>
      <c r="F7389">
        <v>14</v>
      </c>
      <c r="G7389">
        <v>0</v>
      </c>
      <c r="H7389">
        <v>387.56760000000003</v>
      </c>
      <c r="U7389">
        <v>387.56760000000003</v>
      </c>
    </row>
    <row r="7390" spans="1:21" x14ac:dyDescent="0.35">
      <c r="A7390" t="s">
        <v>951</v>
      </c>
      <c r="B7390" t="s">
        <v>42</v>
      </c>
      <c r="C7390" t="s">
        <v>35</v>
      </c>
      <c r="D7390" t="s">
        <v>1838</v>
      </c>
      <c r="E7390">
        <v>29.97</v>
      </c>
      <c r="F7390">
        <v>3</v>
      </c>
      <c r="G7390">
        <v>0</v>
      </c>
      <c r="H7390">
        <v>0.29970000000000002</v>
      </c>
      <c r="U7390">
        <v>0.29970000000000002</v>
      </c>
    </row>
    <row r="7391" spans="1:21" x14ac:dyDescent="0.35">
      <c r="A7391" t="s">
        <v>1255</v>
      </c>
      <c r="B7391" t="s">
        <v>307</v>
      </c>
      <c r="C7391" t="s">
        <v>8</v>
      </c>
      <c r="D7391" t="s">
        <v>10</v>
      </c>
      <c r="E7391">
        <v>390.36799999999999</v>
      </c>
      <c r="F7391">
        <v>2</v>
      </c>
      <c r="G7391">
        <v>0.2</v>
      </c>
      <c r="H7391">
        <v>48.795999999999999</v>
      </c>
      <c r="U7391">
        <v>48.795999999999999</v>
      </c>
    </row>
    <row r="7392" spans="1:21" x14ac:dyDescent="0.35">
      <c r="A7392" t="s">
        <v>1255</v>
      </c>
      <c r="B7392" t="s">
        <v>307</v>
      </c>
      <c r="C7392" t="s">
        <v>8</v>
      </c>
      <c r="D7392" t="s">
        <v>2437</v>
      </c>
      <c r="E7392">
        <v>101.52</v>
      </c>
      <c r="F7392">
        <v>5</v>
      </c>
      <c r="G7392">
        <v>0.2</v>
      </c>
      <c r="H7392">
        <v>19.035</v>
      </c>
      <c r="U7392">
        <v>19.035</v>
      </c>
    </row>
    <row r="7393" spans="1:21" x14ac:dyDescent="0.35">
      <c r="A7393" s="1">
        <v>42837</v>
      </c>
      <c r="B7393" t="s">
        <v>1447</v>
      </c>
      <c r="C7393" t="s">
        <v>55</v>
      </c>
      <c r="D7393" t="s">
        <v>1883</v>
      </c>
      <c r="E7393">
        <v>74.352000000000004</v>
      </c>
      <c r="F7393">
        <v>3</v>
      </c>
      <c r="G7393">
        <v>0.2</v>
      </c>
      <c r="H7393">
        <v>23.234999999999999</v>
      </c>
      <c r="U7393">
        <v>23.234999999999999</v>
      </c>
    </row>
    <row r="7394" spans="1:21" x14ac:dyDescent="0.35">
      <c r="A7394" s="1">
        <v>42771</v>
      </c>
      <c r="B7394" t="s">
        <v>2476</v>
      </c>
      <c r="C7394" t="s">
        <v>13</v>
      </c>
      <c r="D7394" t="s">
        <v>2203</v>
      </c>
      <c r="E7394">
        <v>15.7</v>
      </c>
      <c r="F7394">
        <v>5</v>
      </c>
      <c r="G7394">
        <v>0</v>
      </c>
      <c r="H7394">
        <v>7.0650000000000004</v>
      </c>
      <c r="U7394">
        <v>7.0650000000000004</v>
      </c>
    </row>
    <row r="7395" spans="1:21" x14ac:dyDescent="0.35">
      <c r="A7395" s="1">
        <v>42771</v>
      </c>
      <c r="B7395" t="s">
        <v>2476</v>
      </c>
      <c r="C7395" t="s">
        <v>13</v>
      </c>
      <c r="D7395" t="s">
        <v>2323</v>
      </c>
      <c r="E7395">
        <v>59.52</v>
      </c>
      <c r="F7395">
        <v>3</v>
      </c>
      <c r="G7395">
        <v>0</v>
      </c>
      <c r="H7395">
        <v>15.475199999999999</v>
      </c>
      <c r="U7395">
        <v>15.475199999999999</v>
      </c>
    </row>
    <row r="7396" spans="1:21" x14ac:dyDescent="0.35">
      <c r="A7396" s="1">
        <v>42771</v>
      </c>
      <c r="B7396" t="s">
        <v>2476</v>
      </c>
      <c r="C7396" t="s">
        <v>13</v>
      </c>
      <c r="D7396" t="s">
        <v>610</v>
      </c>
      <c r="E7396">
        <v>34.4</v>
      </c>
      <c r="F7396">
        <v>5</v>
      </c>
      <c r="G7396">
        <v>0</v>
      </c>
      <c r="H7396">
        <v>15.824</v>
      </c>
      <c r="U7396">
        <v>15.824</v>
      </c>
    </row>
    <row r="7397" spans="1:21" x14ac:dyDescent="0.35">
      <c r="A7397" t="s">
        <v>1545</v>
      </c>
      <c r="B7397" t="s">
        <v>2403</v>
      </c>
      <c r="C7397" t="s">
        <v>55</v>
      </c>
      <c r="D7397" t="s">
        <v>1609</v>
      </c>
      <c r="E7397">
        <v>313.17599999999999</v>
      </c>
      <c r="F7397">
        <v>2</v>
      </c>
      <c r="G7397">
        <v>0.4</v>
      </c>
      <c r="H7397">
        <v>-120.0508</v>
      </c>
      <c r="U7397">
        <v>-120.0508</v>
      </c>
    </row>
    <row r="7398" spans="1:21" x14ac:dyDescent="0.35">
      <c r="A7398" t="s">
        <v>1545</v>
      </c>
      <c r="B7398" t="s">
        <v>2403</v>
      </c>
      <c r="C7398" t="s">
        <v>55</v>
      </c>
      <c r="D7398" t="s">
        <v>1112</v>
      </c>
      <c r="E7398">
        <v>866.64599999999996</v>
      </c>
      <c r="F7398">
        <v>3</v>
      </c>
      <c r="G7398">
        <v>0.1</v>
      </c>
      <c r="H7398">
        <v>173.32919999999999</v>
      </c>
      <c r="U7398">
        <v>173.32919999999999</v>
      </c>
    </row>
    <row r="7399" spans="1:21" x14ac:dyDescent="0.35">
      <c r="A7399" t="s">
        <v>1830</v>
      </c>
      <c r="B7399" t="s">
        <v>2287</v>
      </c>
      <c r="C7399" t="s">
        <v>55</v>
      </c>
      <c r="D7399" t="s">
        <v>391</v>
      </c>
      <c r="E7399">
        <v>795.40800000000002</v>
      </c>
      <c r="F7399">
        <v>6</v>
      </c>
      <c r="G7399">
        <v>0.2</v>
      </c>
      <c r="H7399">
        <v>59.6556</v>
      </c>
      <c r="U7399">
        <v>59.6556</v>
      </c>
    </row>
    <row r="7400" spans="1:21" x14ac:dyDescent="0.35">
      <c r="A7400" s="1">
        <v>41980</v>
      </c>
      <c r="B7400" t="s">
        <v>985</v>
      </c>
      <c r="C7400" t="s">
        <v>35</v>
      </c>
      <c r="D7400" t="s">
        <v>1728</v>
      </c>
      <c r="E7400">
        <v>35.856000000000002</v>
      </c>
      <c r="F7400">
        <v>9</v>
      </c>
      <c r="G7400">
        <v>0.2</v>
      </c>
      <c r="H7400">
        <v>12.9978</v>
      </c>
      <c r="U7400">
        <v>12.9978</v>
      </c>
    </row>
    <row r="7401" spans="1:21" x14ac:dyDescent="0.35">
      <c r="A7401" s="1">
        <v>41980</v>
      </c>
      <c r="B7401" t="s">
        <v>985</v>
      </c>
      <c r="C7401" t="s">
        <v>35</v>
      </c>
      <c r="D7401" t="s">
        <v>980</v>
      </c>
      <c r="E7401">
        <v>23.84</v>
      </c>
      <c r="F7401">
        <v>4</v>
      </c>
      <c r="G7401">
        <v>0.2</v>
      </c>
      <c r="H7401">
        <v>3.278</v>
      </c>
      <c r="U7401">
        <v>3.278</v>
      </c>
    </row>
    <row r="7402" spans="1:21" x14ac:dyDescent="0.35">
      <c r="A7402" s="1">
        <v>42591</v>
      </c>
      <c r="B7402" t="s">
        <v>1169</v>
      </c>
      <c r="C7402" t="s">
        <v>13</v>
      </c>
      <c r="D7402" t="s">
        <v>894</v>
      </c>
      <c r="E7402">
        <v>43.13</v>
      </c>
      <c r="F7402">
        <v>1</v>
      </c>
      <c r="G7402">
        <v>0</v>
      </c>
      <c r="H7402">
        <v>14.664199999999999</v>
      </c>
      <c r="U7402">
        <v>14.664199999999999</v>
      </c>
    </row>
    <row r="7403" spans="1:21" x14ac:dyDescent="0.35">
      <c r="A7403" s="1">
        <v>42591</v>
      </c>
      <c r="B7403" t="s">
        <v>1169</v>
      </c>
      <c r="C7403" t="s">
        <v>13</v>
      </c>
      <c r="D7403" t="s">
        <v>495</v>
      </c>
      <c r="E7403">
        <v>30.87</v>
      </c>
      <c r="F7403">
        <v>7</v>
      </c>
      <c r="G7403">
        <v>0</v>
      </c>
      <c r="H7403">
        <v>14.200200000000001</v>
      </c>
      <c r="U7403">
        <v>14.200200000000001</v>
      </c>
    </row>
    <row r="7404" spans="1:21" x14ac:dyDescent="0.35">
      <c r="A7404" s="1">
        <v>42894</v>
      </c>
      <c r="B7404" t="s">
        <v>542</v>
      </c>
      <c r="C7404" t="s">
        <v>55</v>
      </c>
      <c r="D7404" t="s">
        <v>678</v>
      </c>
      <c r="E7404">
        <v>70.12</v>
      </c>
      <c r="F7404">
        <v>4</v>
      </c>
      <c r="G7404">
        <v>0</v>
      </c>
      <c r="H7404">
        <v>21.036000000000001</v>
      </c>
      <c r="U7404">
        <v>21.036000000000001</v>
      </c>
    </row>
    <row r="7405" spans="1:21" x14ac:dyDescent="0.35">
      <c r="A7405" t="s">
        <v>1043</v>
      </c>
      <c r="B7405" t="s">
        <v>476</v>
      </c>
      <c r="C7405" t="s">
        <v>13</v>
      </c>
      <c r="D7405" t="s">
        <v>1038</v>
      </c>
      <c r="E7405">
        <v>509.95749999999998</v>
      </c>
      <c r="F7405">
        <v>5</v>
      </c>
      <c r="G7405">
        <v>0.15</v>
      </c>
      <c r="H7405">
        <v>41.996499999999997</v>
      </c>
      <c r="U7405">
        <v>41.996499999999997</v>
      </c>
    </row>
    <row r="7406" spans="1:21" x14ac:dyDescent="0.35">
      <c r="A7406" t="s">
        <v>1043</v>
      </c>
      <c r="B7406" t="s">
        <v>476</v>
      </c>
      <c r="C7406" t="s">
        <v>13</v>
      </c>
      <c r="D7406" t="s">
        <v>943</v>
      </c>
      <c r="E7406">
        <v>122.91</v>
      </c>
      <c r="F7406">
        <v>3</v>
      </c>
      <c r="G7406">
        <v>0</v>
      </c>
      <c r="H7406">
        <v>34.4148</v>
      </c>
      <c r="U7406">
        <v>34.4148</v>
      </c>
    </row>
    <row r="7407" spans="1:21" x14ac:dyDescent="0.35">
      <c r="A7407" t="s">
        <v>1043</v>
      </c>
      <c r="B7407" t="s">
        <v>476</v>
      </c>
      <c r="C7407" t="s">
        <v>13</v>
      </c>
      <c r="D7407" t="s">
        <v>1951</v>
      </c>
      <c r="E7407">
        <v>97.567999999999998</v>
      </c>
      <c r="F7407">
        <v>2</v>
      </c>
      <c r="G7407">
        <v>0.2</v>
      </c>
      <c r="H7407">
        <v>-6.0979999999999999</v>
      </c>
      <c r="U7407">
        <v>-6.0979999999999999</v>
      </c>
    </row>
    <row r="7408" spans="1:21" x14ac:dyDescent="0.35">
      <c r="A7408" t="s">
        <v>1043</v>
      </c>
      <c r="B7408" t="s">
        <v>476</v>
      </c>
      <c r="C7408" t="s">
        <v>13</v>
      </c>
      <c r="D7408" t="s">
        <v>2316</v>
      </c>
      <c r="E7408">
        <v>722.35199999999998</v>
      </c>
      <c r="F7408">
        <v>3</v>
      </c>
      <c r="G7408">
        <v>0.2</v>
      </c>
      <c r="H7408">
        <v>81.264600000000002</v>
      </c>
      <c r="U7408">
        <v>81.264600000000002</v>
      </c>
    </row>
    <row r="7409" spans="1:21" x14ac:dyDescent="0.35">
      <c r="A7409" t="s">
        <v>742</v>
      </c>
      <c r="B7409" t="s">
        <v>2016</v>
      </c>
      <c r="C7409" t="s">
        <v>35</v>
      </c>
      <c r="D7409" t="s">
        <v>1294</v>
      </c>
      <c r="E7409">
        <v>11.52</v>
      </c>
      <c r="F7409">
        <v>5</v>
      </c>
      <c r="G7409">
        <v>0.2</v>
      </c>
      <c r="H7409">
        <v>4.1760000000000002</v>
      </c>
      <c r="U7409">
        <v>4.1760000000000002</v>
      </c>
    </row>
    <row r="7410" spans="1:21" x14ac:dyDescent="0.35">
      <c r="A7410" t="s">
        <v>838</v>
      </c>
      <c r="B7410" t="s">
        <v>2302</v>
      </c>
      <c r="C7410" t="s">
        <v>13</v>
      </c>
      <c r="D7410" t="s">
        <v>2293</v>
      </c>
      <c r="E7410">
        <v>167.84</v>
      </c>
      <c r="F7410">
        <v>8</v>
      </c>
      <c r="G7410">
        <v>0</v>
      </c>
      <c r="H7410">
        <v>11.748799999999999</v>
      </c>
      <c r="U7410">
        <v>11.748799999999999</v>
      </c>
    </row>
    <row r="7411" spans="1:21" x14ac:dyDescent="0.35">
      <c r="A7411" s="1">
        <v>41855</v>
      </c>
      <c r="B7411" t="s">
        <v>1335</v>
      </c>
      <c r="C7411" t="s">
        <v>55</v>
      </c>
      <c r="D7411" t="s">
        <v>2520</v>
      </c>
      <c r="E7411">
        <v>172.11</v>
      </c>
      <c r="F7411">
        <v>1</v>
      </c>
      <c r="G7411">
        <v>0.4</v>
      </c>
      <c r="H7411">
        <v>-94.660499999999999</v>
      </c>
      <c r="U7411">
        <v>-94.660499999999999</v>
      </c>
    </row>
    <row r="7412" spans="1:21" x14ac:dyDescent="0.35">
      <c r="A7412" t="s">
        <v>631</v>
      </c>
      <c r="B7412" t="s">
        <v>42</v>
      </c>
      <c r="C7412" t="s">
        <v>55</v>
      </c>
      <c r="D7412" t="s">
        <v>1595</v>
      </c>
      <c r="E7412">
        <v>99.98</v>
      </c>
      <c r="F7412">
        <v>2</v>
      </c>
      <c r="G7412">
        <v>0</v>
      </c>
      <c r="H7412">
        <v>7.9984000000000002</v>
      </c>
      <c r="U7412">
        <v>7.9984000000000002</v>
      </c>
    </row>
    <row r="7413" spans="1:21" x14ac:dyDescent="0.35">
      <c r="A7413" t="s">
        <v>175</v>
      </c>
      <c r="B7413" t="s">
        <v>1597</v>
      </c>
      <c r="C7413" t="s">
        <v>13</v>
      </c>
      <c r="D7413" t="s">
        <v>2455</v>
      </c>
      <c r="E7413">
        <v>156.792</v>
      </c>
      <c r="F7413">
        <v>1</v>
      </c>
      <c r="G7413">
        <v>0.2</v>
      </c>
      <c r="H7413">
        <v>17.639099999999999</v>
      </c>
      <c r="U7413">
        <v>17.639099999999999</v>
      </c>
    </row>
    <row r="7414" spans="1:21" x14ac:dyDescent="0.35">
      <c r="A7414" t="s">
        <v>175</v>
      </c>
      <c r="B7414" t="s">
        <v>1597</v>
      </c>
      <c r="C7414" t="s">
        <v>13</v>
      </c>
      <c r="D7414" t="s">
        <v>361</v>
      </c>
      <c r="E7414">
        <v>35.36</v>
      </c>
      <c r="F7414">
        <v>2</v>
      </c>
      <c r="G7414">
        <v>0.2</v>
      </c>
      <c r="H7414">
        <v>-3.0939999999999999</v>
      </c>
      <c r="U7414">
        <v>-3.0939999999999999</v>
      </c>
    </row>
    <row r="7415" spans="1:21" x14ac:dyDescent="0.35">
      <c r="A7415" t="s">
        <v>175</v>
      </c>
      <c r="B7415" t="s">
        <v>1597</v>
      </c>
      <c r="C7415" t="s">
        <v>13</v>
      </c>
      <c r="D7415" t="s">
        <v>2663</v>
      </c>
      <c r="E7415">
        <v>13.592000000000001</v>
      </c>
      <c r="F7415">
        <v>1</v>
      </c>
      <c r="G7415">
        <v>0.2</v>
      </c>
      <c r="H7415">
        <v>-0.33979999999999999</v>
      </c>
      <c r="U7415">
        <v>-0.33979999999999999</v>
      </c>
    </row>
    <row r="7416" spans="1:21" x14ac:dyDescent="0.35">
      <c r="A7416" t="s">
        <v>97</v>
      </c>
      <c r="B7416" t="s">
        <v>162</v>
      </c>
      <c r="C7416" t="s">
        <v>55</v>
      </c>
      <c r="D7416" t="s">
        <v>321</v>
      </c>
      <c r="E7416">
        <v>386.68</v>
      </c>
      <c r="F7416">
        <v>2</v>
      </c>
      <c r="G7416">
        <v>0.3</v>
      </c>
      <c r="H7416">
        <v>-5.524</v>
      </c>
      <c r="U7416">
        <v>-5.524</v>
      </c>
    </row>
    <row r="7417" spans="1:21" x14ac:dyDescent="0.35">
      <c r="A7417" t="s">
        <v>97</v>
      </c>
      <c r="B7417" t="s">
        <v>162</v>
      </c>
      <c r="C7417" t="s">
        <v>55</v>
      </c>
      <c r="D7417" t="s">
        <v>2356</v>
      </c>
      <c r="E7417">
        <v>379.96</v>
      </c>
      <c r="F7417">
        <v>5</v>
      </c>
      <c r="G7417">
        <v>0.2</v>
      </c>
      <c r="H7417">
        <v>47.494999999999997</v>
      </c>
      <c r="U7417">
        <v>47.494999999999997</v>
      </c>
    </row>
    <row r="7418" spans="1:21" x14ac:dyDescent="0.35">
      <c r="A7418" t="s">
        <v>97</v>
      </c>
      <c r="B7418" t="s">
        <v>162</v>
      </c>
      <c r="C7418" t="s">
        <v>55</v>
      </c>
      <c r="D7418" t="s">
        <v>1252</v>
      </c>
      <c r="E7418">
        <v>539.91</v>
      </c>
      <c r="F7418">
        <v>3</v>
      </c>
      <c r="G7418">
        <v>0.4</v>
      </c>
      <c r="H7418">
        <v>-116.98050000000001</v>
      </c>
      <c r="U7418">
        <v>-116.98050000000001</v>
      </c>
    </row>
    <row r="7419" spans="1:21" x14ac:dyDescent="0.35">
      <c r="A7419" t="s">
        <v>97</v>
      </c>
      <c r="B7419" t="s">
        <v>162</v>
      </c>
      <c r="C7419" t="s">
        <v>55</v>
      </c>
      <c r="D7419" t="s">
        <v>2381</v>
      </c>
      <c r="E7419">
        <v>41.24</v>
      </c>
      <c r="F7419">
        <v>5</v>
      </c>
      <c r="G7419">
        <v>0.2</v>
      </c>
      <c r="H7419">
        <v>13.9185</v>
      </c>
      <c r="U7419">
        <v>13.9185</v>
      </c>
    </row>
    <row r="7420" spans="1:21" x14ac:dyDescent="0.35">
      <c r="A7420" t="s">
        <v>97</v>
      </c>
      <c r="B7420" t="s">
        <v>162</v>
      </c>
      <c r="C7420" t="s">
        <v>55</v>
      </c>
      <c r="D7420" t="s">
        <v>2440</v>
      </c>
      <c r="E7420">
        <v>51.896999999999998</v>
      </c>
      <c r="F7420">
        <v>1</v>
      </c>
      <c r="G7420">
        <v>0.7</v>
      </c>
      <c r="H7420">
        <v>-41.517600000000002</v>
      </c>
      <c r="U7420">
        <v>-41.517600000000002</v>
      </c>
    </row>
    <row r="7421" spans="1:21" x14ac:dyDescent="0.35">
      <c r="A7421" t="s">
        <v>97</v>
      </c>
      <c r="B7421" t="s">
        <v>162</v>
      </c>
      <c r="C7421" t="s">
        <v>55</v>
      </c>
      <c r="D7421" t="s">
        <v>1575</v>
      </c>
      <c r="E7421">
        <v>552.55999999999995</v>
      </c>
      <c r="F7421">
        <v>5</v>
      </c>
      <c r="G7421">
        <v>0.2</v>
      </c>
      <c r="H7421">
        <v>-138.13999999999999</v>
      </c>
      <c r="U7421">
        <v>-138.13999999999999</v>
      </c>
    </row>
    <row r="7422" spans="1:21" x14ac:dyDescent="0.35">
      <c r="A7422" t="s">
        <v>97</v>
      </c>
      <c r="B7422" t="s">
        <v>162</v>
      </c>
      <c r="C7422" t="s">
        <v>55</v>
      </c>
      <c r="D7422" t="s">
        <v>1773</v>
      </c>
      <c r="E7422">
        <v>23.16</v>
      </c>
      <c r="F7422">
        <v>5</v>
      </c>
      <c r="G7422">
        <v>0.7</v>
      </c>
      <c r="H7422">
        <v>-15.44</v>
      </c>
      <c r="U7422">
        <v>-15.44</v>
      </c>
    </row>
    <row r="7423" spans="1:21" x14ac:dyDescent="0.35">
      <c r="A7423" t="s">
        <v>97</v>
      </c>
      <c r="B7423" t="s">
        <v>162</v>
      </c>
      <c r="C7423" t="s">
        <v>55</v>
      </c>
      <c r="D7423" t="s">
        <v>2693</v>
      </c>
      <c r="E7423">
        <v>126.08</v>
      </c>
      <c r="F7423">
        <v>2</v>
      </c>
      <c r="G7423">
        <v>0.2</v>
      </c>
      <c r="H7423">
        <v>-28.367999999999999</v>
      </c>
      <c r="U7423">
        <v>-28.367999999999999</v>
      </c>
    </row>
    <row r="7424" spans="1:21" x14ac:dyDescent="0.35">
      <c r="A7424" t="s">
        <v>97</v>
      </c>
      <c r="B7424" t="s">
        <v>162</v>
      </c>
      <c r="C7424" t="s">
        <v>55</v>
      </c>
      <c r="D7424" t="s">
        <v>2397</v>
      </c>
      <c r="E7424">
        <v>449.1</v>
      </c>
      <c r="F7424">
        <v>3</v>
      </c>
      <c r="G7424">
        <v>0.7</v>
      </c>
      <c r="H7424">
        <v>-643.71</v>
      </c>
      <c r="U7424">
        <v>-643.71</v>
      </c>
    </row>
    <row r="7425" spans="1:21" x14ac:dyDescent="0.35">
      <c r="A7425" s="1">
        <v>43012</v>
      </c>
      <c r="B7425" t="s">
        <v>386</v>
      </c>
      <c r="C7425" t="s">
        <v>55</v>
      </c>
      <c r="D7425" t="s">
        <v>2073</v>
      </c>
      <c r="E7425">
        <v>195.10400000000001</v>
      </c>
      <c r="F7425">
        <v>4</v>
      </c>
      <c r="G7425">
        <v>0.2</v>
      </c>
      <c r="H7425">
        <v>21.949200000000001</v>
      </c>
      <c r="U7425">
        <v>21.949200000000001</v>
      </c>
    </row>
    <row r="7426" spans="1:21" x14ac:dyDescent="0.35">
      <c r="A7426" s="1">
        <v>43012</v>
      </c>
      <c r="B7426" t="s">
        <v>386</v>
      </c>
      <c r="C7426" t="s">
        <v>55</v>
      </c>
      <c r="D7426" t="s">
        <v>1196</v>
      </c>
      <c r="E7426">
        <v>36.671999999999997</v>
      </c>
      <c r="F7426">
        <v>3</v>
      </c>
      <c r="G7426">
        <v>0.2</v>
      </c>
      <c r="H7426">
        <v>6.4176000000000002</v>
      </c>
      <c r="U7426">
        <v>6.4176000000000002</v>
      </c>
    </row>
    <row r="7427" spans="1:21" x14ac:dyDescent="0.35">
      <c r="A7427" t="s">
        <v>106</v>
      </c>
      <c r="B7427" t="s">
        <v>390</v>
      </c>
      <c r="C7427" t="s">
        <v>35</v>
      </c>
      <c r="D7427" t="s">
        <v>138</v>
      </c>
      <c r="E7427">
        <v>85.245999999999995</v>
      </c>
      <c r="F7427">
        <v>2</v>
      </c>
      <c r="G7427">
        <v>0.3</v>
      </c>
      <c r="H7427">
        <v>-6.0890000000000004</v>
      </c>
      <c r="U7427">
        <v>-6.0890000000000004</v>
      </c>
    </row>
    <row r="7428" spans="1:21" x14ac:dyDescent="0.35">
      <c r="A7428" t="s">
        <v>106</v>
      </c>
      <c r="B7428" t="s">
        <v>390</v>
      </c>
      <c r="C7428" t="s">
        <v>35</v>
      </c>
      <c r="D7428" t="s">
        <v>2372</v>
      </c>
      <c r="E7428">
        <v>32.712000000000003</v>
      </c>
      <c r="F7428">
        <v>2</v>
      </c>
      <c r="G7428">
        <v>0.6</v>
      </c>
      <c r="H7428">
        <v>-26.169599999999999</v>
      </c>
      <c r="U7428">
        <v>-26.169599999999999</v>
      </c>
    </row>
    <row r="7429" spans="1:21" x14ac:dyDescent="0.35">
      <c r="A7429" t="s">
        <v>1582</v>
      </c>
      <c r="B7429" t="s">
        <v>2646</v>
      </c>
      <c r="C7429" t="s">
        <v>8</v>
      </c>
      <c r="D7429" t="s">
        <v>974</v>
      </c>
      <c r="E7429">
        <v>11.43</v>
      </c>
      <c r="F7429">
        <v>3</v>
      </c>
      <c r="G7429">
        <v>0</v>
      </c>
      <c r="H7429">
        <v>5.3720999999999997</v>
      </c>
      <c r="U7429">
        <v>5.3720999999999997</v>
      </c>
    </row>
    <row r="7430" spans="1:21" x14ac:dyDescent="0.35">
      <c r="A7430" t="s">
        <v>1582</v>
      </c>
      <c r="B7430" t="s">
        <v>2646</v>
      </c>
      <c r="C7430" t="s">
        <v>8</v>
      </c>
      <c r="D7430" t="s">
        <v>647</v>
      </c>
      <c r="E7430">
        <v>30.44</v>
      </c>
      <c r="F7430">
        <v>2</v>
      </c>
      <c r="G7430">
        <v>0</v>
      </c>
      <c r="H7430">
        <v>14.9156</v>
      </c>
      <c r="U7430">
        <v>14.9156</v>
      </c>
    </row>
    <row r="7431" spans="1:21" x14ac:dyDescent="0.35">
      <c r="A7431" t="s">
        <v>1582</v>
      </c>
      <c r="B7431" t="s">
        <v>2646</v>
      </c>
      <c r="C7431" t="s">
        <v>8</v>
      </c>
      <c r="D7431" t="s">
        <v>439</v>
      </c>
      <c r="E7431">
        <v>12.96</v>
      </c>
      <c r="F7431">
        <v>2</v>
      </c>
      <c r="G7431">
        <v>0</v>
      </c>
      <c r="H7431">
        <v>6.3503999999999996</v>
      </c>
      <c r="U7431">
        <v>6.3503999999999996</v>
      </c>
    </row>
    <row r="7432" spans="1:21" x14ac:dyDescent="0.35">
      <c r="A7432" t="s">
        <v>1582</v>
      </c>
      <c r="B7432" t="s">
        <v>2646</v>
      </c>
      <c r="C7432" t="s">
        <v>8</v>
      </c>
      <c r="D7432" t="s">
        <v>2594</v>
      </c>
      <c r="E7432">
        <v>16</v>
      </c>
      <c r="F7432">
        <v>4</v>
      </c>
      <c r="G7432">
        <v>0</v>
      </c>
      <c r="H7432">
        <v>7.68</v>
      </c>
      <c r="U7432">
        <v>7.68</v>
      </c>
    </row>
    <row r="7433" spans="1:21" x14ac:dyDescent="0.35">
      <c r="A7433" t="s">
        <v>1582</v>
      </c>
      <c r="B7433" t="s">
        <v>2646</v>
      </c>
      <c r="C7433" t="s">
        <v>8</v>
      </c>
      <c r="D7433" t="s">
        <v>1550</v>
      </c>
      <c r="E7433">
        <v>32.67</v>
      </c>
      <c r="F7433">
        <v>3</v>
      </c>
      <c r="G7433">
        <v>0</v>
      </c>
      <c r="H7433">
        <v>8.4941999999999993</v>
      </c>
      <c r="U7433">
        <v>8.4941999999999993</v>
      </c>
    </row>
    <row r="7434" spans="1:21" x14ac:dyDescent="0.35">
      <c r="A7434" s="1">
        <v>41890</v>
      </c>
      <c r="B7434" t="s">
        <v>2504</v>
      </c>
      <c r="C7434" t="s">
        <v>13</v>
      </c>
      <c r="D7434" t="s">
        <v>1379</v>
      </c>
      <c r="E7434">
        <v>4.4640000000000004</v>
      </c>
      <c r="F7434">
        <v>3</v>
      </c>
      <c r="G7434">
        <v>0.2</v>
      </c>
      <c r="H7434">
        <v>-0.9486</v>
      </c>
      <c r="U7434">
        <v>-0.9486</v>
      </c>
    </row>
    <row r="7435" spans="1:21" x14ac:dyDescent="0.35">
      <c r="A7435" s="1">
        <v>41890</v>
      </c>
      <c r="B7435" t="s">
        <v>2504</v>
      </c>
      <c r="C7435" t="s">
        <v>13</v>
      </c>
      <c r="D7435" t="s">
        <v>1375</v>
      </c>
      <c r="E7435">
        <v>9.3450000000000006</v>
      </c>
      <c r="F7435">
        <v>5</v>
      </c>
      <c r="G7435">
        <v>0.7</v>
      </c>
      <c r="H7435">
        <v>-6.5415000000000001</v>
      </c>
      <c r="U7435">
        <v>-6.5415000000000001</v>
      </c>
    </row>
    <row r="7436" spans="1:21" x14ac:dyDescent="0.35">
      <c r="A7436" t="s">
        <v>1280</v>
      </c>
      <c r="B7436" t="s">
        <v>670</v>
      </c>
      <c r="C7436" t="s">
        <v>13</v>
      </c>
      <c r="D7436" t="s">
        <v>974</v>
      </c>
      <c r="E7436">
        <v>9.1440000000000001</v>
      </c>
      <c r="F7436">
        <v>3</v>
      </c>
      <c r="G7436">
        <v>0.2</v>
      </c>
      <c r="H7436">
        <v>3.0861000000000001</v>
      </c>
      <c r="U7436">
        <v>3.0861000000000001</v>
      </c>
    </row>
    <row r="7437" spans="1:21" x14ac:dyDescent="0.35">
      <c r="A7437" t="s">
        <v>1280</v>
      </c>
      <c r="B7437" t="s">
        <v>670</v>
      </c>
      <c r="C7437" t="s">
        <v>13</v>
      </c>
      <c r="D7437" t="s">
        <v>587</v>
      </c>
      <c r="E7437">
        <v>23.135999999999999</v>
      </c>
      <c r="F7437">
        <v>6</v>
      </c>
      <c r="G7437">
        <v>0.2</v>
      </c>
      <c r="H7437">
        <v>8.3867999999999991</v>
      </c>
      <c r="U7437">
        <v>8.3867999999999991</v>
      </c>
    </row>
    <row r="7438" spans="1:21" x14ac:dyDescent="0.35">
      <c r="A7438" t="s">
        <v>1280</v>
      </c>
      <c r="B7438" t="s">
        <v>670</v>
      </c>
      <c r="C7438" t="s">
        <v>13</v>
      </c>
      <c r="D7438" t="s">
        <v>1874</v>
      </c>
      <c r="E7438">
        <v>99.2</v>
      </c>
      <c r="F7438">
        <v>5</v>
      </c>
      <c r="G7438">
        <v>0</v>
      </c>
      <c r="H7438">
        <v>25.792000000000002</v>
      </c>
      <c r="U7438">
        <v>25.792000000000002</v>
      </c>
    </row>
    <row r="7439" spans="1:21" x14ac:dyDescent="0.35">
      <c r="A7439" t="s">
        <v>2621</v>
      </c>
      <c r="B7439" t="s">
        <v>1102</v>
      </c>
      <c r="C7439" t="s">
        <v>13</v>
      </c>
      <c r="D7439" t="s">
        <v>1482</v>
      </c>
      <c r="E7439">
        <v>21.36</v>
      </c>
      <c r="F7439">
        <v>5</v>
      </c>
      <c r="G7439">
        <v>0.2</v>
      </c>
      <c r="H7439">
        <v>7.2089999999999996</v>
      </c>
      <c r="U7439">
        <v>7.2089999999999996</v>
      </c>
    </row>
    <row r="7440" spans="1:21" x14ac:dyDescent="0.35">
      <c r="A7440" t="s">
        <v>1739</v>
      </c>
      <c r="B7440" t="s">
        <v>1566</v>
      </c>
      <c r="C7440" t="s">
        <v>13</v>
      </c>
      <c r="D7440" t="s">
        <v>2248</v>
      </c>
      <c r="E7440">
        <v>46.9</v>
      </c>
      <c r="F7440">
        <v>5</v>
      </c>
      <c r="G7440">
        <v>0</v>
      </c>
      <c r="H7440">
        <v>13.132</v>
      </c>
      <c r="U7440">
        <v>13.132</v>
      </c>
    </row>
    <row r="7441" spans="1:21" x14ac:dyDescent="0.35">
      <c r="A7441" s="1">
        <v>42775</v>
      </c>
      <c r="B7441" t="s">
        <v>1843</v>
      </c>
      <c r="C7441" t="s">
        <v>13</v>
      </c>
      <c r="D7441" t="s">
        <v>1083</v>
      </c>
      <c r="E7441">
        <v>18.72</v>
      </c>
      <c r="F7441">
        <v>5</v>
      </c>
      <c r="G7441">
        <v>0.2</v>
      </c>
      <c r="H7441">
        <v>6.5519999999999996</v>
      </c>
      <c r="U7441">
        <v>6.5519999999999996</v>
      </c>
    </row>
    <row r="7442" spans="1:21" x14ac:dyDescent="0.35">
      <c r="A7442" s="1">
        <v>42775</v>
      </c>
      <c r="B7442" t="s">
        <v>1843</v>
      </c>
      <c r="C7442" t="s">
        <v>13</v>
      </c>
      <c r="D7442" t="s">
        <v>1810</v>
      </c>
      <c r="E7442">
        <v>236.52799999999999</v>
      </c>
      <c r="F7442">
        <v>2</v>
      </c>
      <c r="G7442">
        <v>0.2</v>
      </c>
      <c r="H7442">
        <v>-2.9565999999999999</v>
      </c>
      <c r="U7442">
        <v>-2.9565999999999999</v>
      </c>
    </row>
    <row r="7443" spans="1:21" x14ac:dyDescent="0.35">
      <c r="A7443" t="s">
        <v>1755</v>
      </c>
      <c r="B7443" t="s">
        <v>802</v>
      </c>
      <c r="C7443" t="s">
        <v>13</v>
      </c>
      <c r="D7443" t="s">
        <v>333</v>
      </c>
      <c r="E7443">
        <v>18.899999999999999</v>
      </c>
      <c r="F7443">
        <v>3</v>
      </c>
      <c r="G7443">
        <v>0</v>
      </c>
      <c r="H7443">
        <v>8.6940000000000008</v>
      </c>
      <c r="U7443">
        <v>8.6940000000000008</v>
      </c>
    </row>
    <row r="7444" spans="1:21" x14ac:dyDescent="0.35">
      <c r="A7444" s="1">
        <v>41894</v>
      </c>
      <c r="B7444" t="s">
        <v>2661</v>
      </c>
      <c r="C7444" t="s">
        <v>35</v>
      </c>
      <c r="D7444" t="s">
        <v>266</v>
      </c>
      <c r="E7444">
        <v>10.688000000000001</v>
      </c>
      <c r="F7444">
        <v>2</v>
      </c>
      <c r="G7444">
        <v>0.2</v>
      </c>
      <c r="H7444">
        <v>3.7408000000000001</v>
      </c>
      <c r="U7444">
        <v>3.7408000000000001</v>
      </c>
    </row>
    <row r="7445" spans="1:21" x14ac:dyDescent="0.35">
      <c r="A7445" s="1">
        <v>41894</v>
      </c>
      <c r="B7445" t="s">
        <v>2661</v>
      </c>
      <c r="C7445" t="s">
        <v>35</v>
      </c>
      <c r="D7445" t="s">
        <v>1068</v>
      </c>
      <c r="E7445">
        <v>237.096</v>
      </c>
      <c r="F7445">
        <v>3</v>
      </c>
      <c r="G7445">
        <v>0.2</v>
      </c>
      <c r="H7445">
        <v>20.745899999999999</v>
      </c>
      <c r="U7445">
        <v>20.745899999999999</v>
      </c>
    </row>
    <row r="7446" spans="1:21" x14ac:dyDescent="0.35">
      <c r="A7446" s="1">
        <v>42796</v>
      </c>
      <c r="B7446" t="s">
        <v>1065</v>
      </c>
      <c r="C7446" t="s">
        <v>35</v>
      </c>
      <c r="D7446" t="s">
        <v>1349</v>
      </c>
      <c r="E7446">
        <v>5.1840000000000002</v>
      </c>
      <c r="F7446">
        <v>1</v>
      </c>
      <c r="G7446">
        <v>0.2</v>
      </c>
      <c r="H7446">
        <v>1.8144</v>
      </c>
      <c r="U7446">
        <v>1.8144</v>
      </c>
    </row>
    <row r="7447" spans="1:21" x14ac:dyDescent="0.35">
      <c r="A7447" s="1">
        <v>42796</v>
      </c>
      <c r="B7447" t="s">
        <v>1065</v>
      </c>
      <c r="C7447" t="s">
        <v>35</v>
      </c>
      <c r="D7447" t="s">
        <v>2355</v>
      </c>
      <c r="E7447">
        <v>65.584000000000003</v>
      </c>
      <c r="F7447">
        <v>2</v>
      </c>
      <c r="G7447">
        <v>0.2</v>
      </c>
      <c r="H7447">
        <v>23.7742</v>
      </c>
      <c r="U7447">
        <v>23.7742</v>
      </c>
    </row>
    <row r="7448" spans="1:21" x14ac:dyDescent="0.35">
      <c r="A7448" s="1">
        <v>42796</v>
      </c>
      <c r="B7448" t="s">
        <v>1065</v>
      </c>
      <c r="C7448" t="s">
        <v>35</v>
      </c>
      <c r="D7448" t="s">
        <v>2036</v>
      </c>
      <c r="E7448">
        <v>22.2</v>
      </c>
      <c r="F7448">
        <v>1</v>
      </c>
      <c r="G7448">
        <v>0.6</v>
      </c>
      <c r="H7448">
        <v>-26.085000000000001</v>
      </c>
      <c r="U7448">
        <v>-26.085000000000001</v>
      </c>
    </row>
    <row r="7449" spans="1:21" x14ac:dyDescent="0.35">
      <c r="A7449" s="1">
        <v>42796</v>
      </c>
      <c r="B7449" t="s">
        <v>1065</v>
      </c>
      <c r="C7449" t="s">
        <v>35</v>
      </c>
      <c r="D7449" t="s">
        <v>1615</v>
      </c>
      <c r="E7449">
        <v>419.4</v>
      </c>
      <c r="F7449">
        <v>5</v>
      </c>
      <c r="G7449">
        <v>0.2</v>
      </c>
      <c r="H7449">
        <v>146.79</v>
      </c>
      <c r="U7449">
        <v>146.79</v>
      </c>
    </row>
    <row r="7450" spans="1:21" x14ac:dyDescent="0.35">
      <c r="A7450" s="1">
        <v>43050</v>
      </c>
      <c r="B7450" t="s">
        <v>2235</v>
      </c>
      <c r="C7450" t="s">
        <v>8</v>
      </c>
      <c r="D7450" t="s">
        <v>1141</v>
      </c>
      <c r="E7450">
        <v>88.92</v>
      </c>
      <c r="F7450">
        <v>5</v>
      </c>
      <c r="G7450">
        <v>0.2</v>
      </c>
      <c r="H7450">
        <v>14.4495</v>
      </c>
      <c r="U7450">
        <v>14.4495</v>
      </c>
    </row>
    <row r="7451" spans="1:21" x14ac:dyDescent="0.35">
      <c r="A7451" t="s">
        <v>149</v>
      </c>
      <c r="B7451" t="s">
        <v>1207</v>
      </c>
      <c r="C7451" t="s">
        <v>35</v>
      </c>
      <c r="D7451" t="s">
        <v>221</v>
      </c>
      <c r="E7451">
        <v>9.9120000000000008</v>
      </c>
      <c r="F7451">
        <v>3</v>
      </c>
      <c r="G7451">
        <v>0.2</v>
      </c>
      <c r="H7451">
        <v>3.2214</v>
      </c>
      <c r="U7451">
        <v>3.2214</v>
      </c>
    </row>
    <row r="7452" spans="1:21" x14ac:dyDescent="0.35">
      <c r="A7452" t="s">
        <v>149</v>
      </c>
      <c r="B7452" t="s">
        <v>1207</v>
      </c>
      <c r="C7452" t="s">
        <v>35</v>
      </c>
      <c r="D7452" t="s">
        <v>1924</v>
      </c>
      <c r="E7452">
        <v>318.43</v>
      </c>
      <c r="F7452">
        <v>5</v>
      </c>
      <c r="G7452">
        <v>0.3</v>
      </c>
      <c r="H7452">
        <v>-77.332999999999998</v>
      </c>
      <c r="U7452">
        <v>-77.332999999999998</v>
      </c>
    </row>
    <row r="7453" spans="1:21" x14ac:dyDescent="0.35">
      <c r="A7453" t="s">
        <v>149</v>
      </c>
      <c r="B7453" t="s">
        <v>1207</v>
      </c>
      <c r="C7453" t="s">
        <v>35</v>
      </c>
      <c r="D7453" t="s">
        <v>624</v>
      </c>
      <c r="E7453">
        <v>5.8</v>
      </c>
      <c r="F7453">
        <v>5</v>
      </c>
      <c r="G7453">
        <v>0.8</v>
      </c>
      <c r="H7453">
        <v>-10.15</v>
      </c>
      <c r="U7453">
        <v>-10.15</v>
      </c>
    </row>
    <row r="7454" spans="1:21" x14ac:dyDescent="0.35">
      <c r="A7454" t="s">
        <v>149</v>
      </c>
      <c r="B7454" t="s">
        <v>1207</v>
      </c>
      <c r="C7454" t="s">
        <v>35</v>
      </c>
      <c r="D7454" t="s">
        <v>2378</v>
      </c>
      <c r="E7454">
        <v>1415.76</v>
      </c>
      <c r="F7454">
        <v>6</v>
      </c>
      <c r="G7454">
        <v>0.2</v>
      </c>
      <c r="H7454">
        <v>88.484999999999999</v>
      </c>
      <c r="U7454">
        <v>88.484999999999999</v>
      </c>
    </row>
    <row r="7455" spans="1:21" x14ac:dyDescent="0.35">
      <c r="A7455" t="s">
        <v>1757</v>
      </c>
      <c r="B7455" t="s">
        <v>975</v>
      </c>
      <c r="C7455" t="s">
        <v>35</v>
      </c>
      <c r="D7455" t="s">
        <v>1530</v>
      </c>
      <c r="E7455">
        <v>148.47999999999999</v>
      </c>
      <c r="F7455">
        <v>2</v>
      </c>
      <c r="G7455">
        <v>0.2</v>
      </c>
      <c r="H7455">
        <v>16.704000000000001</v>
      </c>
      <c r="U7455">
        <v>16.704000000000001</v>
      </c>
    </row>
    <row r="7456" spans="1:21" x14ac:dyDescent="0.35">
      <c r="A7456" t="s">
        <v>2003</v>
      </c>
      <c r="B7456" t="s">
        <v>1284</v>
      </c>
      <c r="C7456" t="s">
        <v>35</v>
      </c>
      <c r="D7456" t="s">
        <v>2176</v>
      </c>
      <c r="E7456">
        <v>9.2479999999999993</v>
      </c>
      <c r="F7456">
        <v>4</v>
      </c>
      <c r="G7456">
        <v>0.2</v>
      </c>
      <c r="H7456">
        <v>3.1212</v>
      </c>
      <c r="U7456">
        <v>3.1212</v>
      </c>
    </row>
    <row r="7457" spans="1:21" x14ac:dyDescent="0.35">
      <c r="A7457" t="s">
        <v>2003</v>
      </c>
      <c r="B7457" t="s">
        <v>1284</v>
      </c>
      <c r="C7457" t="s">
        <v>35</v>
      </c>
      <c r="D7457" t="s">
        <v>898</v>
      </c>
      <c r="E7457">
        <v>1036.624</v>
      </c>
      <c r="F7457">
        <v>2</v>
      </c>
      <c r="G7457">
        <v>0.2</v>
      </c>
      <c r="H7457">
        <v>51.831200000000003</v>
      </c>
      <c r="U7457">
        <v>51.831200000000003</v>
      </c>
    </row>
    <row r="7458" spans="1:21" x14ac:dyDescent="0.35">
      <c r="A7458" t="s">
        <v>1378</v>
      </c>
      <c r="B7458" t="s">
        <v>1230</v>
      </c>
      <c r="C7458" t="s">
        <v>8</v>
      </c>
      <c r="D7458" t="s">
        <v>26</v>
      </c>
      <c r="E7458">
        <v>569.64</v>
      </c>
      <c r="F7458">
        <v>2</v>
      </c>
      <c r="G7458">
        <v>0</v>
      </c>
      <c r="H7458">
        <v>148.10640000000001</v>
      </c>
      <c r="U7458">
        <v>148.10640000000001</v>
      </c>
    </row>
    <row r="7459" spans="1:21" x14ac:dyDescent="0.35">
      <c r="A7459" t="s">
        <v>1378</v>
      </c>
      <c r="B7459" t="s">
        <v>1230</v>
      </c>
      <c r="C7459" t="s">
        <v>8</v>
      </c>
      <c r="D7459" t="s">
        <v>1114</v>
      </c>
      <c r="E7459">
        <v>9.14</v>
      </c>
      <c r="F7459">
        <v>1</v>
      </c>
      <c r="G7459">
        <v>0</v>
      </c>
      <c r="H7459">
        <v>4.57</v>
      </c>
      <c r="U7459">
        <v>4.57</v>
      </c>
    </row>
    <row r="7460" spans="1:21" x14ac:dyDescent="0.35">
      <c r="A7460" t="s">
        <v>1378</v>
      </c>
      <c r="B7460" t="s">
        <v>1230</v>
      </c>
      <c r="C7460" t="s">
        <v>8</v>
      </c>
      <c r="D7460" t="s">
        <v>2070</v>
      </c>
      <c r="E7460">
        <v>1196.8599999999999</v>
      </c>
      <c r="F7460">
        <v>7</v>
      </c>
      <c r="G7460">
        <v>0</v>
      </c>
      <c r="H7460">
        <v>119.68600000000001</v>
      </c>
      <c r="U7460">
        <v>119.68600000000001</v>
      </c>
    </row>
    <row r="7461" spans="1:21" x14ac:dyDescent="0.35">
      <c r="A7461" t="s">
        <v>1378</v>
      </c>
      <c r="B7461" t="s">
        <v>1230</v>
      </c>
      <c r="C7461" t="s">
        <v>8</v>
      </c>
      <c r="D7461" t="s">
        <v>1190</v>
      </c>
      <c r="E7461">
        <v>523.26</v>
      </c>
      <c r="F7461">
        <v>9</v>
      </c>
      <c r="G7461">
        <v>0</v>
      </c>
      <c r="H7461">
        <v>125.58240000000001</v>
      </c>
      <c r="U7461">
        <v>125.58240000000001</v>
      </c>
    </row>
    <row r="7462" spans="1:21" x14ac:dyDescent="0.35">
      <c r="A7462" s="1">
        <v>42312</v>
      </c>
      <c r="B7462" t="s">
        <v>1688</v>
      </c>
      <c r="C7462" t="s">
        <v>13</v>
      </c>
      <c r="D7462" t="s">
        <v>2541</v>
      </c>
      <c r="E7462">
        <v>639.96799999999996</v>
      </c>
      <c r="F7462">
        <v>4</v>
      </c>
      <c r="G7462">
        <v>0.2</v>
      </c>
      <c r="H7462">
        <v>215.98920000000001</v>
      </c>
      <c r="U7462">
        <v>215.98920000000001</v>
      </c>
    </row>
    <row r="7463" spans="1:21" x14ac:dyDescent="0.35">
      <c r="A7463" s="1">
        <v>42312</v>
      </c>
      <c r="B7463" t="s">
        <v>1688</v>
      </c>
      <c r="C7463" t="s">
        <v>13</v>
      </c>
      <c r="D7463" t="s">
        <v>75</v>
      </c>
      <c r="E7463">
        <v>52.76</v>
      </c>
      <c r="F7463">
        <v>2</v>
      </c>
      <c r="G7463">
        <v>0</v>
      </c>
      <c r="H7463">
        <v>24.269600000000001</v>
      </c>
      <c r="U7463">
        <v>24.269600000000001</v>
      </c>
    </row>
    <row r="7464" spans="1:21" x14ac:dyDescent="0.35">
      <c r="A7464" t="s">
        <v>2429</v>
      </c>
      <c r="B7464" t="s">
        <v>304</v>
      </c>
      <c r="C7464" t="s">
        <v>13</v>
      </c>
      <c r="D7464" t="s">
        <v>636</v>
      </c>
      <c r="E7464">
        <v>538.91999999999996</v>
      </c>
      <c r="F7464">
        <v>9</v>
      </c>
      <c r="G7464">
        <v>0</v>
      </c>
      <c r="H7464">
        <v>80.837999999999994</v>
      </c>
      <c r="U7464">
        <v>80.837999999999994</v>
      </c>
    </row>
    <row r="7465" spans="1:21" x14ac:dyDescent="0.35">
      <c r="A7465" s="1">
        <v>42591</v>
      </c>
      <c r="B7465" t="s">
        <v>1557</v>
      </c>
      <c r="C7465" t="s">
        <v>13</v>
      </c>
      <c r="D7465" t="s">
        <v>2262</v>
      </c>
      <c r="E7465">
        <v>14.88</v>
      </c>
      <c r="F7465">
        <v>2</v>
      </c>
      <c r="G7465">
        <v>0</v>
      </c>
      <c r="H7465">
        <v>3.72</v>
      </c>
      <c r="U7465">
        <v>3.72</v>
      </c>
    </row>
    <row r="7466" spans="1:21" x14ac:dyDescent="0.35">
      <c r="A7466" s="1">
        <v>42591</v>
      </c>
      <c r="B7466" t="s">
        <v>1557</v>
      </c>
      <c r="C7466" t="s">
        <v>13</v>
      </c>
      <c r="D7466" t="s">
        <v>2367</v>
      </c>
      <c r="E7466">
        <v>34.24</v>
      </c>
      <c r="F7466">
        <v>8</v>
      </c>
      <c r="G7466">
        <v>0</v>
      </c>
      <c r="H7466">
        <v>15.407999999999999</v>
      </c>
      <c r="U7466">
        <v>15.407999999999999</v>
      </c>
    </row>
    <row r="7467" spans="1:21" x14ac:dyDescent="0.35">
      <c r="A7467" s="1">
        <v>42591</v>
      </c>
      <c r="B7467" t="s">
        <v>1557</v>
      </c>
      <c r="C7467" t="s">
        <v>13</v>
      </c>
      <c r="D7467" t="s">
        <v>969</v>
      </c>
      <c r="E7467">
        <v>261.74</v>
      </c>
      <c r="F7467">
        <v>2</v>
      </c>
      <c r="G7467">
        <v>0</v>
      </c>
      <c r="H7467">
        <v>65.435000000000002</v>
      </c>
      <c r="U7467">
        <v>65.435000000000002</v>
      </c>
    </row>
    <row r="7468" spans="1:21" x14ac:dyDescent="0.35">
      <c r="A7468" t="s">
        <v>1110</v>
      </c>
      <c r="B7468" t="s">
        <v>2377</v>
      </c>
      <c r="C7468" t="s">
        <v>13</v>
      </c>
      <c r="D7468" t="s">
        <v>691</v>
      </c>
      <c r="E7468">
        <v>87.84</v>
      </c>
      <c r="F7468">
        <v>8</v>
      </c>
      <c r="G7468">
        <v>0</v>
      </c>
      <c r="H7468">
        <v>23.716799999999999</v>
      </c>
      <c r="U7468">
        <v>23.716799999999999</v>
      </c>
    </row>
    <row r="7469" spans="1:21" x14ac:dyDescent="0.35">
      <c r="A7469" s="1">
        <v>43050</v>
      </c>
      <c r="B7469" t="s">
        <v>1291</v>
      </c>
      <c r="C7469" t="s">
        <v>13</v>
      </c>
      <c r="D7469" t="s">
        <v>1231</v>
      </c>
      <c r="E7469">
        <v>34.92</v>
      </c>
      <c r="F7469">
        <v>4</v>
      </c>
      <c r="G7469">
        <v>0</v>
      </c>
      <c r="H7469">
        <v>11.8728</v>
      </c>
      <c r="U7469">
        <v>11.8728</v>
      </c>
    </row>
    <row r="7470" spans="1:21" x14ac:dyDescent="0.35">
      <c r="A7470" t="s">
        <v>1241</v>
      </c>
      <c r="B7470" t="s">
        <v>1446</v>
      </c>
      <c r="C7470" t="s">
        <v>55</v>
      </c>
      <c r="D7470" t="s">
        <v>75</v>
      </c>
      <c r="E7470">
        <v>14.94</v>
      </c>
      <c r="F7470">
        <v>3</v>
      </c>
      <c r="G7470">
        <v>0</v>
      </c>
      <c r="H7470">
        <v>7.0217999999999998</v>
      </c>
      <c r="U7470">
        <v>7.0217999999999998</v>
      </c>
    </row>
    <row r="7471" spans="1:21" x14ac:dyDescent="0.35">
      <c r="A7471" t="s">
        <v>1241</v>
      </c>
      <c r="B7471" t="s">
        <v>1446</v>
      </c>
      <c r="C7471" t="s">
        <v>55</v>
      </c>
      <c r="D7471" t="s">
        <v>1696</v>
      </c>
      <c r="E7471">
        <v>14.56</v>
      </c>
      <c r="F7471">
        <v>2</v>
      </c>
      <c r="G7471">
        <v>0</v>
      </c>
      <c r="H7471">
        <v>6.2607999999999997</v>
      </c>
      <c r="U7471">
        <v>6.2607999999999997</v>
      </c>
    </row>
    <row r="7472" spans="1:21" x14ac:dyDescent="0.35">
      <c r="A7472" t="s">
        <v>1474</v>
      </c>
      <c r="B7472" t="s">
        <v>1915</v>
      </c>
      <c r="C7472" t="s">
        <v>55</v>
      </c>
      <c r="D7472" t="s">
        <v>207</v>
      </c>
      <c r="E7472">
        <v>3.5760000000000001</v>
      </c>
      <c r="F7472">
        <v>4</v>
      </c>
      <c r="G7472">
        <v>0.7</v>
      </c>
      <c r="H7472">
        <v>-2.8607999999999998</v>
      </c>
      <c r="U7472">
        <v>-2.8607999999999998</v>
      </c>
    </row>
    <row r="7473" spans="1:21" x14ac:dyDescent="0.35">
      <c r="A7473" t="s">
        <v>1474</v>
      </c>
      <c r="B7473" t="s">
        <v>1915</v>
      </c>
      <c r="C7473" t="s">
        <v>55</v>
      </c>
      <c r="D7473" t="s">
        <v>401</v>
      </c>
      <c r="E7473">
        <v>147.184</v>
      </c>
      <c r="F7473">
        <v>2</v>
      </c>
      <c r="G7473">
        <v>0.2</v>
      </c>
      <c r="H7473">
        <v>-29.436800000000002</v>
      </c>
      <c r="U7473">
        <v>-29.436800000000002</v>
      </c>
    </row>
    <row r="7474" spans="1:21" x14ac:dyDescent="0.35">
      <c r="A7474" s="1">
        <v>42376</v>
      </c>
      <c r="B7474" t="s">
        <v>2268</v>
      </c>
      <c r="C7474" t="s">
        <v>13</v>
      </c>
      <c r="D7474" t="s">
        <v>2097</v>
      </c>
      <c r="E7474">
        <v>1499.95</v>
      </c>
      <c r="F7474">
        <v>5</v>
      </c>
      <c r="G7474">
        <v>0</v>
      </c>
      <c r="H7474">
        <v>449.98500000000001</v>
      </c>
      <c r="U7474">
        <v>449.98500000000001</v>
      </c>
    </row>
    <row r="7475" spans="1:21" x14ac:dyDescent="0.35">
      <c r="A7475" s="1">
        <v>42647</v>
      </c>
      <c r="B7475" t="s">
        <v>1543</v>
      </c>
      <c r="C7475" t="s">
        <v>35</v>
      </c>
      <c r="D7475" t="s">
        <v>1303</v>
      </c>
      <c r="E7475">
        <v>13.568</v>
      </c>
      <c r="F7475">
        <v>4</v>
      </c>
      <c r="G7475">
        <v>0.2</v>
      </c>
      <c r="H7475">
        <v>3.2223999999999999</v>
      </c>
      <c r="U7475">
        <v>3.2223999999999999</v>
      </c>
    </row>
    <row r="7476" spans="1:21" x14ac:dyDescent="0.35">
      <c r="A7476" s="1">
        <v>41791</v>
      </c>
      <c r="B7476" t="s">
        <v>1643</v>
      </c>
      <c r="C7476" t="s">
        <v>8</v>
      </c>
      <c r="D7476" t="s">
        <v>250</v>
      </c>
      <c r="E7476">
        <v>2573.8200000000002</v>
      </c>
      <c r="F7476">
        <v>9</v>
      </c>
      <c r="G7476">
        <v>0</v>
      </c>
      <c r="H7476">
        <v>746.40779999999995</v>
      </c>
      <c r="U7476">
        <v>746.40779999999995</v>
      </c>
    </row>
    <row r="7477" spans="1:21" x14ac:dyDescent="0.35">
      <c r="A7477" s="1">
        <v>41791</v>
      </c>
      <c r="B7477" t="s">
        <v>1643</v>
      </c>
      <c r="C7477" t="s">
        <v>8</v>
      </c>
      <c r="D7477" t="s">
        <v>1032</v>
      </c>
      <c r="E7477">
        <v>609.98</v>
      </c>
      <c r="F7477">
        <v>2</v>
      </c>
      <c r="G7477">
        <v>0</v>
      </c>
      <c r="H7477">
        <v>274.49099999999999</v>
      </c>
      <c r="U7477">
        <v>274.49099999999999</v>
      </c>
    </row>
    <row r="7478" spans="1:21" x14ac:dyDescent="0.35">
      <c r="A7478" s="1">
        <v>41791</v>
      </c>
      <c r="B7478" t="s">
        <v>1643</v>
      </c>
      <c r="C7478" t="s">
        <v>8</v>
      </c>
      <c r="D7478" t="s">
        <v>846</v>
      </c>
      <c r="E7478">
        <v>5.48</v>
      </c>
      <c r="F7478">
        <v>2</v>
      </c>
      <c r="G7478">
        <v>0</v>
      </c>
      <c r="H7478">
        <v>1.4796</v>
      </c>
      <c r="U7478">
        <v>1.4796</v>
      </c>
    </row>
    <row r="7479" spans="1:21" x14ac:dyDescent="0.35">
      <c r="A7479" s="1">
        <v>41791</v>
      </c>
      <c r="B7479" t="s">
        <v>1643</v>
      </c>
      <c r="C7479" t="s">
        <v>8</v>
      </c>
      <c r="D7479" t="s">
        <v>77</v>
      </c>
      <c r="E7479">
        <v>391.98</v>
      </c>
      <c r="F7479">
        <v>2</v>
      </c>
      <c r="G7479">
        <v>0</v>
      </c>
      <c r="H7479">
        <v>113.6742</v>
      </c>
      <c r="U7479">
        <v>113.6742</v>
      </c>
    </row>
    <row r="7480" spans="1:21" x14ac:dyDescent="0.35">
      <c r="A7480" s="1">
        <v>41791</v>
      </c>
      <c r="B7480" t="s">
        <v>1643</v>
      </c>
      <c r="C7480" t="s">
        <v>8</v>
      </c>
      <c r="D7480" t="s">
        <v>1462</v>
      </c>
      <c r="E7480">
        <v>755.96</v>
      </c>
      <c r="F7480">
        <v>4</v>
      </c>
      <c r="G7480">
        <v>0</v>
      </c>
      <c r="H7480">
        <v>204.10919999999999</v>
      </c>
      <c r="U7480">
        <v>204.10919999999999</v>
      </c>
    </row>
    <row r="7481" spans="1:21" x14ac:dyDescent="0.35">
      <c r="A7481" s="1">
        <v>41791</v>
      </c>
      <c r="B7481" t="s">
        <v>1643</v>
      </c>
      <c r="C7481" t="s">
        <v>8</v>
      </c>
      <c r="D7481" t="s">
        <v>2329</v>
      </c>
      <c r="E7481">
        <v>31.12</v>
      </c>
      <c r="F7481">
        <v>4</v>
      </c>
      <c r="G7481">
        <v>0</v>
      </c>
      <c r="H7481">
        <v>0.31119999999999998</v>
      </c>
      <c r="U7481">
        <v>0.31119999999999998</v>
      </c>
    </row>
    <row r="7482" spans="1:21" x14ac:dyDescent="0.35">
      <c r="A7482" s="1">
        <v>41791</v>
      </c>
      <c r="B7482" t="s">
        <v>1643</v>
      </c>
      <c r="C7482" t="s">
        <v>8</v>
      </c>
      <c r="D7482" t="s">
        <v>1356</v>
      </c>
      <c r="E7482">
        <v>6.54</v>
      </c>
      <c r="F7482">
        <v>1</v>
      </c>
      <c r="G7482">
        <v>0</v>
      </c>
      <c r="H7482">
        <v>3.0084</v>
      </c>
      <c r="U7482">
        <v>3.0084</v>
      </c>
    </row>
    <row r="7483" spans="1:21" x14ac:dyDescent="0.35">
      <c r="A7483" s="1">
        <v>42378</v>
      </c>
      <c r="B7483" t="s">
        <v>2342</v>
      </c>
      <c r="C7483" t="s">
        <v>13</v>
      </c>
      <c r="D7483" t="s">
        <v>245</v>
      </c>
      <c r="E7483">
        <v>12.78</v>
      </c>
      <c r="F7483">
        <v>1</v>
      </c>
      <c r="G7483">
        <v>0</v>
      </c>
      <c r="H7483">
        <v>5.7510000000000003</v>
      </c>
      <c r="U7483">
        <v>5.7510000000000003</v>
      </c>
    </row>
    <row r="7484" spans="1:21" x14ac:dyDescent="0.35">
      <c r="A7484" t="s">
        <v>666</v>
      </c>
      <c r="B7484" t="s">
        <v>2224</v>
      </c>
      <c r="C7484" t="s">
        <v>55</v>
      </c>
      <c r="D7484" t="s">
        <v>147</v>
      </c>
      <c r="E7484">
        <v>18.463999999999999</v>
      </c>
      <c r="F7484">
        <v>4</v>
      </c>
      <c r="G7484">
        <v>0.2</v>
      </c>
      <c r="H7484">
        <v>6.9240000000000004</v>
      </c>
      <c r="U7484">
        <v>6.9240000000000004</v>
      </c>
    </row>
    <row r="7485" spans="1:21" x14ac:dyDescent="0.35">
      <c r="A7485" t="s">
        <v>1218</v>
      </c>
      <c r="B7485" t="s">
        <v>763</v>
      </c>
      <c r="C7485" t="s">
        <v>55</v>
      </c>
      <c r="D7485" t="s">
        <v>1924</v>
      </c>
      <c r="E7485">
        <v>445.80200000000002</v>
      </c>
      <c r="F7485">
        <v>7</v>
      </c>
      <c r="G7485">
        <v>0.3</v>
      </c>
      <c r="H7485">
        <v>-108.2662</v>
      </c>
      <c r="U7485">
        <v>-108.2662</v>
      </c>
    </row>
    <row r="7486" spans="1:21" x14ac:dyDescent="0.35">
      <c r="A7486" t="s">
        <v>485</v>
      </c>
      <c r="B7486" t="s">
        <v>172</v>
      </c>
      <c r="C7486" t="s">
        <v>35</v>
      </c>
      <c r="D7486" t="s">
        <v>1342</v>
      </c>
      <c r="E7486">
        <v>2.48</v>
      </c>
      <c r="F7486">
        <v>1</v>
      </c>
      <c r="G7486">
        <v>0</v>
      </c>
      <c r="H7486">
        <v>0.86799999999999999</v>
      </c>
      <c r="U7486">
        <v>0.86799999999999999</v>
      </c>
    </row>
    <row r="7487" spans="1:21" x14ac:dyDescent="0.35">
      <c r="A7487" t="s">
        <v>485</v>
      </c>
      <c r="B7487" t="s">
        <v>172</v>
      </c>
      <c r="C7487" t="s">
        <v>35</v>
      </c>
      <c r="D7487" t="s">
        <v>2322</v>
      </c>
      <c r="E7487">
        <v>25.9</v>
      </c>
      <c r="F7487">
        <v>5</v>
      </c>
      <c r="G7487">
        <v>0</v>
      </c>
      <c r="H7487">
        <v>12.691000000000001</v>
      </c>
      <c r="U7487">
        <v>12.691000000000001</v>
      </c>
    </row>
    <row r="7488" spans="1:21" x14ac:dyDescent="0.35">
      <c r="A7488" t="s">
        <v>343</v>
      </c>
      <c r="B7488" t="s">
        <v>1228</v>
      </c>
      <c r="C7488" t="s">
        <v>55</v>
      </c>
      <c r="D7488" t="s">
        <v>2100</v>
      </c>
      <c r="E7488">
        <v>29.9</v>
      </c>
      <c r="F7488">
        <v>5</v>
      </c>
      <c r="G7488">
        <v>0</v>
      </c>
      <c r="H7488">
        <v>14.651</v>
      </c>
      <c r="U7488">
        <v>14.651</v>
      </c>
    </row>
    <row r="7489" spans="1:21" x14ac:dyDescent="0.35">
      <c r="A7489" t="s">
        <v>343</v>
      </c>
      <c r="B7489" t="s">
        <v>1228</v>
      </c>
      <c r="C7489" t="s">
        <v>55</v>
      </c>
      <c r="D7489" t="s">
        <v>2049</v>
      </c>
      <c r="E7489">
        <v>2249.91</v>
      </c>
      <c r="F7489">
        <v>9</v>
      </c>
      <c r="G7489">
        <v>0</v>
      </c>
      <c r="H7489">
        <v>517.47929999999997</v>
      </c>
      <c r="U7489">
        <v>517.47929999999997</v>
      </c>
    </row>
    <row r="7490" spans="1:21" x14ac:dyDescent="0.35">
      <c r="A7490" t="s">
        <v>343</v>
      </c>
      <c r="B7490" t="s">
        <v>1228</v>
      </c>
      <c r="C7490" t="s">
        <v>55</v>
      </c>
      <c r="D7490" t="s">
        <v>433</v>
      </c>
      <c r="E7490">
        <v>1053.164</v>
      </c>
      <c r="F7490">
        <v>4</v>
      </c>
      <c r="G7490">
        <v>0.3</v>
      </c>
      <c r="H7490">
        <v>-105.3164</v>
      </c>
      <c r="U7490">
        <v>-105.3164</v>
      </c>
    </row>
    <row r="7491" spans="1:21" x14ac:dyDescent="0.35">
      <c r="A7491" s="1">
        <v>42866</v>
      </c>
      <c r="B7491" t="s">
        <v>2469</v>
      </c>
      <c r="C7491" t="s">
        <v>13</v>
      </c>
      <c r="D7491" t="s">
        <v>1452</v>
      </c>
      <c r="E7491">
        <v>12.96</v>
      </c>
      <c r="F7491">
        <v>2</v>
      </c>
      <c r="G7491">
        <v>0</v>
      </c>
      <c r="H7491">
        <v>6.2207999999999997</v>
      </c>
      <c r="U7491">
        <v>6.2207999999999997</v>
      </c>
    </row>
    <row r="7492" spans="1:21" x14ac:dyDescent="0.35">
      <c r="A7492" s="1">
        <v>42286</v>
      </c>
      <c r="B7492" t="s">
        <v>563</v>
      </c>
      <c r="C7492" t="s">
        <v>13</v>
      </c>
      <c r="D7492" t="s">
        <v>191</v>
      </c>
      <c r="E7492">
        <v>106.68</v>
      </c>
      <c r="F7492">
        <v>6</v>
      </c>
      <c r="G7492">
        <v>0</v>
      </c>
      <c r="H7492">
        <v>33.070799999999998</v>
      </c>
      <c r="U7492">
        <v>33.070799999999998</v>
      </c>
    </row>
    <row r="7493" spans="1:21" x14ac:dyDescent="0.35">
      <c r="A7493" t="s">
        <v>171</v>
      </c>
      <c r="B7493" t="s">
        <v>1715</v>
      </c>
      <c r="C7493" t="s">
        <v>55</v>
      </c>
      <c r="D7493" t="s">
        <v>2590</v>
      </c>
      <c r="E7493">
        <v>119.94</v>
      </c>
      <c r="F7493">
        <v>6</v>
      </c>
      <c r="G7493">
        <v>0</v>
      </c>
      <c r="H7493">
        <v>5.9969999999999999</v>
      </c>
      <c r="U7493">
        <v>5.9969999999999999</v>
      </c>
    </row>
    <row r="7494" spans="1:21" x14ac:dyDescent="0.35">
      <c r="A7494" s="1">
        <v>43048</v>
      </c>
      <c r="B7494" t="s">
        <v>2336</v>
      </c>
      <c r="C7494" t="s">
        <v>35</v>
      </c>
      <c r="D7494" t="s">
        <v>2234</v>
      </c>
      <c r="E7494">
        <v>10.272</v>
      </c>
      <c r="F7494">
        <v>3</v>
      </c>
      <c r="G7494">
        <v>0.2</v>
      </c>
      <c r="H7494">
        <v>3.21</v>
      </c>
      <c r="U7494">
        <v>3.21</v>
      </c>
    </row>
    <row r="7495" spans="1:21" x14ac:dyDescent="0.35">
      <c r="A7495" s="1">
        <v>43048</v>
      </c>
      <c r="B7495" t="s">
        <v>2336</v>
      </c>
      <c r="C7495" t="s">
        <v>35</v>
      </c>
      <c r="D7495" t="s">
        <v>1930</v>
      </c>
      <c r="E7495">
        <v>512.19000000000005</v>
      </c>
      <c r="F7495">
        <v>5</v>
      </c>
      <c r="G7495">
        <v>0.3</v>
      </c>
      <c r="H7495">
        <v>-65.852999999999994</v>
      </c>
      <c r="U7495">
        <v>-65.852999999999994</v>
      </c>
    </row>
    <row r="7496" spans="1:21" x14ac:dyDescent="0.35">
      <c r="A7496" s="1">
        <v>43048</v>
      </c>
      <c r="B7496" t="s">
        <v>2336</v>
      </c>
      <c r="C7496" t="s">
        <v>35</v>
      </c>
      <c r="D7496" t="s">
        <v>1703</v>
      </c>
      <c r="E7496">
        <v>1.556</v>
      </c>
      <c r="F7496">
        <v>2</v>
      </c>
      <c r="G7496">
        <v>0.8</v>
      </c>
      <c r="H7496">
        <v>-4.2012</v>
      </c>
      <c r="U7496">
        <v>-4.2012</v>
      </c>
    </row>
    <row r="7497" spans="1:21" x14ac:dyDescent="0.35">
      <c r="A7497" t="s">
        <v>2030</v>
      </c>
      <c r="B7497" t="s">
        <v>2198</v>
      </c>
      <c r="C7497" t="s">
        <v>13</v>
      </c>
      <c r="D7497" t="s">
        <v>1308</v>
      </c>
      <c r="E7497">
        <v>4.4480000000000004</v>
      </c>
      <c r="F7497">
        <v>2</v>
      </c>
      <c r="G7497">
        <v>0.2</v>
      </c>
      <c r="H7497">
        <v>1.4456</v>
      </c>
      <c r="U7497">
        <v>1.4456</v>
      </c>
    </row>
    <row r="7498" spans="1:21" x14ac:dyDescent="0.35">
      <c r="A7498" t="s">
        <v>2030</v>
      </c>
      <c r="B7498" t="s">
        <v>2198</v>
      </c>
      <c r="C7498" t="s">
        <v>13</v>
      </c>
      <c r="D7498" t="s">
        <v>1282</v>
      </c>
      <c r="E7498">
        <v>276.69</v>
      </c>
      <c r="F7498">
        <v>3</v>
      </c>
      <c r="G7498">
        <v>0</v>
      </c>
      <c r="H7498">
        <v>49.804200000000002</v>
      </c>
      <c r="U7498">
        <v>49.804200000000002</v>
      </c>
    </row>
    <row r="7499" spans="1:21" x14ac:dyDescent="0.35">
      <c r="A7499" t="s">
        <v>2030</v>
      </c>
      <c r="B7499" t="s">
        <v>2198</v>
      </c>
      <c r="C7499" t="s">
        <v>13</v>
      </c>
      <c r="D7499" t="s">
        <v>591</v>
      </c>
      <c r="E7499">
        <v>4.96</v>
      </c>
      <c r="F7499">
        <v>4</v>
      </c>
      <c r="G7499">
        <v>0</v>
      </c>
      <c r="H7499">
        <v>2.3311999999999999</v>
      </c>
      <c r="U7499">
        <v>2.3311999999999999</v>
      </c>
    </row>
    <row r="7500" spans="1:21" x14ac:dyDescent="0.35">
      <c r="A7500" t="s">
        <v>2030</v>
      </c>
      <c r="B7500" t="s">
        <v>2198</v>
      </c>
      <c r="C7500" t="s">
        <v>13</v>
      </c>
      <c r="D7500" t="s">
        <v>69</v>
      </c>
      <c r="E7500">
        <v>71.92</v>
      </c>
      <c r="F7500">
        <v>4</v>
      </c>
      <c r="G7500">
        <v>0</v>
      </c>
      <c r="H7500">
        <v>20.8568</v>
      </c>
      <c r="U7500">
        <v>20.8568</v>
      </c>
    </row>
    <row r="7501" spans="1:21" x14ac:dyDescent="0.35">
      <c r="A7501" t="s">
        <v>2030</v>
      </c>
      <c r="B7501" t="s">
        <v>2198</v>
      </c>
      <c r="C7501" t="s">
        <v>13</v>
      </c>
      <c r="D7501" t="s">
        <v>393</v>
      </c>
      <c r="E7501">
        <v>18.84</v>
      </c>
      <c r="F7501">
        <v>3</v>
      </c>
      <c r="G7501">
        <v>0</v>
      </c>
      <c r="H7501">
        <v>7.9127999999999998</v>
      </c>
      <c r="U7501">
        <v>7.9127999999999998</v>
      </c>
    </row>
    <row r="7502" spans="1:21" x14ac:dyDescent="0.35">
      <c r="A7502" t="s">
        <v>2030</v>
      </c>
      <c r="B7502" t="s">
        <v>2198</v>
      </c>
      <c r="C7502" t="s">
        <v>13</v>
      </c>
      <c r="D7502" t="s">
        <v>827</v>
      </c>
      <c r="E7502">
        <v>140.97</v>
      </c>
      <c r="F7502">
        <v>3</v>
      </c>
      <c r="G7502">
        <v>0</v>
      </c>
      <c r="H7502">
        <v>19.735800000000001</v>
      </c>
      <c r="U7502">
        <v>19.735800000000001</v>
      </c>
    </row>
    <row r="7503" spans="1:21" x14ac:dyDescent="0.35">
      <c r="A7503" t="s">
        <v>2030</v>
      </c>
      <c r="B7503" t="s">
        <v>2198</v>
      </c>
      <c r="C7503" t="s">
        <v>13</v>
      </c>
      <c r="D7503" t="s">
        <v>77</v>
      </c>
      <c r="E7503">
        <v>470.37599999999998</v>
      </c>
      <c r="F7503">
        <v>3</v>
      </c>
      <c r="G7503">
        <v>0.2</v>
      </c>
      <c r="H7503">
        <v>52.917299999999997</v>
      </c>
      <c r="U7503">
        <v>52.917299999999997</v>
      </c>
    </row>
    <row r="7504" spans="1:21" x14ac:dyDescent="0.35">
      <c r="A7504" t="s">
        <v>2370</v>
      </c>
      <c r="B7504" t="s">
        <v>1691</v>
      </c>
      <c r="C7504" t="s">
        <v>13</v>
      </c>
      <c r="D7504" t="s">
        <v>2033</v>
      </c>
      <c r="E7504">
        <v>6.08</v>
      </c>
      <c r="F7504">
        <v>2</v>
      </c>
      <c r="G7504">
        <v>0</v>
      </c>
      <c r="H7504">
        <v>2.0672000000000001</v>
      </c>
      <c r="U7504">
        <v>2.0672000000000001</v>
      </c>
    </row>
    <row r="7505" spans="1:21" x14ac:dyDescent="0.35">
      <c r="A7505" t="s">
        <v>2370</v>
      </c>
      <c r="B7505" t="s">
        <v>1691</v>
      </c>
      <c r="C7505" t="s">
        <v>13</v>
      </c>
      <c r="D7505" t="s">
        <v>119</v>
      </c>
      <c r="E7505">
        <v>164.792</v>
      </c>
      <c r="F7505">
        <v>1</v>
      </c>
      <c r="G7505">
        <v>0.2</v>
      </c>
      <c r="H7505">
        <v>18.539100000000001</v>
      </c>
      <c r="U7505">
        <v>18.539100000000001</v>
      </c>
    </row>
    <row r="7506" spans="1:21" x14ac:dyDescent="0.35">
      <c r="A7506" t="s">
        <v>2573</v>
      </c>
      <c r="B7506" t="s">
        <v>2593</v>
      </c>
      <c r="C7506" t="s">
        <v>55</v>
      </c>
      <c r="D7506" t="s">
        <v>314</v>
      </c>
      <c r="E7506">
        <v>23.36</v>
      </c>
      <c r="F7506">
        <v>2</v>
      </c>
      <c r="G7506">
        <v>0</v>
      </c>
      <c r="H7506">
        <v>11.68</v>
      </c>
      <c r="U7506">
        <v>11.68</v>
      </c>
    </row>
    <row r="7507" spans="1:21" x14ac:dyDescent="0.35">
      <c r="A7507" s="1">
        <v>42953</v>
      </c>
      <c r="B7507" t="s">
        <v>1978</v>
      </c>
      <c r="C7507" t="s">
        <v>35</v>
      </c>
      <c r="D7507" t="s">
        <v>647</v>
      </c>
      <c r="E7507">
        <v>12.176</v>
      </c>
      <c r="F7507">
        <v>4</v>
      </c>
      <c r="G7507">
        <v>0.8</v>
      </c>
      <c r="H7507">
        <v>-18.872800000000002</v>
      </c>
      <c r="U7507">
        <v>-18.872800000000002</v>
      </c>
    </row>
    <row r="7508" spans="1:21" x14ac:dyDescent="0.35">
      <c r="A7508" s="1">
        <v>41681</v>
      </c>
      <c r="B7508" t="s">
        <v>542</v>
      </c>
      <c r="C7508" t="s">
        <v>13</v>
      </c>
      <c r="D7508" t="s">
        <v>1827</v>
      </c>
      <c r="E7508">
        <v>46.384</v>
      </c>
      <c r="F7508">
        <v>2</v>
      </c>
      <c r="G7508">
        <v>0.2</v>
      </c>
      <c r="H7508">
        <v>5.2182000000000004</v>
      </c>
      <c r="U7508">
        <v>5.2182000000000004</v>
      </c>
    </row>
    <row r="7509" spans="1:21" x14ac:dyDescent="0.35">
      <c r="A7509" s="1">
        <v>41681</v>
      </c>
      <c r="B7509" t="s">
        <v>542</v>
      </c>
      <c r="C7509" t="s">
        <v>13</v>
      </c>
      <c r="D7509" t="s">
        <v>487</v>
      </c>
      <c r="E7509">
        <v>362.92</v>
      </c>
      <c r="F7509">
        <v>2</v>
      </c>
      <c r="G7509">
        <v>0</v>
      </c>
      <c r="H7509">
        <v>105.24679999999999</v>
      </c>
      <c r="U7509">
        <v>105.24679999999999</v>
      </c>
    </row>
    <row r="7510" spans="1:21" x14ac:dyDescent="0.35">
      <c r="A7510" t="s">
        <v>2030</v>
      </c>
      <c r="B7510" t="s">
        <v>993</v>
      </c>
      <c r="C7510" t="s">
        <v>55</v>
      </c>
      <c r="D7510" t="s">
        <v>1404</v>
      </c>
      <c r="E7510">
        <v>9.2479999999999993</v>
      </c>
      <c r="F7510">
        <v>2</v>
      </c>
      <c r="G7510">
        <v>0.2</v>
      </c>
      <c r="H7510">
        <v>3.3523999999999998</v>
      </c>
      <c r="U7510">
        <v>3.3523999999999998</v>
      </c>
    </row>
    <row r="7511" spans="1:21" x14ac:dyDescent="0.35">
      <c r="A7511" t="s">
        <v>2030</v>
      </c>
      <c r="B7511" t="s">
        <v>993</v>
      </c>
      <c r="C7511" t="s">
        <v>55</v>
      </c>
      <c r="D7511" t="s">
        <v>1304</v>
      </c>
      <c r="E7511">
        <v>1889.9459999999999</v>
      </c>
      <c r="F7511">
        <v>9</v>
      </c>
      <c r="G7511">
        <v>0.4</v>
      </c>
      <c r="H7511">
        <v>-377.98919999999998</v>
      </c>
      <c r="U7511">
        <v>-377.98919999999998</v>
      </c>
    </row>
    <row r="7512" spans="1:21" x14ac:dyDescent="0.35">
      <c r="A7512" t="s">
        <v>2030</v>
      </c>
      <c r="B7512" t="s">
        <v>993</v>
      </c>
      <c r="C7512" t="s">
        <v>55</v>
      </c>
      <c r="D7512" t="s">
        <v>347</v>
      </c>
      <c r="E7512">
        <v>62.04</v>
      </c>
      <c r="F7512">
        <v>5</v>
      </c>
      <c r="G7512">
        <v>0.2</v>
      </c>
      <c r="H7512">
        <v>4.6529999999999996</v>
      </c>
      <c r="U7512">
        <v>4.6529999999999996</v>
      </c>
    </row>
    <row r="7513" spans="1:21" x14ac:dyDescent="0.35">
      <c r="A7513" t="s">
        <v>2030</v>
      </c>
      <c r="B7513" t="s">
        <v>993</v>
      </c>
      <c r="C7513" t="s">
        <v>55</v>
      </c>
      <c r="D7513" t="s">
        <v>1751</v>
      </c>
      <c r="E7513">
        <v>396.92</v>
      </c>
      <c r="F7513">
        <v>5</v>
      </c>
      <c r="G7513">
        <v>0.2</v>
      </c>
      <c r="H7513">
        <v>148.845</v>
      </c>
      <c r="U7513">
        <v>148.845</v>
      </c>
    </row>
    <row r="7514" spans="1:21" x14ac:dyDescent="0.35">
      <c r="A7514" t="s">
        <v>2030</v>
      </c>
      <c r="B7514" t="s">
        <v>993</v>
      </c>
      <c r="C7514" t="s">
        <v>55</v>
      </c>
      <c r="D7514" t="s">
        <v>2134</v>
      </c>
      <c r="E7514">
        <v>239.45599999999999</v>
      </c>
      <c r="F7514">
        <v>7</v>
      </c>
      <c r="G7514">
        <v>0.2</v>
      </c>
      <c r="H7514">
        <v>17.959199999999999</v>
      </c>
      <c r="U7514">
        <v>17.959199999999999</v>
      </c>
    </row>
    <row r="7515" spans="1:21" x14ac:dyDescent="0.35">
      <c r="A7515" t="s">
        <v>2030</v>
      </c>
      <c r="B7515" t="s">
        <v>993</v>
      </c>
      <c r="C7515" t="s">
        <v>55</v>
      </c>
      <c r="D7515" t="s">
        <v>662</v>
      </c>
      <c r="E7515">
        <v>13.12</v>
      </c>
      <c r="F7515">
        <v>5</v>
      </c>
      <c r="G7515">
        <v>0.2</v>
      </c>
      <c r="H7515">
        <v>2.1320000000000001</v>
      </c>
      <c r="U7515">
        <v>2.1320000000000001</v>
      </c>
    </row>
    <row r="7516" spans="1:21" x14ac:dyDescent="0.35">
      <c r="A7516" s="1">
        <v>42990</v>
      </c>
      <c r="B7516" t="s">
        <v>993</v>
      </c>
      <c r="C7516" t="s">
        <v>8</v>
      </c>
      <c r="D7516" t="s">
        <v>1516</v>
      </c>
      <c r="E7516">
        <v>29.36</v>
      </c>
      <c r="F7516">
        <v>2</v>
      </c>
      <c r="G7516">
        <v>0</v>
      </c>
      <c r="H7516">
        <v>13.505599999999999</v>
      </c>
      <c r="U7516">
        <v>13.505599999999999</v>
      </c>
    </row>
    <row r="7517" spans="1:21" x14ac:dyDescent="0.35">
      <c r="A7517" s="1">
        <v>42990</v>
      </c>
      <c r="B7517" t="s">
        <v>993</v>
      </c>
      <c r="C7517" t="s">
        <v>8</v>
      </c>
      <c r="D7517" t="s">
        <v>2228</v>
      </c>
      <c r="E7517">
        <v>214.9</v>
      </c>
      <c r="F7517">
        <v>5</v>
      </c>
      <c r="G7517">
        <v>0</v>
      </c>
      <c r="H7517">
        <v>62.320999999999998</v>
      </c>
      <c r="U7517">
        <v>62.320999999999998</v>
      </c>
    </row>
    <row r="7518" spans="1:21" x14ac:dyDescent="0.35">
      <c r="A7518" s="1">
        <v>42990</v>
      </c>
      <c r="B7518" t="s">
        <v>993</v>
      </c>
      <c r="C7518" t="s">
        <v>8</v>
      </c>
      <c r="D7518" t="s">
        <v>255</v>
      </c>
      <c r="E7518">
        <v>15.92</v>
      </c>
      <c r="F7518">
        <v>4</v>
      </c>
      <c r="G7518">
        <v>0</v>
      </c>
      <c r="H7518">
        <v>7.4824000000000002</v>
      </c>
      <c r="U7518">
        <v>7.4824000000000002</v>
      </c>
    </row>
    <row r="7519" spans="1:21" x14ac:dyDescent="0.35">
      <c r="A7519" s="1">
        <v>42990</v>
      </c>
      <c r="B7519" t="s">
        <v>993</v>
      </c>
      <c r="C7519" t="s">
        <v>8</v>
      </c>
      <c r="D7519" t="s">
        <v>1411</v>
      </c>
      <c r="E7519">
        <v>146.44999999999999</v>
      </c>
      <c r="F7519">
        <v>5</v>
      </c>
      <c r="G7519">
        <v>0</v>
      </c>
      <c r="H7519">
        <v>48.328499999999998</v>
      </c>
      <c r="U7519">
        <v>48.328499999999998</v>
      </c>
    </row>
    <row r="7520" spans="1:21" x14ac:dyDescent="0.35">
      <c r="A7520" s="1">
        <v>42990</v>
      </c>
      <c r="B7520" t="s">
        <v>993</v>
      </c>
      <c r="C7520" t="s">
        <v>8</v>
      </c>
      <c r="D7520" t="s">
        <v>872</v>
      </c>
      <c r="E7520">
        <v>15.14</v>
      </c>
      <c r="F7520">
        <v>1</v>
      </c>
      <c r="G7520">
        <v>0</v>
      </c>
      <c r="H7520">
        <v>0.60560000000000003</v>
      </c>
      <c r="U7520">
        <v>0.60560000000000003</v>
      </c>
    </row>
    <row r="7521" spans="1:21" x14ac:dyDescent="0.35">
      <c r="A7521" s="1">
        <v>42990</v>
      </c>
      <c r="B7521" t="s">
        <v>993</v>
      </c>
      <c r="C7521" t="s">
        <v>8</v>
      </c>
      <c r="D7521" t="s">
        <v>2414</v>
      </c>
      <c r="E7521">
        <v>5.76</v>
      </c>
      <c r="F7521">
        <v>2</v>
      </c>
      <c r="G7521">
        <v>0</v>
      </c>
      <c r="H7521">
        <v>2.6496</v>
      </c>
      <c r="U7521">
        <v>2.6496</v>
      </c>
    </row>
    <row r="7522" spans="1:21" x14ac:dyDescent="0.35">
      <c r="A7522" s="1">
        <v>42990</v>
      </c>
      <c r="B7522" t="s">
        <v>993</v>
      </c>
      <c r="C7522" t="s">
        <v>8</v>
      </c>
      <c r="D7522" t="s">
        <v>1492</v>
      </c>
      <c r="E7522">
        <v>1399.98</v>
      </c>
      <c r="F7522">
        <v>2</v>
      </c>
      <c r="G7522">
        <v>0</v>
      </c>
      <c r="H7522">
        <v>629.99099999999999</v>
      </c>
      <c r="U7522">
        <v>629.99099999999999</v>
      </c>
    </row>
    <row r="7523" spans="1:21" x14ac:dyDescent="0.35">
      <c r="A7523" s="1">
        <v>42499</v>
      </c>
      <c r="B7523" t="s">
        <v>831</v>
      </c>
      <c r="C7523" t="s">
        <v>55</v>
      </c>
      <c r="D7523" t="s">
        <v>961</v>
      </c>
      <c r="E7523">
        <v>8.952</v>
      </c>
      <c r="F7523">
        <v>2</v>
      </c>
      <c r="G7523">
        <v>0.7</v>
      </c>
      <c r="H7523">
        <v>-7.46</v>
      </c>
      <c r="U7523">
        <v>-7.46</v>
      </c>
    </row>
    <row r="7524" spans="1:21" x14ac:dyDescent="0.35">
      <c r="A7524" s="1">
        <v>42499</v>
      </c>
      <c r="B7524" t="s">
        <v>831</v>
      </c>
      <c r="C7524" t="s">
        <v>55</v>
      </c>
      <c r="D7524" t="s">
        <v>1893</v>
      </c>
      <c r="E7524">
        <v>8.8559999999999999</v>
      </c>
      <c r="F7524">
        <v>6</v>
      </c>
      <c r="G7524">
        <v>0.7</v>
      </c>
      <c r="H7524">
        <v>-6.4943999999999997</v>
      </c>
      <c r="U7524">
        <v>-6.4943999999999997</v>
      </c>
    </row>
    <row r="7525" spans="1:21" x14ac:dyDescent="0.35">
      <c r="A7525" s="1">
        <v>42499</v>
      </c>
      <c r="B7525" t="s">
        <v>831</v>
      </c>
      <c r="C7525" t="s">
        <v>55</v>
      </c>
      <c r="D7525" t="s">
        <v>427</v>
      </c>
      <c r="E7525">
        <v>85.245999999999995</v>
      </c>
      <c r="F7525">
        <v>2</v>
      </c>
      <c r="G7525">
        <v>0.3</v>
      </c>
      <c r="H7525">
        <v>-1.2178</v>
      </c>
      <c r="U7525">
        <v>-1.2178</v>
      </c>
    </row>
    <row r="7526" spans="1:21" x14ac:dyDescent="0.35">
      <c r="A7526" s="1">
        <v>41921</v>
      </c>
      <c r="B7526" t="s">
        <v>229</v>
      </c>
      <c r="C7526" t="s">
        <v>13</v>
      </c>
      <c r="D7526" t="s">
        <v>1346</v>
      </c>
      <c r="E7526">
        <v>21.728000000000002</v>
      </c>
      <c r="F7526">
        <v>7</v>
      </c>
      <c r="G7526">
        <v>0.2</v>
      </c>
      <c r="H7526">
        <v>7.6048</v>
      </c>
      <c r="U7526">
        <v>7.6048</v>
      </c>
    </row>
    <row r="7527" spans="1:21" x14ac:dyDescent="0.35">
      <c r="A7527" s="1">
        <v>41921</v>
      </c>
      <c r="B7527" t="s">
        <v>229</v>
      </c>
      <c r="C7527" t="s">
        <v>13</v>
      </c>
      <c r="D7527" t="s">
        <v>1473</v>
      </c>
      <c r="E7527">
        <v>1487.04</v>
      </c>
      <c r="F7527">
        <v>5</v>
      </c>
      <c r="G7527">
        <v>0.2</v>
      </c>
      <c r="H7527">
        <v>148.70400000000001</v>
      </c>
      <c r="U7527">
        <v>148.70400000000001</v>
      </c>
    </row>
    <row r="7528" spans="1:21" x14ac:dyDescent="0.35">
      <c r="A7528" t="s">
        <v>979</v>
      </c>
      <c r="B7528" t="s">
        <v>91</v>
      </c>
      <c r="C7528" t="s">
        <v>13</v>
      </c>
      <c r="D7528" t="s">
        <v>314</v>
      </c>
      <c r="E7528">
        <v>71.88</v>
      </c>
      <c r="F7528">
        <v>6</v>
      </c>
      <c r="G7528">
        <v>0</v>
      </c>
      <c r="H7528">
        <v>33.064799999999998</v>
      </c>
      <c r="U7528">
        <v>33.064799999999998</v>
      </c>
    </row>
    <row r="7529" spans="1:21" x14ac:dyDescent="0.35">
      <c r="A7529" t="s">
        <v>979</v>
      </c>
      <c r="B7529" t="s">
        <v>91</v>
      </c>
      <c r="C7529" t="s">
        <v>13</v>
      </c>
      <c r="D7529" t="s">
        <v>2184</v>
      </c>
      <c r="E7529">
        <v>9.24</v>
      </c>
      <c r="F7529">
        <v>3</v>
      </c>
      <c r="G7529">
        <v>0</v>
      </c>
      <c r="H7529">
        <v>2.9567999999999999</v>
      </c>
      <c r="U7529">
        <v>2.9567999999999999</v>
      </c>
    </row>
    <row r="7530" spans="1:21" x14ac:dyDescent="0.35">
      <c r="A7530" t="s">
        <v>979</v>
      </c>
      <c r="B7530" t="s">
        <v>91</v>
      </c>
      <c r="C7530" t="s">
        <v>13</v>
      </c>
      <c r="D7530" t="s">
        <v>2138</v>
      </c>
      <c r="E7530">
        <v>35.880000000000003</v>
      </c>
      <c r="F7530">
        <v>6</v>
      </c>
      <c r="G7530">
        <v>0</v>
      </c>
      <c r="H7530">
        <v>16.146000000000001</v>
      </c>
      <c r="U7530">
        <v>16.146000000000001</v>
      </c>
    </row>
    <row r="7531" spans="1:21" x14ac:dyDescent="0.35">
      <c r="A7531" t="s">
        <v>979</v>
      </c>
      <c r="B7531" t="s">
        <v>91</v>
      </c>
      <c r="C7531" t="s">
        <v>13</v>
      </c>
      <c r="D7531" t="s">
        <v>48</v>
      </c>
      <c r="E7531">
        <v>17.04</v>
      </c>
      <c r="F7531">
        <v>3</v>
      </c>
      <c r="G7531">
        <v>0.2</v>
      </c>
      <c r="H7531">
        <v>5.5380000000000003</v>
      </c>
      <c r="U7531">
        <v>5.5380000000000003</v>
      </c>
    </row>
    <row r="7532" spans="1:21" x14ac:dyDescent="0.35">
      <c r="A7532" t="s">
        <v>979</v>
      </c>
      <c r="B7532" t="s">
        <v>91</v>
      </c>
      <c r="C7532" t="s">
        <v>13</v>
      </c>
      <c r="D7532" t="s">
        <v>1316</v>
      </c>
      <c r="E7532">
        <v>931.17600000000004</v>
      </c>
      <c r="F7532">
        <v>3</v>
      </c>
      <c r="G7532">
        <v>0.2</v>
      </c>
      <c r="H7532">
        <v>314.27190000000002</v>
      </c>
      <c r="U7532">
        <v>314.27190000000002</v>
      </c>
    </row>
    <row r="7533" spans="1:21" x14ac:dyDescent="0.35">
      <c r="A7533" t="s">
        <v>120</v>
      </c>
      <c r="B7533" t="s">
        <v>265</v>
      </c>
      <c r="C7533" t="s">
        <v>13</v>
      </c>
      <c r="D7533" t="s">
        <v>2089</v>
      </c>
      <c r="E7533">
        <v>266.35199999999998</v>
      </c>
      <c r="F7533">
        <v>3</v>
      </c>
      <c r="G7533">
        <v>0.2</v>
      </c>
      <c r="H7533">
        <v>-13.317600000000001</v>
      </c>
      <c r="U7533">
        <v>-13.317600000000001</v>
      </c>
    </row>
    <row r="7534" spans="1:21" x14ac:dyDescent="0.35">
      <c r="A7534" t="s">
        <v>120</v>
      </c>
      <c r="B7534" t="s">
        <v>265</v>
      </c>
      <c r="C7534" t="s">
        <v>13</v>
      </c>
      <c r="D7534" t="s">
        <v>967</v>
      </c>
      <c r="E7534">
        <v>483.13600000000002</v>
      </c>
      <c r="F7534">
        <v>4</v>
      </c>
      <c r="G7534">
        <v>0.2</v>
      </c>
      <c r="H7534">
        <v>54.352800000000002</v>
      </c>
      <c r="U7534">
        <v>54.352800000000002</v>
      </c>
    </row>
    <row r="7535" spans="1:21" x14ac:dyDescent="0.35">
      <c r="A7535" t="s">
        <v>2348</v>
      </c>
      <c r="B7535" t="s">
        <v>1982</v>
      </c>
      <c r="C7535" t="s">
        <v>8</v>
      </c>
      <c r="D7535" t="s">
        <v>1397</v>
      </c>
      <c r="E7535">
        <v>196.78399999999999</v>
      </c>
      <c r="F7535">
        <v>2</v>
      </c>
      <c r="G7535">
        <v>0.2</v>
      </c>
      <c r="H7535">
        <v>-22.138200000000001</v>
      </c>
      <c r="U7535">
        <v>-22.138200000000001</v>
      </c>
    </row>
    <row r="7536" spans="1:21" x14ac:dyDescent="0.35">
      <c r="A7536" t="s">
        <v>2348</v>
      </c>
      <c r="B7536" t="s">
        <v>1982</v>
      </c>
      <c r="C7536" t="s">
        <v>8</v>
      </c>
      <c r="D7536" t="s">
        <v>520</v>
      </c>
      <c r="E7536">
        <v>231.92</v>
      </c>
      <c r="F7536">
        <v>5</v>
      </c>
      <c r="G7536">
        <v>0.2</v>
      </c>
      <c r="H7536">
        <v>5.798</v>
      </c>
      <c r="U7536">
        <v>5.798</v>
      </c>
    </row>
    <row r="7537" spans="1:21" x14ac:dyDescent="0.35">
      <c r="A7537" t="s">
        <v>784</v>
      </c>
      <c r="B7537" t="s">
        <v>1553</v>
      </c>
      <c r="C7537" t="s">
        <v>13</v>
      </c>
      <c r="D7537" t="s">
        <v>1018</v>
      </c>
      <c r="E7537">
        <v>29.7</v>
      </c>
      <c r="F7537">
        <v>3</v>
      </c>
      <c r="G7537">
        <v>0</v>
      </c>
      <c r="H7537">
        <v>8.0190000000000001</v>
      </c>
      <c r="U7537">
        <v>8.0190000000000001</v>
      </c>
    </row>
    <row r="7538" spans="1:21" x14ac:dyDescent="0.35">
      <c r="A7538" s="1">
        <v>42806</v>
      </c>
      <c r="B7538" t="s">
        <v>2047</v>
      </c>
      <c r="C7538" t="s">
        <v>35</v>
      </c>
      <c r="D7538" t="s">
        <v>2663</v>
      </c>
      <c r="E7538">
        <v>13.592000000000001</v>
      </c>
      <c r="F7538">
        <v>2</v>
      </c>
      <c r="G7538">
        <v>0.6</v>
      </c>
      <c r="H7538">
        <v>-14.271599999999999</v>
      </c>
      <c r="U7538">
        <v>-14.271599999999999</v>
      </c>
    </row>
    <row r="7539" spans="1:21" x14ac:dyDescent="0.35">
      <c r="A7539" t="s">
        <v>1202</v>
      </c>
      <c r="B7539" t="s">
        <v>896</v>
      </c>
      <c r="C7539" t="s">
        <v>13</v>
      </c>
      <c r="D7539" t="s">
        <v>267</v>
      </c>
      <c r="E7539">
        <v>70.88</v>
      </c>
      <c r="F7539">
        <v>2</v>
      </c>
      <c r="G7539">
        <v>0</v>
      </c>
      <c r="H7539">
        <v>33.313600000000001</v>
      </c>
      <c r="U7539">
        <v>33.313600000000001</v>
      </c>
    </row>
    <row r="7540" spans="1:21" x14ac:dyDescent="0.35">
      <c r="A7540" s="1">
        <v>42778</v>
      </c>
      <c r="B7540" t="s">
        <v>1762</v>
      </c>
      <c r="C7540" t="s">
        <v>13</v>
      </c>
      <c r="D7540" t="s">
        <v>732</v>
      </c>
      <c r="E7540">
        <v>114.288</v>
      </c>
      <c r="F7540">
        <v>1</v>
      </c>
      <c r="G7540">
        <v>0.2</v>
      </c>
      <c r="H7540">
        <v>12.8574</v>
      </c>
      <c r="U7540">
        <v>12.8574</v>
      </c>
    </row>
    <row r="7541" spans="1:21" x14ac:dyDescent="0.35">
      <c r="A7541" s="1">
        <v>42778</v>
      </c>
      <c r="B7541" t="s">
        <v>1762</v>
      </c>
      <c r="C7541" t="s">
        <v>13</v>
      </c>
      <c r="D7541" t="s">
        <v>1359</v>
      </c>
      <c r="E7541">
        <v>36.624000000000002</v>
      </c>
      <c r="F7541">
        <v>8</v>
      </c>
      <c r="G7541">
        <v>0.7</v>
      </c>
      <c r="H7541">
        <v>-24.416</v>
      </c>
      <c r="U7541">
        <v>-24.416</v>
      </c>
    </row>
    <row r="7542" spans="1:21" x14ac:dyDescent="0.35">
      <c r="A7542" s="1">
        <v>42778</v>
      </c>
      <c r="B7542" t="s">
        <v>1762</v>
      </c>
      <c r="C7542" t="s">
        <v>13</v>
      </c>
      <c r="D7542" t="s">
        <v>2514</v>
      </c>
      <c r="E7542">
        <v>242.352</v>
      </c>
      <c r="F7542">
        <v>8</v>
      </c>
      <c r="G7542">
        <v>0.7</v>
      </c>
      <c r="H7542">
        <v>-363.52800000000002</v>
      </c>
      <c r="U7542">
        <v>-363.52800000000002</v>
      </c>
    </row>
    <row r="7543" spans="1:21" x14ac:dyDescent="0.35">
      <c r="A7543" s="1">
        <v>42778</v>
      </c>
      <c r="B7543" t="s">
        <v>1762</v>
      </c>
      <c r="C7543" t="s">
        <v>13</v>
      </c>
      <c r="D7543" t="s">
        <v>2524</v>
      </c>
      <c r="E7543">
        <v>49.616</v>
      </c>
      <c r="F7543">
        <v>2</v>
      </c>
      <c r="G7543">
        <v>0.2</v>
      </c>
      <c r="H7543">
        <v>4.9615999999999998</v>
      </c>
      <c r="U7543">
        <v>4.9615999999999998</v>
      </c>
    </row>
    <row r="7544" spans="1:21" x14ac:dyDescent="0.35">
      <c r="A7544" s="1">
        <v>42778</v>
      </c>
      <c r="B7544" t="s">
        <v>1762</v>
      </c>
      <c r="C7544" t="s">
        <v>13</v>
      </c>
      <c r="D7544" t="s">
        <v>1742</v>
      </c>
      <c r="E7544">
        <v>508.70400000000001</v>
      </c>
      <c r="F7544">
        <v>6</v>
      </c>
      <c r="G7544">
        <v>0.2</v>
      </c>
      <c r="H7544">
        <v>0</v>
      </c>
      <c r="U7544">
        <v>0</v>
      </c>
    </row>
    <row r="7545" spans="1:21" x14ac:dyDescent="0.35">
      <c r="A7545" s="1">
        <v>42778</v>
      </c>
      <c r="B7545" t="s">
        <v>1762</v>
      </c>
      <c r="C7545" t="s">
        <v>13</v>
      </c>
      <c r="D7545" t="s">
        <v>2164</v>
      </c>
      <c r="E7545">
        <v>57.36</v>
      </c>
      <c r="F7545">
        <v>6</v>
      </c>
      <c r="G7545">
        <v>0.2</v>
      </c>
      <c r="H7545">
        <v>-14.34</v>
      </c>
      <c r="U7545">
        <v>-14.34</v>
      </c>
    </row>
    <row r="7546" spans="1:21" x14ac:dyDescent="0.35">
      <c r="A7546" s="1">
        <v>42778</v>
      </c>
      <c r="B7546" t="s">
        <v>1762</v>
      </c>
      <c r="C7546" t="s">
        <v>13</v>
      </c>
      <c r="D7546" t="s">
        <v>1120</v>
      </c>
      <c r="E7546">
        <v>906.68</v>
      </c>
      <c r="F7546">
        <v>5</v>
      </c>
      <c r="G7546">
        <v>0.2</v>
      </c>
      <c r="H7546">
        <v>68.001000000000005</v>
      </c>
      <c r="U7546">
        <v>68.001000000000005</v>
      </c>
    </row>
    <row r="7547" spans="1:21" x14ac:dyDescent="0.35">
      <c r="A7547" s="1">
        <v>41922</v>
      </c>
      <c r="B7547" t="s">
        <v>2694</v>
      </c>
      <c r="C7547" t="s">
        <v>35</v>
      </c>
      <c r="D7547" t="s">
        <v>2353</v>
      </c>
      <c r="E7547">
        <v>719.952</v>
      </c>
      <c r="F7547">
        <v>6</v>
      </c>
      <c r="G7547">
        <v>0.2</v>
      </c>
      <c r="H7547">
        <v>71.995199999999997</v>
      </c>
      <c r="U7547">
        <v>71.995199999999997</v>
      </c>
    </row>
    <row r="7548" spans="1:21" x14ac:dyDescent="0.35">
      <c r="A7548" s="1">
        <v>41922</v>
      </c>
      <c r="B7548" t="s">
        <v>2694</v>
      </c>
      <c r="C7548" t="s">
        <v>35</v>
      </c>
      <c r="D7548" t="s">
        <v>953</v>
      </c>
      <c r="E7548">
        <v>755.94399999999996</v>
      </c>
      <c r="F7548">
        <v>7</v>
      </c>
      <c r="G7548">
        <v>0.2</v>
      </c>
      <c r="H7548">
        <v>66.145099999999999</v>
      </c>
      <c r="U7548">
        <v>66.145099999999999</v>
      </c>
    </row>
    <row r="7549" spans="1:21" x14ac:dyDescent="0.35">
      <c r="A7549" s="1">
        <v>41922</v>
      </c>
      <c r="B7549" t="s">
        <v>2694</v>
      </c>
      <c r="C7549" t="s">
        <v>35</v>
      </c>
      <c r="D7549" t="s">
        <v>1948</v>
      </c>
      <c r="E7549">
        <v>11.98</v>
      </c>
      <c r="F7549">
        <v>5</v>
      </c>
      <c r="G7549">
        <v>0.8</v>
      </c>
      <c r="H7549">
        <v>-19.167999999999999</v>
      </c>
      <c r="U7549">
        <v>-19.167999999999999</v>
      </c>
    </row>
    <row r="7550" spans="1:21" x14ac:dyDescent="0.35">
      <c r="A7550" s="1">
        <v>41922</v>
      </c>
      <c r="B7550" t="s">
        <v>2694</v>
      </c>
      <c r="C7550" t="s">
        <v>35</v>
      </c>
      <c r="D7550" t="s">
        <v>585</v>
      </c>
      <c r="E7550">
        <v>0.89800000000000002</v>
      </c>
      <c r="F7550">
        <v>1</v>
      </c>
      <c r="G7550">
        <v>0.8</v>
      </c>
      <c r="H7550">
        <v>-1.5714999999999999</v>
      </c>
      <c r="U7550">
        <v>-1.5714999999999999</v>
      </c>
    </row>
    <row r="7551" spans="1:21" x14ac:dyDescent="0.35">
      <c r="A7551" s="1">
        <v>42499</v>
      </c>
      <c r="B7551" t="s">
        <v>2065</v>
      </c>
      <c r="C7551" t="s">
        <v>35</v>
      </c>
      <c r="D7551" t="s">
        <v>2167</v>
      </c>
      <c r="E7551">
        <v>21.204000000000001</v>
      </c>
      <c r="F7551">
        <v>3</v>
      </c>
      <c r="G7551">
        <v>0.6</v>
      </c>
      <c r="H7551">
        <v>-11.6622</v>
      </c>
      <c r="U7551">
        <v>-11.6622</v>
      </c>
    </row>
    <row r="7552" spans="1:21" x14ac:dyDescent="0.35">
      <c r="A7552" t="s">
        <v>2117</v>
      </c>
      <c r="B7552" t="s">
        <v>1859</v>
      </c>
      <c r="C7552" t="s">
        <v>55</v>
      </c>
      <c r="D7552" t="s">
        <v>2585</v>
      </c>
      <c r="E7552">
        <v>34.74</v>
      </c>
      <c r="F7552">
        <v>3</v>
      </c>
      <c r="G7552">
        <v>0</v>
      </c>
      <c r="H7552">
        <v>17.37</v>
      </c>
      <c r="U7552">
        <v>17.37</v>
      </c>
    </row>
    <row r="7553" spans="1:21" x14ac:dyDescent="0.35">
      <c r="A7553" t="s">
        <v>2117</v>
      </c>
      <c r="B7553" t="s">
        <v>1859</v>
      </c>
      <c r="C7553" t="s">
        <v>55</v>
      </c>
      <c r="D7553" t="s">
        <v>1472</v>
      </c>
      <c r="E7553">
        <v>833.94</v>
      </c>
      <c r="F7553">
        <v>6</v>
      </c>
      <c r="G7553">
        <v>0</v>
      </c>
      <c r="H7553">
        <v>216.8244</v>
      </c>
      <c r="U7553">
        <v>216.8244</v>
      </c>
    </row>
    <row r="7554" spans="1:21" x14ac:dyDescent="0.35">
      <c r="A7554" t="s">
        <v>2117</v>
      </c>
      <c r="B7554" t="s">
        <v>1859</v>
      </c>
      <c r="C7554" t="s">
        <v>55</v>
      </c>
      <c r="D7554" t="s">
        <v>1389</v>
      </c>
      <c r="E7554">
        <v>12.96</v>
      </c>
      <c r="F7554">
        <v>3</v>
      </c>
      <c r="G7554">
        <v>0.2</v>
      </c>
      <c r="H7554">
        <v>4.5359999999999996</v>
      </c>
      <c r="U7554">
        <v>4.5359999999999996</v>
      </c>
    </row>
    <row r="7555" spans="1:21" x14ac:dyDescent="0.35">
      <c r="A7555" t="s">
        <v>2117</v>
      </c>
      <c r="B7555" t="s">
        <v>1859</v>
      </c>
      <c r="C7555" t="s">
        <v>55</v>
      </c>
      <c r="D7555" t="s">
        <v>2189</v>
      </c>
      <c r="E7555">
        <v>25.92</v>
      </c>
      <c r="F7555">
        <v>4</v>
      </c>
      <c r="G7555">
        <v>0</v>
      </c>
      <c r="H7555">
        <v>12.441599999999999</v>
      </c>
      <c r="U7555">
        <v>12.441599999999999</v>
      </c>
    </row>
    <row r="7556" spans="1:21" x14ac:dyDescent="0.35">
      <c r="A7556" s="1">
        <v>41917</v>
      </c>
      <c r="B7556" t="s">
        <v>1194</v>
      </c>
      <c r="C7556" t="s">
        <v>55</v>
      </c>
      <c r="D7556" t="s">
        <v>1504</v>
      </c>
      <c r="E7556">
        <v>349.96499999999997</v>
      </c>
      <c r="F7556">
        <v>7</v>
      </c>
      <c r="G7556">
        <v>0.5</v>
      </c>
      <c r="H7556">
        <v>-216.97829999999999</v>
      </c>
      <c r="U7556">
        <v>-216.97829999999999</v>
      </c>
    </row>
    <row r="7557" spans="1:21" x14ac:dyDescent="0.35">
      <c r="A7557" s="1">
        <v>41917</v>
      </c>
      <c r="B7557" t="s">
        <v>1194</v>
      </c>
      <c r="C7557" t="s">
        <v>55</v>
      </c>
      <c r="D7557" t="s">
        <v>1373</v>
      </c>
      <c r="E7557">
        <v>22.32</v>
      </c>
      <c r="F7557">
        <v>5</v>
      </c>
      <c r="G7557">
        <v>0.2</v>
      </c>
      <c r="H7557">
        <v>5.3010000000000002</v>
      </c>
      <c r="U7557">
        <v>5.3010000000000002</v>
      </c>
    </row>
    <row r="7558" spans="1:21" x14ac:dyDescent="0.35">
      <c r="A7558" t="s">
        <v>850</v>
      </c>
      <c r="B7558" t="s">
        <v>1246</v>
      </c>
      <c r="C7558" t="s">
        <v>35</v>
      </c>
      <c r="D7558" t="s">
        <v>1588</v>
      </c>
      <c r="E7558">
        <v>158.28</v>
      </c>
      <c r="F7558">
        <v>6</v>
      </c>
      <c r="G7558">
        <v>0</v>
      </c>
      <c r="H7558">
        <v>72.808800000000005</v>
      </c>
      <c r="U7558">
        <v>72.808800000000005</v>
      </c>
    </row>
    <row r="7559" spans="1:21" x14ac:dyDescent="0.35">
      <c r="A7559" t="s">
        <v>850</v>
      </c>
      <c r="B7559" t="s">
        <v>1246</v>
      </c>
      <c r="C7559" t="s">
        <v>35</v>
      </c>
      <c r="D7559" t="s">
        <v>1499</v>
      </c>
      <c r="E7559">
        <v>497.94</v>
      </c>
      <c r="F7559">
        <v>3</v>
      </c>
      <c r="G7559">
        <v>0</v>
      </c>
      <c r="H7559">
        <v>224.07300000000001</v>
      </c>
      <c r="U7559">
        <v>224.07300000000001</v>
      </c>
    </row>
    <row r="7560" spans="1:21" x14ac:dyDescent="0.35">
      <c r="A7560" s="1">
        <v>41650</v>
      </c>
      <c r="B7560" t="s">
        <v>1289</v>
      </c>
      <c r="C7560" t="s">
        <v>55</v>
      </c>
      <c r="D7560" t="s">
        <v>323</v>
      </c>
      <c r="E7560">
        <v>533.94000000000005</v>
      </c>
      <c r="F7560">
        <v>3</v>
      </c>
      <c r="G7560">
        <v>0</v>
      </c>
      <c r="H7560">
        <v>154.8426</v>
      </c>
      <c r="U7560">
        <v>154.8426</v>
      </c>
    </row>
    <row r="7561" spans="1:21" x14ac:dyDescent="0.35">
      <c r="A7561" s="1">
        <v>41650</v>
      </c>
      <c r="B7561" t="s">
        <v>1289</v>
      </c>
      <c r="C7561" t="s">
        <v>55</v>
      </c>
      <c r="D7561" t="s">
        <v>1600</v>
      </c>
      <c r="E7561">
        <v>167.94</v>
      </c>
      <c r="F7561">
        <v>3</v>
      </c>
      <c r="G7561">
        <v>0</v>
      </c>
      <c r="H7561">
        <v>82.290599999999998</v>
      </c>
      <c r="U7561">
        <v>82.290599999999998</v>
      </c>
    </row>
    <row r="7562" spans="1:21" x14ac:dyDescent="0.35">
      <c r="A7562" s="1">
        <v>41650</v>
      </c>
      <c r="B7562" t="s">
        <v>1289</v>
      </c>
      <c r="C7562" t="s">
        <v>55</v>
      </c>
      <c r="D7562" t="s">
        <v>1952</v>
      </c>
      <c r="E7562">
        <v>31.68</v>
      </c>
      <c r="F7562">
        <v>6</v>
      </c>
      <c r="G7562">
        <v>0</v>
      </c>
      <c r="H7562">
        <v>9.8208000000000002</v>
      </c>
      <c r="U7562">
        <v>9.8208000000000002</v>
      </c>
    </row>
    <row r="7563" spans="1:21" x14ac:dyDescent="0.35">
      <c r="A7563" t="s">
        <v>1628</v>
      </c>
      <c r="B7563" t="s">
        <v>868</v>
      </c>
      <c r="C7563" t="s">
        <v>55</v>
      </c>
      <c r="D7563" t="s">
        <v>10</v>
      </c>
      <c r="E7563">
        <v>170.786</v>
      </c>
      <c r="F7563">
        <v>1</v>
      </c>
      <c r="G7563">
        <v>0.3</v>
      </c>
      <c r="H7563">
        <v>0</v>
      </c>
      <c r="U7563">
        <v>0</v>
      </c>
    </row>
    <row r="7564" spans="1:21" x14ac:dyDescent="0.35">
      <c r="A7564" s="1">
        <v>42438</v>
      </c>
      <c r="B7564" t="s">
        <v>1024</v>
      </c>
      <c r="C7564" t="s">
        <v>35</v>
      </c>
      <c r="D7564" t="s">
        <v>2492</v>
      </c>
      <c r="E7564">
        <v>198.744</v>
      </c>
      <c r="F7564">
        <v>4</v>
      </c>
      <c r="G7564">
        <v>0.3</v>
      </c>
      <c r="H7564">
        <v>0</v>
      </c>
      <c r="U7564">
        <v>0</v>
      </c>
    </row>
    <row r="7565" spans="1:21" x14ac:dyDescent="0.35">
      <c r="A7565" s="1">
        <v>42865</v>
      </c>
      <c r="B7565" t="s">
        <v>729</v>
      </c>
      <c r="C7565" t="s">
        <v>13</v>
      </c>
      <c r="D7565" t="s">
        <v>1209</v>
      </c>
      <c r="E7565">
        <v>63.823999999999998</v>
      </c>
      <c r="F7565">
        <v>2</v>
      </c>
      <c r="G7565">
        <v>0.2</v>
      </c>
      <c r="H7565">
        <v>13.5626</v>
      </c>
      <c r="U7565">
        <v>13.5626</v>
      </c>
    </row>
    <row r="7566" spans="1:21" x14ac:dyDescent="0.35">
      <c r="A7566" t="s">
        <v>2255</v>
      </c>
      <c r="B7566" t="s">
        <v>2136</v>
      </c>
      <c r="C7566" t="s">
        <v>13</v>
      </c>
      <c r="D7566" t="s">
        <v>2129</v>
      </c>
      <c r="E7566">
        <v>435.16800000000001</v>
      </c>
      <c r="F7566">
        <v>4</v>
      </c>
      <c r="G7566">
        <v>0.2</v>
      </c>
      <c r="H7566">
        <v>-59.835599999999999</v>
      </c>
      <c r="U7566">
        <v>-59.835599999999999</v>
      </c>
    </row>
    <row r="7567" spans="1:21" x14ac:dyDescent="0.35">
      <c r="A7567" t="s">
        <v>2255</v>
      </c>
      <c r="B7567" t="s">
        <v>2136</v>
      </c>
      <c r="C7567" t="s">
        <v>13</v>
      </c>
      <c r="D7567" t="s">
        <v>1910</v>
      </c>
      <c r="E7567">
        <v>48.58</v>
      </c>
      <c r="F7567">
        <v>1</v>
      </c>
      <c r="G7567">
        <v>0</v>
      </c>
      <c r="H7567">
        <v>7.7728000000000002</v>
      </c>
      <c r="U7567">
        <v>7.7728000000000002</v>
      </c>
    </row>
    <row r="7568" spans="1:21" x14ac:dyDescent="0.35">
      <c r="A7568" t="s">
        <v>334</v>
      </c>
      <c r="B7568" t="s">
        <v>1656</v>
      </c>
      <c r="C7568" t="s">
        <v>35</v>
      </c>
      <c r="D7568" t="s">
        <v>179</v>
      </c>
      <c r="E7568">
        <v>47.975999999999999</v>
      </c>
      <c r="F7568">
        <v>3</v>
      </c>
      <c r="G7568">
        <v>0.2</v>
      </c>
      <c r="H7568">
        <v>8.3957999999999995</v>
      </c>
      <c r="U7568">
        <v>8.3957999999999995</v>
      </c>
    </row>
    <row r="7569" spans="1:21" x14ac:dyDescent="0.35">
      <c r="A7569" t="s">
        <v>334</v>
      </c>
      <c r="B7569" t="s">
        <v>1656</v>
      </c>
      <c r="C7569" t="s">
        <v>35</v>
      </c>
      <c r="D7569" t="s">
        <v>2298</v>
      </c>
      <c r="E7569">
        <v>20.736000000000001</v>
      </c>
      <c r="F7569">
        <v>4</v>
      </c>
      <c r="G7569">
        <v>0.2</v>
      </c>
      <c r="H7569">
        <v>7.2576000000000001</v>
      </c>
      <c r="U7569">
        <v>7.2576000000000001</v>
      </c>
    </row>
    <row r="7570" spans="1:21" x14ac:dyDescent="0.35">
      <c r="A7570" s="1">
        <v>41771</v>
      </c>
      <c r="B7570" t="s">
        <v>875</v>
      </c>
      <c r="C7570" t="s">
        <v>13</v>
      </c>
      <c r="D7570" t="s">
        <v>803</v>
      </c>
      <c r="E7570">
        <v>26.46</v>
      </c>
      <c r="F7570">
        <v>9</v>
      </c>
      <c r="G7570">
        <v>0</v>
      </c>
      <c r="H7570">
        <v>11.907</v>
      </c>
      <c r="U7570">
        <v>11.907</v>
      </c>
    </row>
    <row r="7571" spans="1:21" x14ac:dyDescent="0.35">
      <c r="A7571" s="1">
        <v>41771</v>
      </c>
      <c r="B7571" t="s">
        <v>875</v>
      </c>
      <c r="C7571" t="s">
        <v>13</v>
      </c>
      <c r="D7571" t="s">
        <v>2490</v>
      </c>
      <c r="E7571">
        <v>49.12</v>
      </c>
      <c r="F7571">
        <v>4</v>
      </c>
      <c r="G7571">
        <v>0</v>
      </c>
      <c r="H7571">
        <v>23.086400000000001</v>
      </c>
      <c r="U7571">
        <v>23.086400000000001</v>
      </c>
    </row>
    <row r="7572" spans="1:21" x14ac:dyDescent="0.35">
      <c r="A7572" s="1">
        <v>41771</v>
      </c>
      <c r="B7572" t="s">
        <v>875</v>
      </c>
      <c r="C7572" t="s">
        <v>13</v>
      </c>
      <c r="D7572" t="s">
        <v>1173</v>
      </c>
      <c r="E7572">
        <v>15</v>
      </c>
      <c r="F7572">
        <v>3</v>
      </c>
      <c r="G7572">
        <v>0</v>
      </c>
      <c r="H7572">
        <v>7.2</v>
      </c>
      <c r="U7572">
        <v>7.2</v>
      </c>
    </row>
    <row r="7573" spans="1:21" x14ac:dyDescent="0.35">
      <c r="A7573" t="s">
        <v>1881</v>
      </c>
      <c r="B7573" t="s">
        <v>1430</v>
      </c>
      <c r="C7573" t="s">
        <v>8</v>
      </c>
      <c r="D7573" t="s">
        <v>92</v>
      </c>
      <c r="E7573">
        <v>194.7</v>
      </c>
      <c r="F7573">
        <v>5</v>
      </c>
      <c r="G7573">
        <v>0</v>
      </c>
      <c r="H7573">
        <v>9.7349999999999994</v>
      </c>
      <c r="U7573">
        <v>9.7349999999999994</v>
      </c>
    </row>
    <row r="7574" spans="1:21" x14ac:dyDescent="0.35">
      <c r="A7574" t="s">
        <v>1881</v>
      </c>
      <c r="B7574" t="s">
        <v>1430</v>
      </c>
      <c r="C7574" t="s">
        <v>8</v>
      </c>
      <c r="D7574" t="s">
        <v>1810</v>
      </c>
      <c r="E7574">
        <v>591.32000000000005</v>
      </c>
      <c r="F7574">
        <v>4</v>
      </c>
      <c r="G7574">
        <v>0</v>
      </c>
      <c r="H7574">
        <v>112.35080000000001</v>
      </c>
      <c r="U7574">
        <v>112.35080000000001</v>
      </c>
    </row>
    <row r="7575" spans="1:21" x14ac:dyDescent="0.35">
      <c r="A7575" t="s">
        <v>1881</v>
      </c>
      <c r="B7575" t="s">
        <v>1430</v>
      </c>
      <c r="C7575" t="s">
        <v>8</v>
      </c>
      <c r="D7575" t="s">
        <v>1488</v>
      </c>
      <c r="E7575">
        <v>2.84</v>
      </c>
      <c r="F7575">
        <v>1</v>
      </c>
      <c r="G7575">
        <v>0</v>
      </c>
      <c r="H7575">
        <v>0.88039999999999996</v>
      </c>
      <c r="U7575">
        <v>0.88039999999999996</v>
      </c>
    </row>
    <row r="7576" spans="1:21" x14ac:dyDescent="0.35">
      <c r="A7576" s="1">
        <v>42228</v>
      </c>
      <c r="B7576" t="s">
        <v>1608</v>
      </c>
      <c r="C7576" t="s">
        <v>13</v>
      </c>
      <c r="D7576" t="s">
        <v>40</v>
      </c>
      <c r="E7576">
        <v>221.96</v>
      </c>
      <c r="F7576">
        <v>2</v>
      </c>
      <c r="G7576">
        <v>0</v>
      </c>
      <c r="H7576">
        <v>4.4391999999999996</v>
      </c>
      <c r="U7576">
        <v>4.4391999999999996</v>
      </c>
    </row>
    <row r="7577" spans="1:21" x14ac:dyDescent="0.35">
      <c r="A7577" s="1">
        <v>42228</v>
      </c>
      <c r="B7577" t="s">
        <v>1608</v>
      </c>
      <c r="C7577" t="s">
        <v>13</v>
      </c>
      <c r="D7577" t="s">
        <v>1670</v>
      </c>
      <c r="E7577">
        <v>236</v>
      </c>
      <c r="F7577">
        <v>4</v>
      </c>
      <c r="G7577">
        <v>0</v>
      </c>
      <c r="H7577">
        <v>40.119999999999997</v>
      </c>
      <c r="U7577">
        <v>40.119999999999997</v>
      </c>
    </row>
    <row r="7578" spans="1:21" x14ac:dyDescent="0.35">
      <c r="A7578" s="1">
        <v>41681</v>
      </c>
      <c r="B7578" t="s">
        <v>1480</v>
      </c>
      <c r="C7578" t="s">
        <v>13</v>
      </c>
      <c r="D7578" t="s">
        <v>1529</v>
      </c>
      <c r="E7578">
        <v>41.94</v>
      </c>
      <c r="F7578">
        <v>2</v>
      </c>
      <c r="G7578">
        <v>0</v>
      </c>
      <c r="H7578">
        <v>15.0984</v>
      </c>
      <c r="U7578">
        <v>15.0984</v>
      </c>
    </row>
    <row r="7579" spans="1:21" x14ac:dyDescent="0.35">
      <c r="A7579" s="1">
        <v>41681</v>
      </c>
      <c r="B7579" t="s">
        <v>1480</v>
      </c>
      <c r="C7579" t="s">
        <v>13</v>
      </c>
      <c r="D7579" t="s">
        <v>1625</v>
      </c>
      <c r="E7579">
        <v>52.792000000000002</v>
      </c>
      <c r="F7579">
        <v>1</v>
      </c>
      <c r="G7579">
        <v>0.2</v>
      </c>
      <c r="H7579">
        <v>4.6193</v>
      </c>
      <c r="U7579">
        <v>4.6193</v>
      </c>
    </row>
    <row r="7580" spans="1:21" x14ac:dyDescent="0.35">
      <c r="A7580" t="s">
        <v>512</v>
      </c>
      <c r="B7580" t="s">
        <v>195</v>
      </c>
      <c r="C7580" t="s">
        <v>35</v>
      </c>
      <c r="D7580" t="s">
        <v>916</v>
      </c>
      <c r="E7580">
        <v>563.94000000000005</v>
      </c>
      <c r="F7580">
        <v>3</v>
      </c>
      <c r="G7580">
        <v>0</v>
      </c>
      <c r="H7580">
        <v>112.788</v>
      </c>
      <c r="U7580">
        <v>112.788</v>
      </c>
    </row>
    <row r="7581" spans="1:21" x14ac:dyDescent="0.35">
      <c r="A7581" t="s">
        <v>339</v>
      </c>
      <c r="B7581" t="s">
        <v>972</v>
      </c>
      <c r="C7581" t="s">
        <v>55</v>
      </c>
      <c r="D7581" t="s">
        <v>2605</v>
      </c>
      <c r="E7581">
        <v>2625.12</v>
      </c>
      <c r="F7581">
        <v>8</v>
      </c>
      <c r="G7581">
        <v>0</v>
      </c>
      <c r="H7581">
        <v>735.03359999999998</v>
      </c>
      <c r="U7581">
        <v>735.03359999999998</v>
      </c>
    </row>
    <row r="7582" spans="1:21" x14ac:dyDescent="0.35">
      <c r="A7582" t="s">
        <v>339</v>
      </c>
      <c r="B7582" t="s">
        <v>972</v>
      </c>
      <c r="C7582" t="s">
        <v>55</v>
      </c>
      <c r="D7582" t="s">
        <v>1481</v>
      </c>
      <c r="E7582">
        <v>17.940000000000001</v>
      </c>
      <c r="F7582">
        <v>3</v>
      </c>
      <c r="G7582">
        <v>0</v>
      </c>
      <c r="H7582">
        <v>4.4850000000000003</v>
      </c>
      <c r="U7582">
        <v>4.4850000000000003</v>
      </c>
    </row>
    <row r="7583" spans="1:21" x14ac:dyDescent="0.35">
      <c r="A7583" t="s">
        <v>2361</v>
      </c>
      <c r="B7583" t="s">
        <v>2430</v>
      </c>
      <c r="C7583" t="s">
        <v>55</v>
      </c>
      <c r="D7583" t="s">
        <v>1253</v>
      </c>
      <c r="E7583">
        <v>422.85599999999999</v>
      </c>
      <c r="F7583">
        <v>3</v>
      </c>
      <c r="G7583">
        <v>0.2</v>
      </c>
      <c r="H7583">
        <v>15.857100000000001</v>
      </c>
      <c r="U7583">
        <v>15.857100000000001</v>
      </c>
    </row>
    <row r="7584" spans="1:21" x14ac:dyDescent="0.35">
      <c r="A7584" t="s">
        <v>1378</v>
      </c>
      <c r="B7584" t="s">
        <v>2247</v>
      </c>
      <c r="C7584" t="s">
        <v>55</v>
      </c>
      <c r="D7584" t="s">
        <v>125</v>
      </c>
      <c r="E7584">
        <v>127.764</v>
      </c>
      <c r="F7584">
        <v>2</v>
      </c>
      <c r="G7584">
        <v>0.1</v>
      </c>
      <c r="H7584">
        <v>2.8391999999999999</v>
      </c>
      <c r="U7584">
        <v>2.8391999999999999</v>
      </c>
    </row>
    <row r="7585" spans="1:21" x14ac:dyDescent="0.35">
      <c r="A7585" t="s">
        <v>372</v>
      </c>
      <c r="B7585" t="s">
        <v>486</v>
      </c>
      <c r="C7585" t="s">
        <v>8</v>
      </c>
      <c r="D7585" t="s">
        <v>2422</v>
      </c>
      <c r="E7585">
        <v>3499.93</v>
      </c>
      <c r="F7585">
        <v>7</v>
      </c>
      <c r="G7585">
        <v>0</v>
      </c>
      <c r="H7585">
        <v>909.98180000000002</v>
      </c>
      <c r="U7585">
        <v>909.98180000000002</v>
      </c>
    </row>
    <row r="7586" spans="1:21" x14ac:dyDescent="0.35">
      <c r="A7586" t="s">
        <v>372</v>
      </c>
      <c r="B7586" t="s">
        <v>486</v>
      </c>
      <c r="C7586" t="s">
        <v>8</v>
      </c>
      <c r="D7586" t="s">
        <v>2414</v>
      </c>
      <c r="E7586">
        <v>14.4</v>
      </c>
      <c r="F7586">
        <v>5</v>
      </c>
      <c r="G7586">
        <v>0</v>
      </c>
      <c r="H7586">
        <v>6.6239999999999997</v>
      </c>
      <c r="U7586">
        <v>6.6239999999999997</v>
      </c>
    </row>
    <row r="7587" spans="1:21" x14ac:dyDescent="0.35">
      <c r="A7587" t="s">
        <v>372</v>
      </c>
      <c r="B7587" t="s">
        <v>486</v>
      </c>
      <c r="C7587" t="s">
        <v>8</v>
      </c>
      <c r="D7587" t="s">
        <v>1824</v>
      </c>
      <c r="E7587">
        <v>122.97</v>
      </c>
      <c r="F7587">
        <v>3</v>
      </c>
      <c r="G7587">
        <v>0</v>
      </c>
      <c r="H7587">
        <v>60.255299999999998</v>
      </c>
      <c r="U7587">
        <v>60.255299999999998</v>
      </c>
    </row>
    <row r="7588" spans="1:21" x14ac:dyDescent="0.35">
      <c r="A7588" t="s">
        <v>372</v>
      </c>
      <c r="B7588" t="s">
        <v>486</v>
      </c>
      <c r="C7588" t="s">
        <v>8</v>
      </c>
      <c r="D7588" t="s">
        <v>710</v>
      </c>
      <c r="E7588">
        <v>9.32</v>
      </c>
      <c r="F7588">
        <v>4</v>
      </c>
      <c r="G7588">
        <v>0</v>
      </c>
      <c r="H7588">
        <v>2.7027999999999999</v>
      </c>
      <c r="U7588">
        <v>2.7027999999999999</v>
      </c>
    </row>
    <row r="7589" spans="1:21" x14ac:dyDescent="0.35">
      <c r="A7589" t="s">
        <v>372</v>
      </c>
      <c r="B7589" t="s">
        <v>486</v>
      </c>
      <c r="C7589" t="s">
        <v>8</v>
      </c>
      <c r="D7589" t="s">
        <v>1376</v>
      </c>
      <c r="E7589">
        <v>122.94</v>
      </c>
      <c r="F7589">
        <v>3</v>
      </c>
      <c r="G7589">
        <v>0</v>
      </c>
      <c r="H7589">
        <v>59.011200000000002</v>
      </c>
      <c r="U7589">
        <v>59.011200000000002</v>
      </c>
    </row>
    <row r="7590" spans="1:21" x14ac:dyDescent="0.35">
      <c r="A7590" t="s">
        <v>171</v>
      </c>
      <c r="B7590" t="s">
        <v>1651</v>
      </c>
      <c r="C7590" t="s">
        <v>13</v>
      </c>
      <c r="D7590" t="s">
        <v>1839</v>
      </c>
      <c r="E7590">
        <v>17.309999999999999</v>
      </c>
      <c r="F7590">
        <v>3</v>
      </c>
      <c r="G7590">
        <v>0</v>
      </c>
      <c r="H7590">
        <v>5.1929999999999996</v>
      </c>
      <c r="U7590">
        <v>5.1929999999999996</v>
      </c>
    </row>
    <row r="7591" spans="1:21" x14ac:dyDescent="0.35">
      <c r="A7591" t="s">
        <v>57</v>
      </c>
      <c r="B7591" t="s">
        <v>2464</v>
      </c>
      <c r="C7591" t="s">
        <v>35</v>
      </c>
      <c r="D7591" t="s">
        <v>1973</v>
      </c>
      <c r="E7591">
        <v>128.744</v>
      </c>
      <c r="F7591">
        <v>7</v>
      </c>
      <c r="G7591">
        <v>0.2</v>
      </c>
      <c r="H7591">
        <v>12.8744</v>
      </c>
      <c r="U7591">
        <v>12.8744</v>
      </c>
    </row>
    <row r="7592" spans="1:21" x14ac:dyDescent="0.35">
      <c r="A7592" s="1">
        <v>42499</v>
      </c>
      <c r="B7592" t="s">
        <v>862</v>
      </c>
      <c r="C7592" t="s">
        <v>55</v>
      </c>
      <c r="D7592" t="s">
        <v>158</v>
      </c>
      <c r="E7592">
        <v>58.247999999999998</v>
      </c>
      <c r="F7592">
        <v>9</v>
      </c>
      <c r="G7592">
        <v>0.2</v>
      </c>
      <c r="H7592">
        <v>11.6496</v>
      </c>
      <c r="U7592">
        <v>11.6496</v>
      </c>
    </row>
    <row r="7593" spans="1:21" x14ac:dyDescent="0.35">
      <c r="A7593" s="1">
        <v>42499</v>
      </c>
      <c r="B7593" t="s">
        <v>862</v>
      </c>
      <c r="C7593" t="s">
        <v>55</v>
      </c>
      <c r="D7593" t="s">
        <v>258</v>
      </c>
      <c r="E7593">
        <v>71.245999999999995</v>
      </c>
      <c r="F7593">
        <v>2</v>
      </c>
      <c r="G7593">
        <v>0.3</v>
      </c>
      <c r="H7593">
        <v>-19.338200000000001</v>
      </c>
      <c r="U7593">
        <v>-19.338200000000001</v>
      </c>
    </row>
    <row r="7594" spans="1:21" x14ac:dyDescent="0.35">
      <c r="A7594" s="1">
        <v>42499</v>
      </c>
      <c r="B7594" t="s">
        <v>862</v>
      </c>
      <c r="C7594" t="s">
        <v>55</v>
      </c>
      <c r="D7594" t="s">
        <v>1601</v>
      </c>
      <c r="E7594">
        <v>7.8719999999999999</v>
      </c>
      <c r="F7594">
        <v>3</v>
      </c>
      <c r="G7594">
        <v>0.2</v>
      </c>
      <c r="H7594">
        <v>0.59040000000000004</v>
      </c>
      <c r="U7594">
        <v>0.59040000000000004</v>
      </c>
    </row>
    <row r="7595" spans="1:21" x14ac:dyDescent="0.35">
      <c r="A7595" s="1">
        <v>42499</v>
      </c>
      <c r="B7595" t="s">
        <v>862</v>
      </c>
      <c r="C7595" t="s">
        <v>55</v>
      </c>
      <c r="D7595" t="s">
        <v>1343</v>
      </c>
      <c r="E7595">
        <v>887.27099999999996</v>
      </c>
      <c r="F7595">
        <v>3</v>
      </c>
      <c r="G7595">
        <v>0.3</v>
      </c>
      <c r="H7595">
        <v>-63.3765</v>
      </c>
      <c r="U7595">
        <v>-63.3765</v>
      </c>
    </row>
    <row r="7596" spans="1:21" x14ac:dyDescent="0.35">
      <c r="A7596" t="s">
        <v>28</v>
      </c>
      <c r="B7596" t="s">
        <v>2094</v>
      </c>
      <c r="C7596" t="s">
        <v>35</v>
      </c>
      <c r="D7596" t="s">
        <v>986</v>
      </c>
      <c r="E7596">
        <v>146.86000000000001</v>
      </c>
      <c r="F7596">
        <v>7</v>
      </c>
      <c r="G7596">
        <v>0</v>
      </c>
      <c r="H7596">
        <v>70.492800000000003</v>
      </c>
      <c r="U7596">
        <v>70.492800000000003</v>
      </c>
    </row>
    <row r="7597" spans="1:21" x14ac:dyDescent="0.35">
      <c r="A7597" t="s">
        <v>28</v>
      </c>
      <c r="B7597" t="s">
        <v>2094</v>
      </c>
      <c r="C7597" t="s">
        <v>35</v>
      </c>
      <c r="D7597" t="s">
        <v>1114</v>
      </c>
      <c r="E7597">
        <v>36.56</v>
      </c>
      <c r="F7597">
        <v>4</v>
      </c>
      <c r="G7597">
        <v>0</v>
      </c>
      <c r="H7597">
        <v>18.28</v>
      </c>
      <c r="U7597">
        <v>18.28</v>
      </c>
    </row>
    <row r="7598" spans="1:21" x14ac:dyDescent="0.35">
      <c r="A7598" t="s">
        <v>2449</v>
      </c>
      <c r="B7598" t="s">
        <v>566</v>
      </c>
      <c r="C7598" t="s">
        <v>13</v>
      </c>
      <c r="D7598" t="s">
        <v>977</v>
      </c>
      <c r="E7598">
        <v>225.57599999999999</v>
      </c>
      <c r="F7598">
        <v>3</v>
      </c>
      <c r="G7598">
        <v>0.2</v>
      </c>
      <c r="H7598">
        <v>22.557600000000001</v>
      </c>
      <c r="U7598">
        <v>22.557600000000001</v>
      </c>
    </row>
    <row r="7599" spans="1:21" x14ac:dyDescent="0.35">
      <c r="A7599" t="s">
        <v>429</v>
      </c>
      <c r="B7599" t="s">
        <v>1287</v>
      </c>
      <c r="C7599" t="s">
        <v>13</v>
      </c>
      <c r="D7599" t="s">
        <v>2135</v>
      </c>
      <c r="E7599">
        <v>5.2480000000000002</v>
      </c>
      <c r="F7599">
        <v>2</v>
      </c>
      <c r="G7599">
        <v>0.2</v>
      </c>
      <c r="H7599">
        <v>0.4592</v>
      </c>
      <c r="U7599">
        <v>0.4592</v>
      </c>
    </row>
    <row r="7600" spans="1:21" x14ac:dyDescent="0.35">
      <c r="A7600" t="s">
        <v>429</v>
      </c>
      <c r="B7600" t="s">
        <v>1287</v>
      </c>
      <c r="C7600" t="s">
        <v>13</v>
      </c>
      <c r="D7600" t="s">
        <v>1581</v>
      </c>
      <c r="E7600">
        <v>38.256</v>
      </c>
      <c r="F7600">
        <v>3</v>
      </c>
      <c r="G7600">
        <v>0.2</v>
      </c>
      <c r="H7600">
        <v>4.782</v>
      </c>
      <c r="U7600">
        <v>4.782</v>
      </c>
    </row>
    <row r="7601" spans="1:21" x14ac:dyDescent="0.35">
      <c r="A7601" t="s">
        <v>429</v>
      </c>
      <c r="B7601" t="s">
        <v>1287</v>
      </c>
      <c r="C7601" t="s">
        <v>13</v>
      </c>
      <c r="D7601" t="s">
        <v>2456</v>
      </c>
      <c r="E7601">
        <v>40.24</v>
      </c>
      <c r="F7601">
        <v>5</v>
      </c>
      <c r="G7601">
        <v>0.2</v>
      </c>
      <c r="H7601">
        <v>13.077999999999999</v>
      </c>
      <c r="U7601">
        <v>13.077999999999999</v>
      </c>
    </row>
    <row r="7602" spans="1:21" x14ac:dyDescent="0.35">
      <c r="A7602" t="s">
        <v>429</v>
      </c>
      <c r="B7602" t="s">
        <v>1287</v>
      </c>
      <c r="C7602" t="s">
        <v>13</v>
      </c>
      <c r="D7602" t="s">
        <v>2695</v>
      </c>
      <c r="E7602">
        <v>29.925000000000001</v>
      </c>
      <c r="F7602">
        <v>5</v>
      </c>
      <c r="G7602">
        <v>0.7</v>
      </c>
      <c r="H7602">
        <v>-21.945</v>
      </c>
      <c r="U7602">
        <v>-21.945</v>
      </c>
    </row>
    <row r="7603" spans="1:21" x14ac:dyDescent="0.35">
      <c r="A7603" t="s">
        <v>429</v>
      </c>
      <c r="B7603" t="s">
        <v>1287</v>
      </c>
      <c r="C7603" t="s">
        <v>13</v>
      </c>
      <c r="D7603" t="s">
        <v>639</v>
      </c>
      <c r="E7603">
        <v>148.70400000000001</v>
      </c>
      <c r="F7603">
        <v>6</v>
      </c>
      <c r="G7603">
        <v>0.2</v>
      </c>
      <c r="H7603">
        <v>46.47</v>
      </c>
      <c r="U7603">
        <v>46.47</v>
      </c>
    </row>
    <row r="7604" spans="1:21" x14ac:dyDescent="0.35">
      <c r="A7604" t="s">
        <v>429</v>
      </c>
      <c r="B7604" t="s">
        <v>1287</v>
      </c>
      <c r="C7604" t="s">
        <v>13</v>
      </c>
      <c r="D7604" t="s">
        <v>132</v>
      </c>
      <c r="E7604">
        <v>55.92</v>
      </c>
      <c r="F7604">
        <v>10</v>
      </c>
      <c r="G7604">
        <v>0.2</v>
      </c>
      <c r="H7604">
        <v>16.776</v>
      </c>
      <c r="U7604">
        <v>16.776</v>
      </c>
    </row>
    <row r="7605" spans="1:21" x14ac:dyDescent="0.35">
      <c r="A7605" s="1">
        <v>42589</v>
      </c>
      <c r="B7605" t="s">
        <v>2611</v>
      </c>
      <c r="C7605" t="s">
        <v>55</v>
      </c>
      <c r="D7605" t="s">
        <v>1273</v>
      </c>
      <c r="E7605">
        <v>12.96</v>
      </c>
      <c r="F7605">
        <v>2</v>
      </c>
      <c r="G7605">
        <v>0</v>
      </c>
      <c r="H7605">
        <v>6.2207999999999997</v>
      </c>
      <c r="U7605">
        <v>6.2207999999999997</v>
      </c>
    </row>
    <row r="7606" spans="1:21" x14ac:dyDescent="0.35">
      <c r="A7606" t="s">
        <v>1570</v>
      </c>
      <c r="B7606" t="s">
        <v>1985</v>
      </c>
      <c r="C7606" t="s">
        <v>35</v>
      </c>
      <c r="D7606" t="s">
        <v>2293</v>
      </c>
      <c r="E7606">
        <v>25.175999999999998</v>
      </c>
      <c r="F7606">
        <v>3</v>
      </c>
      <c r="G7606">
        <v>0.6</v>
      </c>
      <c r="H7606">
        <v>-33.358199999999997</v>
      </c>
      <c r="U7606">
        <v>-33.358199999999997</v>
      </c>
    </row>
    <row r="7607" spans="1:21" x14ac:dyDescent="0.35">
      <c r="A7607" t="s">
        <v>1570</v>
      </c>
      <c r="B7607" t="s">
        <v>1985</v>
      </c>
      <c r="C7607" t="s">
        <v>35</v>
      </c>
      <c r="D7607" t="s">
        <v>1339</v>
      </c>
      <c r="E7607">
        <v>5.5839999999999996</v>
      </c>
      <c r="F7607">
        <v>2</v>
      </c>
      <c r="G7607">
        <v>0.6</v>
      </c>
      <c r="H7607">
        <v>-1.6752</v>
      </c>
      <c r="U7607">
        <v>-1.6752</v>
      </c>
    </row>
    <row r="7608" spans="1:21" x14ac:dyDescent="0.35">
      <c r="A7608" t="s">
        <v>1570</v>
      </c>
      <c r="B7608" t="s">
        <v>1985</v>
      </c>
      <c r="C7608" t="s">
        <v>35</v>
      </c>
      <c r="D7608" t="s">
        <v>1278</v>
      </c>
      <c r="E7608">
        <v>1297.3679999999999</v>
      </c>
      <c r="F7608">
        <v>9</v>
      </c>
      <c r="G7608">
        <v>0.2</v>
      </c>
      <c r="H7608">
        <v>97.302599999999998</v>
      </c>
      <c r="U7608">
        <v>97.302599999999998</v>
      </c>
    </row>
    <row r="7609" spans="1:21" x14ac:dyDescent="0.35">
      <c r="A7609" t="s">
        <v>688</v>
      </c>
      <c r="B7609" t="s">
        <v>1774</v>
      </c>
      <c r="C7609" t="s">
        <v>35</v>
      </c>
      <c r="D7609" t="s">
        <v>994</v>
      </c>
      <c r="E7609">
        <v>264.32</v>
      </c>
      <c r="F7609">
        <v>2</v>
      </c>
      <c r="G7609">
        <v>0.2</v>
      </c>
      <c r="H7609">
        <v>19.824000000000002</v>
      </c>
      <c r="U7609">
        <v>19.824000000000002</v>
      </c>
    </row>
    <row r="7610" spans="1:21" x14ac:dyDescent="0.35">
      <c r="A7610" s="1">
        <v>42799</v>
      </c>
      <c r="B7610" t="s">
        <v>734</v>
      </c>
      <c r="C7610" t="s">
        <v>13</v>
      </c>
      <c r="D7610" t="s">
        <v>1349</v>
      </c>
      <c r="E7610">
        <v>25.92</v>
      </c>
      <c r="F7610">
        <v>4</v>
      </c>
      <c r="G7610">
        <v>0</v>
      </c>
      <c r="H7610">
        <v>12.441599999999999</v>
      </c>
      <c r="U7610">
        <v>12.441599999999999</v>
      </c>
    </row>
    <row r="7611" spans="1:21" x14ac:dyDescent="0.35">
      <c r="A7611" s="1">
        <v>42799</v>
      </c>
      <c r="B7611" t="s">
        <v>734</v>
      </c>
      <c r="C7611" t="s">
        <v>13</v>
      </c>
      <c r="D7611" t="s">
        <v>537</v>
      </c>
      <c r="E7611">
        <v>22.96</v>
      </c>
      <c r="F7611">
        <v>7</v>
      </c>
      <c r="G7611">
        <v>0</v>
      </c>
      <c r="H7611">
        <v>6.6584000000000003</v>
      </c>
      <c r="U7611">
        <v>6.6584000000000003</v>
      </c>
    </row>
    <row r="7612" spans="1:21" x14ac:dyDescent="0.35">
      <c r="A7612" t="s">
        <v>2696</v>
      </c>
      <c r="B7612" t="s">
        <v>817</v>
      </c>
      <c r="C7612" t="s">
        <v>13</v>
      </c>
      <c r="D7612" t="s">
        <v>1053</v>
      </c>
      <c r="E7612">
        <v>19.440000000000001</v>
      </c>
      <c r="F7612">
        <v>3</v>
      </c>
      <c r="G7612">
        <v>0</v>
      </c>
      <c r="H7612">
        <v>9.3312000000000008</v>
      </c>
      <c r="U7612">
        <v>9.3312000000000008</v>
      </c>
    </row>
    <row r="7613" spans="1:21" x14ac:dyDescent="0.35">
      <c r="A7613" s="1">
        <v>42218</v>
      </c>
      <c r="B7613" t="s">
        <v>19</v>
      </c>
      <c r="C7613" t="s">
        <v>35</v>
      </c>
      <c r="D7613" t="s">
        <v>2256</v>
      </c>
      <c r="E7613">
        <v>9.5399999999999991</v>
      </c>
      <c r="F7613">
        <v>2</v>
      </c>
      <c r="G7613">
        <v>0</v>
      </c>
      <c r="H7613">
        <v>4.2930000000000001</v>
      </c>
      <c r="U7613">
        <v>4.2930000000000001</v>
      </c>
    </row>
    <row r="7614" spans="1:21" x14ac:dyDescent="0.35">
      <c r="A7614" s="1">
        <v>42218</v>
      </c>
      <c r="B7614" t="s">
        <v>19</v>
      </c>
      <c r="C7614" t="s">
        <v>35</v>
      </c>
      <c r="D7614" t="s">
        <v>400</v>
      </c>
      <c r="E7614">
        <v>5.81</v>
      </c>
      <c r="F7614">
        <v>1</v>
      </c>
      <c r="G7614">
        <v>0</v>
      </c>
      <c r="H7614">
        <v>1.8010999999999999</v>
      </c>
      <c r="U7614">
        <v>1.8010999999999999</v>
      </c>
    </row>
    <row r="7615" spans="1:21" x14ac:dyDescent="0.35">
      <c r="A7615" s="1">
        <v>42218</v>
      </c>
      <c r="B7615" t="s">
        <v>19</v>
      </c>
      <c r="C7615" t="s">
        <v>35</v>
      </c>
      <c r="D7615" t="s">
        <v>268</v>
      </c>
      <c r="E7615">
        <v>5.76</v>
      </c>
      <c r="F7615">
        <v>2</v>
      </c>
      <c r="G7615">
        <v>0</v>
      </c>
      <c r="H7615">
        <v>1.728</v>
      </c>
      <c r="U7615">
        <v>1.728</v>
      </c>
    </row>
    <row r="7616" spans="1:21" x14ac:dyDescent="0.35">
      <c r="A7616" t="s">
        <v>1012</v>
      </c>
      <c r="B7616" t="s">
        <v>2124</v>
      </c>
      <c r="C7616" t="s">
        <v>55</v>
      </c>
      <c r="D7616" t="s">
        <v>960</v>
      </c>
      <c r="E7616">
        <v>14.91</v>
      </c>
      <c r="F7616">
        <v>3</v>
      </c>
      <c r="G7616">
        <v>0</v>
      </c>
      <c r="H7616">
        <v>4.6220999999999997</v>
      </c>
      <c r="U7616">
        <v>4.6220999999999997</v>
      </c>
    </row>
    <row r="7617" spans="1:21" x14ac:dyDescent="0.35">
      <c r="A7617" t="s">
        <v>1465</v>
      </c>
      <c r="B7617" t="s">
        <v>1987</v>
      </c>
      <c r="C7617" t="s">
        <v>8</v>
      </c>
      <c r="D7617" t="s">
        <v>2555</v>
      </c>
      <c r="E7617">
        <v>6.6420000000000003</v>
      </c>
      <c r="F7617">
        <v>9</v>
      </c>
      <c r="G7617">
        <v>0.7</v>
      </c>
      <c r="H7617">
        <v>-4.4279999999999999</v>
      </c>
      <c r="U7617">
        <v>-4.4279999999999999</v>
      </c>
    </row>
    <row r="7618" spans="1:21" x14ac:dyDescent="0.35">
      <c r="A7618" s="1">
        <v>42655</v>
      </c>
      <c r="B7618" t="s">
        <v>2162</v>
      </c>
      <c r="C7618" t="s">
        <v>55</v>
      </c>
      <c r="D7618" t="s">
        <v>2044</v>
      </c>
      <c r="E7618">
        <v>18.54</v>
      </c>
      <c r="F7618">
        <v>2</v>
      </c>
      <c r="G7618">
        <v>0</v>
      </c>
      <c r="H7618">
        <v>8.7138000000000009</v>
      </c>
      <c r="U7618">
        <v>8.7138000000000009</v>
      </c>
    </row>
    <row r="7619" spans="1:21" x14ac:dyDescent="0.35">
      <c r="A7619" s="1">
        <v>42655</v>
      </c>
      <c r="B7619" t="s">
        <v>2162</v>
      </c>
      <c r="C7619" t="s">
        <v>55</v>
      </c>
      <c r="D7619" t="s">
        <v>32</v>
      </c>
      <c r="E7619">
        <v>679.96</v>
      </c>
      <c r="F7619">
        <v>5</v>
      </c>
      <c r="G7619">
        <v>0.2</v>
      </c>
      <c r="H7619">
        <v>220.98699999999999</v>
      </c>
      <c r="U7619">
        <v>220.98699999999999</v>
      </c>
    </row>
    <row r="7620" spans="1:21" x14ac:dyDescent="0.35">
      <c r="A7620" t="s">
        <v>1513</v>
      </c>
      <c r="B7620" t="s">
        <v>1701</v>
      </c>
      <c r="C7620" t="s">
        <v>13</v>
      </c>
      <c r="D7620" t="s">
        <v>25</v>
      </c>
      <c r="E7620">
        <v>189.57599999999999</v>
      </c>
      <c r="F7620">
        <v>1</v>
      </c>
      <c r="G7620">
        <v>0.2</v>
      </c>
      <c r="H7620">
        <v>9.4787999999999997</v>
      </c>
      <c r="U7620">
        <v>9.4787999999999997</v>
      </c>
    </row>
    <row r="7621" spans="1:21" x14ac:dyDescent="0.35">
      <c r="A7621" t="s">
        <v>1513</v>
      </c>
      <c r="B7621" t="s">
        <v>1701</v>
      </c>
      <c r="C7621" t="s">
        <v>13</v>
      </c>
      <c r="D7621" t="s">
        <v>2632</v>
      </c>
      <c r="E7621">
        <v>71.959999999999994</v>
      </c>
      <c r="F7621">
        <v>5</v>
      </c>
      <c r="G7621">
        <v>0.2</v>
      </c>
      <c r="H7621">
        <v>7.1959999999999997</v>
      </c>
      <c r="U7621">
        <v>7.1959999999999997</v>
      </c>
    </row>
    <row r="7622" spans="1:21" x14ac:dyDescent="0.35">
      <c r="A7622" t="s">
        <v>1722</v>
      </c>
      <c r="B7622" t="s">
        <v>1996</v>
      </c>
      <c r="C7622" t="s">
        <v>13</v>
      </c>
      <c r="D7622" t="s">
        <v>460</v>
      </c>
      <c r="E7622">
        <v>539.91999999999996</v>
      </c>
      <c r="F7622">
        <v>5</v>
      </c>
      <c r="G7622">
        <v>0.2</v>
      </c>
      <c r="H7622">
        <v>47.243000000000002</v>
      </c>
      <c r="U7622">
        <v>47.243000000000002</v>
      </c>
    </row>
    <row r="7623" spans="1:21" x14ac:dyDescent="0.35">
      <c r="A7623" t="s">
        <v>1722</v>
      </c>
      <c r="B7623" t="s">
        <v>1996</v>
      </c>
      <c r="C7623" t="s">
        <v>13</v>
      </c>
      <c r="D7623" t="s">
        <v>1120</v>
      </c>
      <c r="E7623">
        <v>725.34400000000005</v>
      </c>
      <c r="F7623">
        <v>4</v>
      </c>
      <c r="G7623">
        <v>0.2</v>
      </c>
      <c r="H7623">
        <v>54.400799999999997</v>
      </c>
      <c r="U7623">
        <v>54.400799999999997</v>
      </c>
    </row>
    <row r="7624" spans="1:21" x14ac:dyDescent="0.35">
      <c r="A7624" t="s">
        <v>1722</v>
      </c>
      <c r="B7624" t="s">
        <v>1996</v>
      </c>
      <c r="C7624" t="s">
        <v>13</v>
      </c>
      <c r="D7624" t="s">
        <v>1342</v>
      </c>
      <c r="E7624">
        <v>7.44</v>
      </c>
      <c r="F7624">
        <v>3</v>
      </c>
      <c r="G7624">
        <v>0</v>
      </c>
      <c r="H7624">
        <v>2.6040000000000001</v>
      </c>
      <c r="U7624">
        <v>2.6040000000000001</v>
      </c>
    </row>
    <row r="7625" spans="1:21" x14ac:dyDescent="0.35">
      <c r="A7625" t="s">
        <v>2012</v>
      </c>
      <c r="B7625" t="s">
        <v>2658</v>
      </c>
      <c r="C7625" t="s">
        <v>55</v>
      </c>
      <c r="D7625" t="s">
        <v>1144</v>
      </c>
      <c r="E7625">
        <v>39.479999999999997</v>
      </c>
      <c r="F7625">
        <v>1</v>
      </c>
      <c r="G7625">
        <v>0</v>
      </c>
      <c r="H7625">
        <v>11.054399999999999</v>
      </c>
      <c r="U7625">
        <v>11.054399999999999</v>
      </c>
    </row>
    <row r="7626" spans="1:21" x14ac:dyDescent="0.35">
      <c r="A7626" t="s">
        <v>1124</v>
      </c>
      <c r="B7626" t="s">
        <v>558</v>
      </c>
      <c r="C7626" t="s">
        <v>35</v>
      </c>
      <c r="D7626" t="s">
        <v>1844</v>
      </c>
      <c r="E7626">
        <v>850.5</v>
      </c>
      <c r="F7626">
        <v>5</v>
      </c>
      <c r="G7626">
        <v>0.1</v>
      </c>
      <c r="H7626">
        <v>245.7</v>
      </c>
      <c r="U7626">
        <v>245.7</v>
      </c>
    </row>
    <row r="7627" spans="1:21" x14ac:dyDescent="0.35">
      <c r="A7627" t="s">
        <v>1124</v>
      </c>
      <c r="B7627" t="s">
        <v>558</v>
      </c>
      <c r="C7627" t="s">
        <v>35</v>
      </c>
      <c r="D7627" t="s">
        <v>1509</v>
      </c>
      <c r="E7627">
        <v>75.33</v>
      </c>
      <c r="F7627">
        <v>9</v>
      </c>
      <c r="G7627">
        <v>0</v>
      </c>
      <c r="H7627">
        <v>19.585799999999999</v>
      </c>
      <c r="U7627">
        <v>19.585799999999999</v>
      </c>
    </row>
    <row r="7628" spans="1:21" x14ac:dyDescent="0.35">
      <c r="A7628" t="s">
        <v>338</v>
      </c>
      <c r="B7628" t="s">
        <v>1191</v>
      </c>
      <c r="C7628" t="s">
        <v>13</v>
      </c>
      <c r="D7628" t="s">
        <v>2360</v>
      </c>
      <c r="E7628">
        <v>325.63200000000001</v>
      </c>
      <c r="F7628">
        <v>6</v>
      </c>
      <c r="G7628">
        <v>0.2</v>
      </c>
      <c r="H7628">
        <v>28.492799999999999</v>
      </c>
      <c r="U7628">
        <v>28.492799999999999</v>
      </c>
    </row>
    <row r="7629" spans="1:21" x14ac:dyDescent="0.35">
      <c r="A7629" t="s">
        <v>338</v>
      </c>
      <c r="B7629" t="s">
        <v>1191</v>
      </c>
      <c r="C7629" t="s">
        <v>13</v>
      </c>
      <c r="D7629" t="s">
        <v>1923</v>
      </c>
      <c r="E7629">
        <v>23.344000000000001</v>
      </c>
      <c r="F7629">
        <v>2</v>
      </c>
      <c r="G7629">
        <v>0.2</v>
      </c>
      <c r="H7629">
        <v>-1.4590000000000001</v>
      </c>
      <c r="U7629">
        <v>-1.4590000000000001</v>
      </c>
    </row>
    <row r="7630" spans="1:21" x14ac:dyDescent="0.35">
      <c r="A7630" t="s">
        <v>338</v>
      </c>
      <c r="B7630" t="s">
        <v>1191</v>
      </c>
      <c r="C7630" t="s">
        <v>13</v>
      </c>
      <c r="D7630" t="s">
        <v>1663</v>
      </c>
      <c r="E7630">
        <v>16.52</v>
      </c>
      <c r="F7630">
        <v>5</v>
      </c>
      <c r="G7630">
        <v>0.2</v>
      </c>
      <c r="H7630">
        <v>5.3689999999999998</v>
      </c>
      <c r="U7630">
        <v>5.3689999999999998</v>
      </c>
    </row>
    <row r="7631" spans="1:21" x14ac:dyDescent="0.35">
      <c r="A7631" t="s">
        <v>2259</v>
      </c>
      <c r="B7631" t="s">
        <v>365</v>
      </c>
      <c r="C7631" t="s">
        <v>35</v>
      </c>
      <c r="D7631" t="s">
        <v>1009</v>
      </c>
      <c r="E7631">
        <v>335.72</v>
      </c>
      <c r="F7631">
        <v>5</v>
      </c>
      <c r="G7631">
        <v>0.2</v>
      </c>
      <c r="H7631">
        <v>113.30549999999999</v>
      </c>
      <c r="U7631">
        <v>113.30549999999999</v>
      </c>
    </row>
    <row r="7632" spans="1:21" x14ac:dyDescent="0.35">
      <c r="A7632" t="s">
        <v>2259</v>
      </c>
      <c r="B7632" t="s">
        <v>365</v>
      </c>
      <c r="C7632" t="s">
        <v>35</v>
      </c>
      <c r="D7632" t="s">
        <v>1400</v>
      </c>
      <c r="E7632">
        <v>251.94399999999999</v>
      </c>
      <c r="F7632">
        <v>7</v>
      </c>
      <c r="G7632">
        <v>0.2</v>
      </c>
      <c r="H7632">
        <v>88.180400000000006</v>
      </c>
      <c r="U7632">
        <v>88.180400000000006</v>
      </c>
    </row>
    <row r="7633" spans="1:21" x14ac:dyDescent="0.35">
      <c r="A7633" t="s">
        <v>2259</v>
      </c>
      <c r="B7633" t="s">
        <v>365</v>
      </c>
      <c r="C7633" t="s">
        <v>35</v>
      </c>
      <c r="D7633" t="s">
        <v>1369</v>
      </c>
      <c r="E7633">
        <v>127.30200000000001</v>
      </c>
      <c r="F7633">
        <v>7</v>
      </c>
      <c r="G7633">
        <v>0.3</v>
      </c>
      <c r="H7633">
        <v>-9.093</v>
      </c>
      <c r="U7633">
        <v>-9.093</v>
      </c>
    </row>
    <row r="7634" spans="1:21" x14ac:dyDescent="0.35">
      <c r="A7634" t="s">
        <v>689</v>
      </c>
      <c r="B7634" t="s">
        <v>1284</v>
      </c>
      <c r="C7634" t="s">
        <v>8</v>
      </c>
      <c r="D7634" t="s">
        <v>559</v>
      </c>
      <c r="E7634">
        <v>1207.8399999999999</v>
      </c>
      <c r="F7634">
        <v>8</v>
      </c>
      <c r="G7634">
        <v>0</v>
      </c>
      <c r="H7634">
        <v>314.03840000000002</v>
      </c>
      <c r="U7634">
        <v>314.03840000000002</v>
      </c>
    </row>
    <row r="7635" spans="1:21" x14ac:dyDescent="0.35">
      <c r="A7635" t="s">
        <v>689</v>
      </c>
      <c r="B7635" t="s">
        <v>1284</v>
      </c>
      <c r="C7635" t="s">
        <v>8</v>
      </c>
      <c r="D7635" t="s">
        <v>1786</v>
      </c>
      <c r="E7635">
        <v>12.53</v>
      </c>
      <c r="F7635">
        <v>1</v>
      </c>
      <c r="G7635">
        <v>0</v>
      </c>
      <c r="H7635">
        <v>5.8891</v>
      </c>
      <c r="U7635">
        <v>5.8891</v>
      </c>
    </row>
    <row r="7636" spans="1:21" x14ac:dyDescent="0.35">
      <c r="A7636" t="s">
        <v>689</v>
      </c>
      <c r="B7636" t="s">
        <v>1284</v>
      </c>
      <c r="C7636" t="s">
        <v>8</v>
      </c>
      <c r="D7636" t="s">
        <v>1997</v>
      </c>
      <c r="E7636">
        <v>34.58</v>
      </c>
      <c r="F7636">
        <v>1</v>
      </c>
      <c r="G7636">
        <v>0</v>
      </c>
      <c r="H7636">
        <v>10.0282</v>
      </c>
      <c r="U7636">
        <v>10.0282</v>
      </c>
    </row>
    <row r="7637" spans="1:21" x14ac:dyDescent="0.35">
      <c r="A7637" t="s">
        <v>689</v>
      </c>
      <c r="B7637" t="s">
        <v>1284</v>
      </c>
      <c r="C7637" t="s">
        <v>8</v>
      </c>
      <c r="D7637" t="s">
        <v>2316</v>
      </c>
      <c r="E7637">
        <v>300.98</v>
      </c>
      <c r="F7637">
        <v>1</v>
      </c>
      <c r="G7637">
        <v>0</v>
      </c>
      <c r="H7637">
        <v>87.284199999999998</v>
      </c>
      <c r="U7637">
        <v>87.284199999999998</v>
      </c>
    </row>
    <row r="7638" spans="1:21" x14ac:dyDescent="0.35">
      <c r="A7638" t="s">
        <v>689</v>
      </c>
      <c r="B7638" t="s">
        <v>1284</v>
      </c>
      <c r="C7638" t="s">
        <v>8</v>
      </c>
      <c r="D7638" t="s">
        <v>1460</v>
      </c>
      <c r="E7638">
        <v>258.75</v>
      </c>
      <c r="F7638">
        <v>3</v>
      </c>
      <c r="G7638">
        <v>0</v>
      </c>
      <c r="H7638">
        <v>77.625</v>
      </c>
      <c r="U7638">
        <v>77.625</v>
      </c>
    </row>
    <row r="7639" spans="1:21" x14ac:dyDescent="0.35">
      <c r="A7639" s="1">
        <v>42769</v>
      </c>
      <c r="B7639" t="s">
        <v>2021</v>
      </c>
      <c r="C7639" t="s">
        <v>55</v>
      </c>
      <c r="D7639" t="s">
        <v>2323</v>
      </c>
      <c r="E7639">
        <v>59.52</v>
      </c>
      <c r="F7639">
        <v>3</v>
      </c>
      <c r="G7639">
        <v>0</v>
      </c>
      <c r="H7639">
        <v>15.475199999999999</v>
      </c>
      <c r="U7639">
        <v>15.475199999999999</v>
      </c>
    </row>
    <row r="7640" spans="1:21" x14ac:dyDescent="0.35">
      <c r="A7640" s="1">
        <v>42769</v>
      </c>
      <c r="B7640" t="s">
        <v>2021</v>
      </c>
      <c r="C7640" t="s">
        <v>55</v>
      </c>
      <c r="D7640" t="s">
        <v>314</v>
      </c>
      <c r="E7640">
        <v>57.96</v>
      </c>
      <c r="F7640">
        <v>7</v>
      </c>
      <c r="G7640">
        <v>0</v>
      </c>
      <c r="H7640">
        <v>27.241199999999999</v>
      </c>
      <c r="U7640">
        <v>27.241199999999999</v>
      </c>
    </row>
    <row r="7641" spans="1:21" x14ac:dyDescent="0.35">
      <c r="A7641" s="1">
        <v>42769</v>
      </c>
      <c r="B7641" t="s">
        <v>2021</v>
      </c>
      <c r="C7641" t="s">
        <v>55</v>
      </c>
      <c r="D7641" t="s">
        <v>2303</v>
      </c>
      <c r="E7641">
        <v>441.96</v>
      </c>
      <c r="F7641">
        <v>2</v>
      </c>
      <c r="G7641">
        <v>0</v>
      </c>
      <c r="H7641">
        <v>101.6508</v>
      </c>
      <c r="U7641">
        <v>101.6508</v>
      </c>
    </row>
    <row r="7642" spans="1:21" x14ac:dyDescent="0.35">
      <c r="A7642" s="1">
        <v>42769</v>
      </c>
      <c r="B7642" t="s">
        <v>2021</v>
      </c>
      <c r="C7642" t="s">
        <v>55</v>
      </c>
      <c r="D7642" t="s">
        <v>75</v>
      </c>
      <c r="E7642">
        <v>68.040000000000006</v>
      </c>
      <c r="F7642">
        <v>6</v>
      </c>
      <c r="G7642">
        <v>0</v>
      </c>
      <c r="H7642">
        <v>33.339599999999997</v>
      </c>
      <c r="U7642">
        <v>33.339599999999997</v>
      </c>
    </row>
    <row r="7643" spans="1:21" x14ac:dyDescent="0.35">
      <c r="A7643" s="1">
        <v>42531</v>
      </c>
      <c r="B7643" t="s">
        <v>2342</v>
      </c>
      <c r="C7643" t="s">
        <v>13</v>
      </c>
      <c r="D7643" t="s">
        <v>2697</v>
      </c>
      <c r="E7643">
        <v>703.71</v>
      </c>
      <c r="F7643">
        <v>6</v>
      </c>
      <c r="G7643">
        <v>0.7</v>
      </c>
      <c r="H7643">
        <v>-938.28</v>
      </c>
      <c r="U7643">
        <v>-938.28</v>
      </c>
    </row>
    <row r="7644" spans="1:21" x14ac:dyDescent="0.35">
      <c r="A7644" s="1">
        <v>42531</v>
      </c>
      <c r="B7644" t="s">
        <v>2342</v>
      </c>
      <c r="C7644" t="s">
        <v>13</v>
      </c>
      <c r="D7644" t="s">
        <v>961</v>
      </c>
      <c r="E7644">
        <v>17.904</v>
      </c>
      <c r="F7644">
        <v>4</v>
      </c>
      <c r="G7644">
        <v>0.7</v>
      </c>
      <c r="H7644">
        <v>-14.92</v>
      </c>
      <c r="U7644">
        <v>-14.92</v>
      </c>
    </row>
    <row r="7645" spans="1:21" x14ac:dyDescent="0.35">
      <c r="A7645" s="1">
        <v>42531</v>
      </c>
      <c r="B7645" t="s">
        <v>2342</v>
      </c>
      <c r="C7645" t="s">
        <v>13</v>
      </c>
      <c r="D7645" t="s">
        <v>1955</v>
      </c>
      <c r="E7645">
        <v>11.976000000000001</v>
      </c>
      <c r="F7645">
        <v>4</v>
      </c>
      <c r="G7645">
        <v>0.7</v>
      </c>
      <c r="H7645">
        <v>-9.1815999999999995</v>
      </c>
      <c r="U7645">
        <v>-9.1815999999999995</v>
      </c>
    </row>
    <row r="7646" spans="1:21" x14ac:dyDescent="0.35">
      <c r="A7646" s="1">
        <v>42531</v>
      </c>
      <c r="B7646" t="s">
        <v>2342</v>
      </c>
      <c r="C7646" t="s">
        <v>13</v>
      </c>
      <c r="D7646" t="s">
        <v>2468</v>
      </c>
      <c r="E7646">
        <v>67.959999999999994</v>
      </c>
      <c r="F7646">
        <v>5</v>
      </c>
      <c r="G7646">
        <v>0.2</v>
      </c>
      <c r="H7646">
        <v>0.84950000000000003</v>
      </c>
      <c r="U7646">
        <v>0.84950000000000003</v>
      </c>
    </row>
    <row r="7647" spans="1:21" x14ac:dyDescent="0.35">
      <c r="A7647" s="1">
        <v>42128</v>
      </c>
      <c r="B7647" t="s">
        <v>2242</v>
      </c>
      <c r="C7647" t="s">
        <v>13</v>
      </c>
      <c r="D7647" t="s">
        <v>1473</v>
      </c>
      <c r="E7647">
        <v>892.22400000000005</v>
      </c>
      <c r="F7647">
        <v>3</v>
      </c>
      <c r="G7647">
        <v>0.2</v>
      </c>
      <c r="H7647">
        <v>89.222399999999993</v>
      </c>
      <c r="U7647">
        <v>89.222399999999993</v>
      </c>
    </row>
    <row r="7648" spans="1:21" x14ac:dyDescent="0.35">
      <c r="A7648" s="1">
        <v>41891</v>
      </c>
      <c r="B7648" t="s">
        <v>1289</v>
      </c>
      <c r="C7648" t="s">
        <v>8</v>
      </c>
      <c r="D7648" t="s">
        <v>2652</v>
      </c>
      <c r="E7648">
        <v>1299.99</v>
      </c>
      <c r="F7648">
        <v>2</v>
      </c>
      <c r="G7648">
        <v>0.5</v>
      </c>
      <c r="H7648">
        <v>-571.99559999999997</v>
      </c>
      <c r="U7648">
        <v>-571.99559999999997</v>
      </c>
    </row>
    <row r="7649" spans="1:21" x14ac:dyDescent="0.35">
      <c r="A7649" t="s">
        <v>1650</v>
      </c>
      <c r="B7649" t="s">
        <v>2398</v>
      </c>
      <c r="C7649" t="s">
        <v>13</v>
      </c>
      <c r="D7649" t="s">
        <v>1374</v>
      </c>
      <c r="E7649">
        <v>4.5439999999999996</v>
      </c>
      <c r="F7649">
        <v>2</v>
      </c>
      <c r="G7649">
        <v>0.2</v>
      </c>
      <c r="H7649">
        <v>1.6472</v>
      </c>
      <c r="U7649">
        <v>1.6472</v>
      </c>
    </row>
    <row r="7650" spans="1:21" x14ac:dyDescent="0.35">
      <c r="A7650" t="s">
        <v>1650</v>
      </c>
      <c r="B7650" t="s">
        <v>2398</v>
      </c>
      <c r="C7650" t="s">
        <v>13</v>
      </c>
      <c r="D7650" t="s">
        <v>1343</v>
      </c>
      <c r="E7650">
        <v>1352.0319999999999</v>
      </c>
      <c r="F7650">
        <v>4</v>
      </c>
      <c r="G7650">
        <v>0.2</v>
      </c>
      <c r="H7650">
        <v>84.501999999999995</v>
      </c>
      <c r="U7650">
        <v>84.501999999999995</v>
      </c>
    </row>
    <row r="7651" spans="1:21" x14ac:dyDescent="0.35">
      <c r="A7651" t="s">
        <v>79</v>
      </c>
      <c r="B7651" t="s">
        <v>436</v>
      </c>
      <c r="C7651" t="s">
        <v>55</v>
      </c>
      <c r="D7651" t="s">
        <v>1283</v>
      </c>
      <c r="E7651">
        <v>1548.99</v>
      </c>
      <c r="F7651">
        <v>9</v>
      </c>
      <c r="G7651">
        <v>0.4</v>
      </c>
      <c r="H7651">
        <v>-464.697</v>
      </c>
      <c r="U7651">
        <v>-464.697</v>
      </c>
    </row>
    <row r="7652" spans="1:21" x14ac:dyDescent="0.35">
      <c r="A7652" t="s">
        <v>79</v>
      </c>
      <c r="B7652" t="s">
        <v>436</v>
      </c>
      <c r="C7652" t="s">
        <v>55</v>
      </c>
      <c r="D7652" t="s">
        <v>314</v>
      </c>
      <c r="E7652">
        <v>19.872</v>
      </c>
      <c r="F7652">
        <v>3</v>
      </c>
      <c r="G7652">
        <v>0.2</v>
      </c>
      <c r="H7652">
        <v>6.7068000000000003</v>
      </c>
      <c r="U7652">
        <v>6.7068000000000003</v>
      </c>
    </row>
    <row r="7653" spans="1:21" x14ac:dyDescent="0.35">
      <c r="A7653" s="1">
        <v>42924</v>
      </c>
      <c r="B7653" t="s">
        <v>945</v>
      </c>
      <c r="C7653" t="s">
        <v>35</v>
      </c>
      <c r="D7653" t="s">
        <v>213</v>
      </c>
      <c r="E7653">
        <v>119.44799999999999</v>
      </c>
      <c r="F7653">
        <v>3</v>
      </c>
      <c r="G7653">
        <v>0.2</v>
      </c>
      <c r="H7653">
        <v>-13.437900000000001</v>
      </c>
      <c r="U7653">
        <v>-13.437900000000001</v>
      </c>
    </row>
    <row r="7654" spans="1:21" x14ac:dyDescent="0.35">
      <c r="A7654" s="1">
        <v>42924</v>
      </c>
      <c r="B7654" t="s">
        <v>945</v>
      </c>
      <c r="C7654" t="s">
        <v>35</v>
      </c>
      <c r="D7654" t="s">
        <v>463</v>
      </c>
      <c r="E7654">
        <v>118.16</v>
      </c>
      <c r="F7654">
        <v>2</v>
      </c>
      <c r="G7654">
        <v>0.2</v>
      </c>
      <c r="H7654">
        <v>-25.109000000000002</v>
      </c>
      <c r="U7654">
        <v>-25.109000000000002</v>
      </c>
    </row>
    <row r="7655" spans="1:21" x14ac:dyDescent="0.35">
      <c r="A7655" t="s">
        <v>844</v>
      </c>
      <c r="B7655" t="s">
        <v>2698</v>
      </c>
      <c r="C7655" t="s">
        <v>8</v>
      </c>
      <c r="D7655" t="s">
        <v>2516</v>
      </c>
      <c r="E7655">
        <v>19.559999999999999</v>
      </c>
      <c r="F7655">
        <v>4</v>
      </c>
      <c r="G7655">
        <v>0</v>
      </c>
      <c r="H7655">
        <v>5.4767999999999999</v>
      </c>
      <c r="U7655">
        <v>5.4767999999999999</v>
      </c>
    </row>
    <row r="7656" spans="1:21" x14ac:dyDescent="0.35">
      <c r="A7656" t="s">
        <v>130</v>
      </c>
      <c r="B7656" t="s">
        <v>2139</v>
      </c>
      <c r="C7656" t="s">
        <v>13</v>
      </c>
      <c r="D7656" t="s">
        <v>2558</v>
      </c>
      <c r="E7656">
        <v>80.959999999999994</v>
      </c>
      <c r="F7656">
        <v>4</v>
      </c>
      <c r="G7656">
        <v>0</v>
      </c>
      <c r="H7656">
        <v>29.145600000000002</v>
      </c>
      <c r="U7656">
        <v>29.145600000000002</v>
      </c>
    </row>
    <row r="7657" spans="1:21" x14ac:dyDescent="0.35">
      <c r="A7657" t="s">
        <v>130</v>
      </c>
      <c r="B7657" t="s">
        <v>2139</v>
      </c>
      <c r="C7657" t="s">
        <v>13</v>
      </c>
      <c r="D7657" t="s">
        <v>2277</v>
      </c>
      <c r="E7657">
        <v>25.92</v>
      </c>
      <c r="F7657">
        <v>4</v>
      </c>
      <c r="G7657">
        <v>0</v>
      </c>
      <c r="H7657">
        <v>12.441599999999999</v>
      </c>
      <c r="U7657">
        <v>12.441599999999999</v>
      </c>
    </row>
    <row r="7658" spans="1:21" x14ac:dyDescent="0.35">
      <c r="A7658" t="s">
        <v>2438</v>
      </c>
      <c r="B7658" t="s">
        <v>137</v>
      </c>
      <c r="C7658" t="s">
        <v>13</v>
      </c>
      <c r="D7658" t="s">
        <v>1156</v>
      </c>
      <c r="E7658">
        <v>106.96</v>
      </c>
      <c r="F7658">
        <v>2</v>
      </c>
      <c r="G7658">
        <v>0</v>
      </c>
      <c r="H7658">
        <v>31.0184</v>
      </c>
      <c r="U7658">
        <v>31.0184</v>
      </c>
    </row>
    <row r="7659" spans="1:21" x14ac:dyDescent="0.35">
      <c r="A7659" t="s">
        <v>2438</v>
      </c>
      <c r="B7659" t="s">
        <v>137</v>
      </c>
      <c r="C7659" t="s">
        <v>13</v>
      </c>
      <c r="D7659" t="s">
        <v>522</v>
      </c>
      <c r="E7659">
        <v>187.76</v>
      </c>
      <c r="F7659">
        <v>4</v>
      </c>
      <c r="G7659">
        <v>0</v>
      </c>
      <c r="H7659">
        <v>76.9816</v>
      </c>
      <c r="U7659">
        <v>76.9816</v>
      </c>
    </row>
    <row r="7660" spans="1:21" x14ac:dyDescent="0.35">
      <c r="A7660" t="s">
        <v>992</v>
      </c>
      <c r="B7660" t="s">
        <v>2292</v>
      </c>
      <c r="C7660" t="s">
        <v>55</v>
      </c>
      <c r="D7660" t="s">
        <v>1184</v>
      </c>
      <c r="E7660">
        <v>76.775999999999996</v>
      </c>
      <c r="F7660">
        <v>4</v>
      </c>
      <c r="G7660">
        <v>0.7</v>
      </c>
      <c r="H7660">
        <v>-53.743200000000002</v>
      </c>
      <c r="U7660">
        <v>-53.743200000000002</v>
      </c>
    </row>
    <row r="7661" spans="1:21" x14ac:dyDescent="0.35">
      <c r="A7661" s="1">
        <v>42741</v>
      </c>
      <c r="B7661" t="s">
        <v>227</v>
      </c>
      <c r="C7661" t="s">
        <v>35</v>
      </c>
      <c r="D7661" t="s">
        <v>1415</v>
      </c>
      <c r="E7661">
        <v>53.9</v>
      </c>
      <c r="F7661">
        <v>5</v>
      </c>
      <c r="G7661">
        <v>0</v>
      </c>
      <c r="H7661">
        <v>25.872</v>
      </c>
      <c r="U7661">
        <v>25.872</v>
      </c>
    </row>
    <row r="7662" spans="1:21" x14ac:dyDescent="0.35">
      <c r="A7662" s="1">
        <v>41821</v>
      </c>
      <c r="B7662" t="s">
        <v>2525</v>
      </c>
      <c r="C7662" t="s">
        <v>35</v>
      </c>
      <c r="D7662" t="s">
        <v>836</v>
      </c>
      <c r="E7662">
        <v>76.727999999999994</v>
      </c>
      <c r="F7662">
        <v>3</v>
      </c>
      <c r="G7662">
        <v>0.6</v>
      </c>
      <c r="H7662">
        <v>-53.709600000000002</v>
      </c>
      <c r="U7662">
        <v>-53.709600000000002</v>
      </c>
    </row>
    <row r="7663" spans="1:21" x14ac:dyDescent="0.35">
      <c r="A7663" s="1">
        <v>41821</v>
      </c>
      <c r="B7663" t="s">
        <v>2525</v>
      </c>
      <c r="C7663" t="s">
        <v>35</v>
      </c>
      <c r="D7663" t="s">
        <v>1627</v>
      </c>
      <c r="E7663">
        <v>10.43</v>
      </c>
      <c r="F7663">
        <v>7</v>
      </c>
      <c r="G7663">
        <v>0.8</v>
      </c>
      <c r="H7663">
        <v>-18.252500000000001</v>
      </c>
      <c r="U7663">
        <v>-18.252500000000001</v>
      </c>
    </row>
    <row r="7664" spans="1:21" x14ac:dyDescent="0.35">
      <c r="A7664" t="s">
        <v>1062</v>
      </c>
      <c r="B7664" t="s">
        <v>2140</v>
      </c>
      <c r="C7664" t="s">
        <v>13</v>
      </c>
      <c r="D7664" t="s">
        <v>1874</v>
      </c>
      <c r="E7664">
        <v>99.2</v>
      </c>
      <c r="F7664">
        <v>5</v>
      </c>
      <c r="G7664">
        <v>0</v>
      </c>
      <c r="H7664">
        <v>25.792000000000002</v>
      </c>
      <c r="U7664">
        <v>25.792000000000002</v>
      </c>
    </row>
    <row r="7665" spans="1:21" x14ac:dyDescent="0.35">
      <c r="A7665" t="s">
        <v>1483</v>
      </c>
      <c r="B7665" t="s">
        <v>2099</v>
      </c>
      <c r="C7665" t="s">
        <v>8</v>
      </c>
      <c r="D7665" t="s">
        <v>1239</v>
      </c>
      <c r="E7665">
        <v>15.92</v>
      </c>
      <c r="F7665">
        <v>5</v>
      </c>
      <c r="G7665">
        <v>0.2</v>
      </c>
      <c r="H7665">
        <v>2.786</v>
      </c>
      <c r="U7665">
        <v>2.786</v>
      </c>
    </row>
    <row r="7666" spans="1:21" x14ac:dyDescent="0.35">
      <c r="A7666" t="s">
        <v>282</v>
      </c>
      <c r="B7666" t="s">
        <v>2154</v>
      </c>
      <c r="C7666" t="s">
        <v>8</v>
      </c>
      <c r="D7666" t="s">
        <v>2358</v>
      </c>
      <c r="E7666">
        <v>129.91999999999999</v>
      </c>
      <c r="F7666">
        <v>4</v>
      </c>
      <c r="G7666">
        <v>0</v>
      </c>
      <c r="H7666">
        <v>10.393599999999999</v>
      </c>
      <c r="U7666">
        <v>10.393599999999999</v>
      </c>
    </row>
    <row r="7667" spans="1:21" x14ac:dyDescent="0.35">
      <c r="A7667" s="1">
        <v>42470</v>
      </c>
      <c r="B7667" t="s">
        <v>2238</v>
      </c>
      <c r="C7667" t="s">
        <v>55</v>
      </c>
      <c r="D7667" t="s">
        <v>1644</v>
      </c>
      <c r="E7667">
        <v>30.4</v>
      </c>
      <c r="F7667">
        <v>1</v>
      </c>
      <c r="G7667">
        <v>0</v>
      </c>
      <c r="H7667">
        <v>13.984</v>
      </c>
      <c r="U7667">
        <v>13.984</v>
      </c>
    </row>
    <row r="7668" spans="1:21" x14ac:dyDescent="0.35">
      <c r="A7668" s="1">
        <v>42470</v>
      </c>
      <c r="B7668" t="s">
        <v>2238</v>
      </c>
      <c r="C7668" t="s">
        <v>55</v>
      </c>
      <c r="D7668" t="s">
        <v>584</v>
      </c>
      <c r="E7668">
        <v>5399.91</v>
      </c>
      <c r="F7668">
        <v>9</v>
      </c>
      <c r="G7668">
        <v>0</v>
      </c>
      <c r="H7668">
        <v>2591.9567999999999</v>
      </c>
      <c r="U7668">
        <v>2591.9567999999999</v>
      </c>
    </row>
    <row r="7669" spans="1:21" x14ac:dyDescent="0.35">
      <c r="A7669" s="1">
        <v>42470</v>
      </c>
      <c r="B7669" t="s">
        <v>2238</v>
      </c>
      <c r="C7669" t="s">
        <v>55</v>
      </c>
      <c r="D7669" t="s">
        <v>2577</v>
      </c>
      <c r="E7669">
        <v>119.1</v>
      </c>
      <c r="F7669">
        <v>3</v>
      </c>
      <c r="G7669">
        <v>0</v>
      </c>
      <c r="H7669">
        <v>34.539000000000001</v>
      </c>
      <c r="U7669">
        <v>34.539000000000001</v>
      </c>
    </row>
    <row r="7670" spans="1:21" x14ac:dyDescent="0.35">
      <c r="A7670" t="s">
        <v>654</v>
      </c>
      <c r="B7670" t="s">
        <v>74</v>
      </c>
      <c r="C7670" t="s">
        <v>55</v>
      </c>
      <c r="D7670" t="s">
        <v>1042</v>
      </c>
      <c r="E7670">
        <v>40.08</v>
      </c>
      <c r="F7670">
        <v>6</v>
      </c>
      <c r="G7670">
        <v>0</v>
      </c>
      <c r="H7670">
        <v>19.238399999999999</v>
      </c>
      <c r="U7670">
        <v>19.238399999999999</v>
      </c>
    </row>
    <row r="7671" spans="1:21" x14ac:dyDescent="0.35">
      <c r="A7671" t="s">
        <v>654</v>
      </c>
      <c r="B7671" t="s">
        <v>74</v>
      </c>
      <c r="C7671" t="s">
        <v>55</v>
      </c>
      <c r="D7671" t="s">
        <v>1204</v>
      </c>
      <c r="E7671">
        <v>59.94</v>
      </c>
      <c r="F7671">
        <v>3</v>
      </c>
      <c r="G7671">
        <v>0</v>
      </c>
      <c r="H7671">
        <v>28.171800000000001</v>
      </c>
      <c r="U7671">
        <v>28.171800000000001</v>
      </c>
    </row>
    <row r="7672" spans="1:21" x14ac:dyDescent="0.35">
      <c r="A7672" t="s">
        <v>654</v>
      </c>
      <c r="B7672" t="s">
        <v>74</v>
      </c>
      <c r="C7672" t="s">
        <v>55</v>
      </c>
      <c r="D7672" t="s">
        <v>2066</v>
      </c>
      <c r="E7672">
        <v>259.98</v>
      </c>
      <c r="F7672">
        <v>2</v>
      </c>
      <c r="G7672">
        <v>0</v>
      </c>
      <c r="H7672">
        <v>88.393199999999993</v>
      </c>
      <c r="U7672">
        <v>88.393199999999993</v>
      </c>
    </row>
    <row r="7673" spans="1:21" x14ac:dyDescent="0.35">
      <c r="A7673" t="s">
        <v>654</v>
      </c>
      <c r="B7673" t="s">
        <v>74</v>
      </c>
      <c r="C7673" t="s">
        <v>55</v>
      </c>
      <c r="D7673" t="s">
        <v>2362</v>
      </c>
      <c r="E7673">
        <v>170.98</v>
      </c>
      <c r="F7673">
        <v>1</v>
      </c>
      <c r="G7673">
        <v>0</v>
      </c>
      <c r="H7673">
        <v>32.486199999999997</v>
      </c>
      <c r="U7673">
        <v>32.486199999999997</v>
      </c>
    </row>
    <row r="7674" spans="1:21" x14ac:dyDescent="0.35">
      <c r="A7674" t="s">
        <v>654</v>
      </c>
      <c r="B7674" t="s">
        <v>74</v>
      </c>
      <c r="C7674" t="s">
        <v>55</v>
      </c>
      <c r="D7674" t="s">
        <v>2699</v>
      </c>
      <c r="E7674">
        <v>38.97</v>
      </c>
      <c r="F7674">
        <v>3</v>
      </c>
      <c r="G7674">
        <v>0</v>
      </c>
      <c r="H7674">
        <v>4.6764000000000001</v>
      </c>
      <c r="U7674">
        <v>4.6764000000000001</v>
      </c>
    </row>
    <row r="7675" spans="1:21" x14ac:dyDescent="0.35">
      <c r="A7675" t="s">
        <v>654</v>
      </c>
      <c r="B7675" t="s">
        <v>74</v>
      </c>
      <c r="C7675" t="s">
        <v>55</v>
      </c>
      <c r="D7675" t="s">
        <v>1685</v>
      </c>
      <c r="E7675">
        <v>154.9</v>
      </c>
      <c r="F7675">
        <v>5</v>
      </c>
      <c r="G7675">
        <v>0</v>
      </c>
      <c r="H7675">
        <v>69.704999999999998</v>
      </c>
      <c r="U7675">
        <v>69.704999999999998</v>
      </c>
    </row>
    <row r="7676" spans="1:21" x14ac:dyDescent="0.35">
      <c r="A7676" t="s">
        <v>654</v>
      </c>
      <c r="B7676" t="s">
        <v>74</v>
      </c>
      <c r="C7676" t="s">
        <v>55</v>
      </c>
      <c r="D7676" t="s">
        <v>1503</v>
      </c>
      <c r="E7676">
        <v>446.06799999999998</v>
      </c>
      <c r="F7676">
        <v>4</v>
      </c>
      <c r="G7676">
        <v>0.3</v>
      </c>
      <c r="H7676">
        <v>0</v>
      </c>
      <c r="U7676">
        <v>0</v>
      </c>
    </row>
    <row r="7677" spans="1:21" x14ac:dyDescent="0.35">
      <c r="A7677" s="1">
        <v>42891</v>
      </c>
      <c r="B7677" t="s">
        <v>2641</v>
      </c>
      <c r="C7677" t="s">
        <v>13</v>
      </c>
      <c r="D7677" t="s">
        <v>881</v>
      </c>
      <c r="E7677">
        <v>152.94</v>
      </c>
      <c r="F7677">
        <v>3</v>
      </c>
      <c r="G7677">
        <v>0</v>
      </c>
      <c r="H7677">
        <v>41.293799999999997</v>
      </c>
      <c r="U7677">
        <v>41.293799999999997</v>
      </c>
    </row>
    <row r="7678" spans="1:21" x14ac:dyDescent="0.35">
      <c r="A7678" s="1">
        <v>41861</v>
      </c>
      <c r="B7678" t="s">
        <v>667</v>
      </c>
      <c r="C7678" t="s">
        <v>8</v>
      </c>
      <c r="D7678" t="s">
        <v>2452</v>
      </c>
      <c r="E7678">
        <v>23.472000000000001</v>
      </c>
      <c r="F7678">
        <v>3</v>
      </c>
      <c r="G7678">
        <v>0.2</v>
      </c>
      <c r="H7678">
        <v>4.9878</v>
      </c>
      <c r="U7678">
        <v>4.9878</v>
      </c>
    </row>
    <row r="7679" spans="1:21" x14ac:dyDescent="0.35">
      <c r="A7679" t="s">
        <v>963</v>
      </c>
      <c r="B7679" t="s">
        <v>1613</v>
      </c>
      <c r="C7679" t="s">
        <v>55</v>
      </c>
      <c r="D7679" t="s">
        <v>2544</v>
      </c>
      <c r="E7679">
        <v>195.64</v>
      </c>
      <c r="F7679">
        <v>4</v>
      </c>
      <c r="G7679">
        <v>0</v>
      </c>
      <c r="H7679">
        <v>91.950800000000001</v>
      </c>
      <c r="U7679">
        <v>91.950800000000001</v>
      </c>
    </row>
    <row r="7680" spans="1:21" x14ac:dyDescent="0.35">
      <c r="A7680" t="s">
        <v>963</v>
      </c>
      <c r="B7680" t="s">
        <v>1613</v>
      </c>
      <c r="C7680" t="s">
        <v>55</v>
      </c>
      <c r="D7680" t="s">
        <v>1695</v>
      </c>
      <c r="E7680">
        <v>14.94</v>
      </c>
      <c r="F7680">
        <v>3</v>
      </c>
      <c r="G7680">
        <v>0</v>
      </c>
      <c r="H7680">
        <v>7.0217999999999998</v>
      </c>
      <c r="U7680">
        <v>7.0217999999999998</v>
      </c>
    </row>
    <row r="7681" spans="1:21" x14ac:dyDescent="0.35">
      <c r="A7681" t="s">
        <v>963</v>
      </c>
      <c r="B7681" t="s">
        <v>1613</v>
      </c>
      <c r="C7681" t="s">
        <v>55</v>
      </c>
      <c r="D7681" t="s">
        <v>1754</v>
      </c>
      <c r="E7681">
        <v>1687.8</v>
      </c>
      <c r="F7681">
        <v>4</v>
      </c>
      <c r="G7681">
        <v>0</v>
      </c>
      <c r="H7681">
        <v>742.63199999999995</v>
      </c>
      <c r="U7681">
        <v>742.63199999999995</v>
      </c>
    </row>
    <row r="7682" spans="1:21" x14ac:dyDescent="0.35">
      <c r="A7682" t="s">
        <v>963</v>
      </c>
      <c r="B7682" t="s">
        <v>1613</v>
      </c>
      <c r="C7682" t="s">
        <v>55</v>
      </c>
      <c r="D7682" t="s">
        <v>1741</v>
      </c>
      <c r="E7682">
        <v>341.96</v>
      </c>
      <c r="F7682">
        <v>2</v>
      </c>
      <c r="G7682">
        <v>0</v>
      </c>
      <c r="H7682">
        <v>78.650800000000004</v>
      </c>
      <c r="U7682">
        <v>78.650800000000004</v>
      </c>
    </row>
    <row r="7683" spans="1:21" x14ac:dyDescent="0.35">
      <c r="A7683" t="s">
        <v>963</v>
      </c>
      <c r="B7683" t="s">
        <v>1613</v>
      </c>
      <c r="C7683" t="s">
        <v>55</v>
      </c>
      <c r="D7683" t="s">
        <v>84</v>
      </c>
      <c r="E7683">
        <v>605.88</v>
      </c>
      <c r="F7683">
        <v>6</v>
      </c>
      <c r="G7683">
        <v>0</v>
      </c>
      <c r="H7683">
        <v>151.47</v>
      </c>
      <c r="U7683">
        <v>151.47</v>
      </c>
    </row>
    <row r="7684" spans="1:21" x14ac:dyDescent="0.35">
      <c r="A7684" t="s">
        <v>643</v>
      </c>
      <c r="B7684" t="s">
        <v>723</v>
      </c>
      <c r="C7684" t="s">
        <v>35</v>
      </c>
      <c r="D7684" t="s">
        <v>2282</v>
      </c>
      <c r="E7684">
        <v>186.732</v>
      </c>
      <c r="F7684">
        <v>1</v>
      </c>
      <c r="G7684">
        <v>0.1</v>
      </c>
      <c r="H7684">
        <v>41.496000000000002</v>
      </c>
      <c r="U7684">
        <v>41.496000000000002</v>
      </c>
    </row>
    <row r="7685" spans="1:21" x14ac:dyDescent="0.35">
      <c r="A7685" t="s">
        <v>643</v>
      </c>
      <c r="B7685" t="s">
        <v>723</v>
      </c>
      <c r="C7685" t="s">
        <v>35</v>
      </c>
      <c r="D7685" t="s">
        <v>849</v>
      </c>
      <c r="E7685">
        <v>3812.97</v>
      </c>
      <c r="F7685">
        <v>3</v>
      </c>
      <c r="G7685">
        <v>0</v>
      </c>
      <c r="H7685">
        <v>1906.4849999999999</v>
      </c>
      <c r="U7685">
        <v>1906.4849999999999</v>
      </c>
    </row>
    <row r="7686" spans="1:21" x14ac:dyDescent="0.35">
      <c r="A7686" t="s">
        <v>2501</v>
      </c>
      <c r="B7686" t="s">
        <v>307</v>
      </c>
      <c r="C7686" t="s">
        <v>55</v>
      </c>
      <c r="D7686" t="s">
        <v>2683</v>
      </c>
      <c r="E7686">
        <v>26.423999999999999</v>
      </c>
      <c r="F7686">
        <v>9</v>
      </c>
      <c r="G7686">
        <v>0.2</v>
      </c>
      <c r="H7686">
        <v>9.5786999999999995</v>
      </c>
      <c r="U7686">
        <v>9.5786999999999995</v>
      </c>
    </row>
    <row r="7687" spans="1:21" x14ac:dyDescent="0.35">
      <c r="A7687" t="s">
        <v>2501</v>
      </c>
      <c r="B7687" t="s">
        <v>307</v>
      </c>
      <c r="C7687" t="s">
        <v>55</v>
      </c>
      <c r="D7687" t="s">
        <v>2578</v>
      </c>
      <c r="E7687">
        <v>625.99</v>
      </c>
      <c r="F7687">
        <v>1</v>
      </c>
      <c r="G7687">
        <v>0</v>
      </c>
      <c r="H7687">
        <v>187.797</v>
      </c>
      <c r="U7687">
        <v>187.797</v>
      </c>
    </row>
    <row r="7688" spans="1:21" x14ac:dyDescent="0.35">
      <c r="A7688" t="s">
        <v>1658</v>
      </c>
      <c r="B7688" t="s">
        <v>740</v>
      </c>
      <c r="C7688" t="s">
        <v>35</v>
      </c>
      <c r="D7688" t="s">
        <v>1096</v>
      </c>
      <c r="E7688">
        <v>1568.61</v>
      </c>
      <c r="F7688">
        <v>9</v>
      </c>
      <c r="G7688">
        <v>0</v>
      </c>
      <c r="H7688">
        <v>329.40809999999999</v>
      </c>
      <c r="U7688">
        <v>329.40809999999999</v>
      </c>
    </row>
    <row r="7689" spans="1:21" x14ac:dyDescent="0.35">
      <c r="A7689" t="s">
        <v>1658</v>
      </c>
      <c r="B7689" t="s">
        <v>740</v>
      </c>
      <c r="C7689" t="s">
        <v>35</v>
      </c>
      <c r="D7689" t="s">
        <v>316</v>
      </c>
      <c r="E7689">
        <v>17.3</v>
      </c>
      <c r="F7689">
        <v>1</v>
      </c>
      <c r="G7689">
        <v>0</v>
      </c>
      <c r="H7689">
        <v>8.3040000000000003</v>
      </c>
      <c r="U7689">
        <v>8.3040000000000003</v>
      </c>
    </row>
    <row r="7690" spans="1:21" x14ac:dyDescent="0.35">
      <c r="A7690" t="s">
        <v>1658</v>
      </c>
      <c r="B7690" t="s">
        <v>740</v>
      </c>
      <c r="C7690" t="s">
        <v>35</v>
      </c>
      <c r="D7690" t="s">
        <v>2700</v>
      </c>
      <c r="E7690">
        <v>160</v>
      </c>
      <c r="F7690">
        <v>8</v>
      </c>
      <c r="G7690">
        <v>0</v>
      </c>
      <c r="H7690">
        <v>62.4</v>
      </c>
      <c r="U7690">
        <v>62.4</v>
      </c>
    </row>
    <row r="7691" spans="1:21" x14ac:dyDescent="0.35">
      <c r="A7691" t="s">
        <v>1297</v>
      </c>
      <c r="B7691" t="s">
        <v>2060</v>
      </c>
      <c r="C7691" t="s">
        <v>8</v>
      </c>
      <c r="D7691" t="s">
        <v>1395</v>
      </c>
      <c r="E7691">
        <v>179.94</v>
      </c>
      <c r="F7691">
        <v>3</v>
      </c>
      <c r="G7691">
        <v>0</v>
      </c>
      <c r="H7691">
        <v>50.383200000000002</v>
      </c>
      <c r="U7691">
        <v>50.383200000000002</v>
      </c>
    </row>
    <row r="7692" spans="1:21" x14ac:dyDescent="0.35">
      <c r="A7692" t="s">
        <v>1297</v>
      </c>
      <c r="B7692" t="s">
        <v>2060</v>
      </c>
      <c r="C7692" t="s">
        <v>8</v>
      </c>
      <c r="D7692" t="s">
        <v>588</v>
      </c>
      <c r="E7692">
        <v>872.94</v>
      </c>
      <c r="F7692">
        <v>3</v>
      </c>
      <c r="G7692">
        <v>0</v>
      </c>
      <c r="H7692">
        <v>157.1292</v>
      </c>
      <c r="U7692">
        <v>157.1292</v>
      </c>
    </row>
    <row r="7693" spans="1:21" x14ac:dyDescent="0.35">
      <c r="A7693" t="s">
        <v>1297</v>
      </c>
      <c r="B7693" t="s">
        <v>2060</v>
      </c>
      <c r="C7693" t="s">
        <v>8</v>
      </c>
      <c r="D7693" t="s">
        <v>190</v>
      </c>
      <c r="E7693">
        <v>12.96</v>
      </c>
      <c r="F7693">
        <v>2</v>
      </c>
      <c r="G7693">
        <v>0</v>
      </c>
      <c r="H7693">
        <v>6.2207999999999997</v>
      </c>
      <c r="U7693">
        <v>6.2207999999999997</v>
      </c>
    </row>
    <row r="7694" spans="1:21" x14ac:dyDescent="0.35">
      <c r="A7694" t="s">
        <v>1097</v>
      </c>
      <c r="B7694" t="s">
        <v>1690</v>
      </c>
      <c r="C7694" t="s">
        <v>13</v>
      </c>
      <c r="D7694" t="s">
        <v>812</v>
      </c>
      <c r="E7694">
        <v>88.8</v>
      </c>
      <c r="F7694">
        <v>6</v>
      </c>
      <c r="G7694">
        <v>0</v>
      </c>
      <c r="H7694">
        <v>44.4</v>
      </c>
      <c r="U7694">
        <v>44.4</v>
      </c>
    </row>
    <row r="7695" spans="1:21" x14ac:dyDescent="0.35">
      <c r="A7695" t="s">
        <v>1097</v>
      </c>
      <c r="B7695" t="s">
        <v>1690</v>
      </c>
      <c r="C7695" t="s">
        <v>13</v>
      </c>
      <c r="D7695" t="s">
        <v>2032</v>
      </c>
      <c r="E7695">
        <v>319.96800000000002</v>
      </c>
      <c r="F7695">
        <v>4</v>
      </c>
      <c r="G7695">
        <v>0.2</v>
      </c>
      <c r="H7695">
        <v>35.996400000000001</v>
      </c>
      <c r="U7695">
        <v>35.996400000000001</v>
      </c>
    </row>
    <row r="7696" spans="1:21" x14ac:dyDescent="0.35">
      <c r="A7696" t="s">
        <v>1090</v>
      </c>
      <c r="B7696" t="s">
        <v>1756</v>
      </c>
      <c r="C7696" t="s">
        <v>13</v>
      </c>
      <c r="D7696" t="s">
        <v>1847</v>
      </c>
      <c r="E7696">
        <v>167.88800000000001</v>
      </c>
      <c r="F7696">
        <v>7</v>
      </c>
      <c r="G7696">
        <v>0.2</v>
      </c>
      <c r="H7696">
        <v>14.690200000000001</v>
      </c>
      <c r="U7696">
        <v>14.690200000000001</v>
      </c>
    </row>
    <row r="7697" spans="1:21" x14ac:dyDescent="0.35">
      <c r="A7697" s="1">
        <v>42773</v>
      </c>
      <c r="B7697" t="s">
        <v>1976</v>
      </c>
      <c r="C7697" t="s">
        <v>35</v>
      </c>
      <c r="D7697" t="s">
        <v>842</v>
      </c>
      <c r="E7697">
        <v>163.96</v>
      </c>
      <c r="F7697">
        <v>5</v>
      </c>
      <c r="G7697">
        <v>0.2</v>
      </c>
      <c r="H7697">
        <v>59.435499999999998</v>
      </c>
      <c r="U7697">
        <v>59.435499999999998</v>
      </c>
    </row>
    <row r="7698" spans="1:21" x14ac:dyDescent="0.35">
      <c r="A7698" s="1">
        <v>42773</v>
      </c>
      <c r="B7698" t="s">
        <v>1976</v>
      </c>
      <c r="C7698" t="s">
        <v>35</v>
      </c>
      <c r="D7698" t="s">
        <v>2326</v>
      </c>
      <c r="E7698">
        <v>5.2320000000000002</v>
      </c>
      <c r="F7698">
        <v>4</v>
      </c>
      <c r="G7698">
        <v>0.8</v>
      </c>
      <c r="H7698">
        <v>-8.1096000000000004</v>
      </c>
      <c r="U7698">
        <v>-8.1096000000000004</v>
      </c>
    </row>
    <row r="7699" spans="1:21" x14ac:dyDescent="0.35">
      <c r="A7699" t="s">
        <v>394</v>
      </c>
      <c r="B7699" t="s">
        <v>1486</v>
      </c>
      <c r="C7699" t="s">
        <v>55</v>
      </c>
      <c r="D7699" t="s">
        <v>669</v>
      </c>
      <c r="E7699">
        <v>1199.98</v>
      </c>
      <c r="F7699">
        <v>2</v>
      </c>
      <c r="G7699">
        <v>0</v>
      </c>
      <c r="H7699">
        <v>467.99220000000003</v>
      </c>
      <c r="U7699">
        <v>467.99220000000003</v>
      </c>
    </row>
    <row r="7700" spans="1:21" x14ac:dyDescent="0.35">
      <c r="A7700" t="s">
        <v>394</v>
      </c>
      <c r="B7700" t="s">
        <v>1486</v>
      </c>
      <c r="C7700" t="s">
        <v>55</v>
      </c>
      <c r="D7700" t="s">
        <v>463</v>
      </c>
      <c r="E7700">
        <v>73.849999999999994</v>
      </c>
      <c r="F7700">
        <v>1</v>
      </c>
      <c r="G7700">
        <v>0</v>
      </c>
      <c r="H7700">
        <v>2.2155</v>
      </c>
      <c r="U7700">
        <v>2.2155</v>
      </c>
    </row>
    <row r="7701" spans="1:21" x14ac:dyDescent="0.35">
      <c r="A7701" t="s">
        <v>394</v>
      </c>
      <c r="B7701" t="s">
        <v>1486</v>
      </c>
      <c r="C7701" t="s">
        <v>55</v>
      </c>
      <c r="D7701" t="s">
        <v>1994</v>
      </c>
      <c r="E7701">
        <v>25.71</v>
      </c>
      <c r="F7701">
        <v>3</v>
      </c>
      <c r="G7701">
        <v>0</v>
      </c>
      <c r="H7701">
        <v>6.6845999999999997</v>
      </c>
      <c r="U7701">
        <v>6.6845999999999997</v>
      </c>
    </row>
    <row r="7702" spans="1:21" x14ac:dyDescent="0.35">
      <c r="A7702" t="s">
        <v>394</v>
      </c>
      <c r="B7702" t="s">
        <v>1486</v>
      </c>
      <c r="C7702" t="s">
        <v>55</v>
      </c>
      <c r="D7702" t="s">
        <v>2425</v>
      </c>
      <c r="E7702">
        <v>17.28</v>
      </c>
      <c r="F7702">
        <v>6</v>
      </c>
      <c r="G7702">
        <v>0</v>
      </c>
      <c r="H7702">
        <v>8.1216000000000008</v>
      </c>
      <c r="U7702">
        <v>8.1216000000000008</v>
      </c>
    </row>
    <row r="7703" spans="1:21" x14ac:dyDescent="0.35">
      <c r="A7703" t="s">
        <v>394</v>
      </c>
      <c r="B7703" t="s">
        <v>1486</v>
      </c>
      <c r="C7703" t="s">
        <v>55</v>
      </c>
      <c r="D7703" t="s">
        <v>433</v>
      </c>
      <c r="E7703">
        <v>526.58199999999999</v>
      </c>
      <c r="F7703">
        <v>2</v>
      </c>
      <c r="G7703">
        <v>0.3</v>
      </c>
      <c r="H7703">
        <v>-52.658200000000001</v>
      </c>
      <c r="U7703">
        <v>-52.658200000000001</v>
      </c>
    </row>
    <row r="7704" spans="1:21" x14ac:dyDescent="0.35">
      <c r="A7704" t="s">
        <v>1312</v>
      </c>
      <c r="B7704" t="s">
        <v>29</v>
      </c>
      <c r="C7704" t="s">
        <v>35</v>
      </c>
      <c r="D7704" t="s">
        <v>1404</v>
      </c>
      <c r="E7704">
        <v>11.56</v>
      </c>
      <c r="F7704">
        <v>2</v>
      </c>
      <c r="G7704">
        <v>0</v>
      </c>
      <c r="H7704">
        <v>5.6643999999999997</v>
      </c>
      <c r="U7704">
        <v>5.6643999999999997</v>
      </c>
    </row>
    <row r="7705" spans="1:21" x14ac:dyDescent="0.35">
      <c r="A7705" t="s">
        <v>1312</v>
      </c>
      <c r="B7705" t="s">
        <v>29</v>
      </c>
      <c r="C7705" t="s">
        <v>35</v>
      </c>
      <c r="D7705" t="s">
        <v>1075</v>
      </c>
      <c r="E7705">
        <v>209.97</v>
      </c>
      <c r="F7705">
        <v>3</v>
      </c>
      <c r="G7705">
        <v>0</v>
      </c>
      <c r="H7705">
        <v>58.791600000000003</v>
      </c>
      <c r="U7705">
        <v>58.791600000000003</v>
      </c>
    </row>
    <row r="7706" spans="1:21" x14ac:dyDescent="0.35">
      <c r="A7706" t="s">
        <v>1312</v>
      </c>
      <c r="B7706" t="s">
        <v>29</v>
      </c>
      <c r="C7706" t="s">
        <v>35</v>
      </c>
      <c r="D7706" t="s">
        <v>1408</v>
      </c>
      <c r="E7706">
        <v>447.84</v>
      </c>
      <c r="F7706">
        <v>4</v>
      </c>
      <c r="G7706">
        <v>0</v>
      </c>
      <c r="H7706">
        <v>98.524799999999999</v>
      </c>
      <c r="U7706">
        <v>98.524799999999999</v>
      </c>
    </row>
    <row r="7707" spans="1:21" x14ac:dyDescent="0.35">
      <c r="A7707" t="s">
        <v>1312</v>
      </c>
      <c r="B7707" t="s">
        <v>29</v>
      </c>
      <c r="C7707" t="s">
        <v>35</v>
      </c>
      <c r="D7707" t="s">
        <v>634</v>
      </c>
      <c r="E7707">
        <v>479.97</v>
      </c>
      <c r="F7707">
        <v>3</v>
      </c>
      <c r="G7707">
        <v>0</v>
      </c>
      <c r="H7707">
        <v>163.18979999999999</v>
      </c>
      <c r="U7707">
        <v>163.18979999999999</v>
      </c>
    </row>
    <row r="7708" spans="1:21" x14ac:dyDescent="0.35">
      <c r="A7708" t="s">
        <v>1312</v>
      </c>
      <c r="B7708" t="s">
        <v>29</v>
      </c>
      <c r="C7708" t="s">
        <v>35</v>
      </c>
      <c r="D7708" t="s">
        <v>1189</v>
      </c>
      <c r="E7708">
        <v>8.64</v>
      </c>
      <c r="F7708">
        <v>3</v>
      </c>
      <c r="G7708">
        <v>0</v>
      </c>
      <c r="H7708">
        <v>2.5055999999999998</v>
      </c>
      <c r="U7708">
        <v>2.5055999999999998</v>
      </c>
    </row>
    <row r="7709" spans="1:21" x14ac:dyDescent="0.35">
      <c r="A7709" t="s">
        <v>1567</v>
      </c>
      <c r="B7709" t="s">
        <v>1623</v>
      </c>
      <c r="C7709" t="s">
        <v>13</v>
      </c>
      <c r="D7709" t="s">
        <v>2518</v>
      </c>
      <c r="E7709">
        <v>11.68</v>
      </c>
      <c r="F7709">
        <v>2</v>
      </c>
      <c r="G7709">
        <v>0</v>
      </c>
      <c r="H7709">
        <v>4.2047999999999996</v>
      </c>
      <c r="U7709">
        <v>4.2047999999999996</v>
      </c>
    </row>
    <row r="7710" spans="1:21" x14ac:dyDescent="0.35">
      <c r="A7710" t="s">
        <v>102</v>
      </c>
      <c r="B7710" t="s">
        <v>2345</v>
      </c>
      <c r="C7710" t="s">
        <v>55</v>
      </c>
      <c r="D7710" t="s">
        <v>2468</v>
      </c>
      <c r="E7710">
        <v>40.776000000000003</v>
      </c>
      <c r="F7710">
        <v>3</v>
      </c>
      <c r="G7710">
        <v>0.2</v>
      </c>
      <c r="H7710">
        <v>0.50970000000000004</v>
      </c>
      <c r="U7710">
        <v>0.50970000000000004</v>
      </c>
    </row>
    <row r="7711" spans="1:21" x14ac:dyDescent="0.35">
      <c r="A7711" t="s">
        <v>102</v>
      </c>
      <c r="B7711" t="s">
        <v>2345</v>
      </c>
      <c r="C7711" t="s">
        <v>55</v>
      </c>
      <c r="D7711" t="s">
        <v>647</v>
      </c>
      <c r="E7711">
        <v>13.698</v>
      </c>
      <c r="F7711">
        <v>3</v>
      </c>
      <c r="G7711">
        <v>0.7</v>
      </c>
      <c r="H7711">
        <v>-9.5885999999999996</v>
      </c>
      <c r="U7711">
        <v>-9.5885999999999996</v>
      </c>
    </row>
    <row r="7712" spans="1:21" x14ac:dyDescent="0.35">
      <c r="A7712" s="1">
        <v>42039</v>
      </c>
      <c r="B7712" t="s">
        <v>578</v>
      </c>
      <c r="C7712" t="s">
        <v>13</v>
      </c>
      <c r="D7712" t="s">
        <v>2337</v>
      </c>
      <c r="E7712">
        <v>87.8</v>
      </c>
      <c r="F7712">
        <v>5</v>
      </c>
      <c r="G7712">
        <v>0.2</v>
      </c>
      <c r="H7712">
        <v>32.924999999999997</v>
      </c>
      <c r="U7712">
        <v>32.924999999999997</v>
      </c>
    </row>
    <row r="7713" spans="1:21" x14ac:dyDescent="0.35">
      <c r="A7713" t="s">
        <v>2442</v>
      </c>
      <c r="B7713" t="s">
        <v>218</v>
      </c>
      <c r="C7713" t="s">
        <v>8</v>
      </c>
      <c r="D7713" t="s">
        <v>2211</v>
      </c>
      <c r="E7713">
        <v>77.951999999999998</v>
      </c>
      <c r="F7713">
        <v>3</v>
      </c>
      <c r="G7713">
        <v>0.2</v>
      </c>
      <c r="H7713">
        <v>15.590400000000001</v>
      </c>
      <c r="U7713">
        <v>15.590400000000001</v>
      </c>
    </row>
    <row r="7714" spans="1:21" x14ac:dyDescent="0.35">
      <c r="A7714" t="s">
        <v>2442</v>
      </c>
      <c r="B7714" t="s">
        <v>218</v>
      </c>
      <c r="C7714" t="s">
        <v>8</v>
      </c>
      <c r="D7714" t="s">
        <v>401</v>
      </c>
      <c r="E7714">
        <v>147.184</v>
      </c>
      <c r="F7714">
        <v>2</v>
      </c>
      <c r="G7714">
        <v>0.2</v>
      </c>
      <c r="H7714">
        <v>-29.436800000000002</v>
      </c>
      <c r="U7714">
        <v>-29.436800000000002</v>
      </c>
    </row>
    <row r="7715" spans="1:21" x14ac:dyDescent="0.35">
      <c r="A7715" t="s">
        <v>2442</v>
      </c>
      <c r="B7715" t="s">
        <v>218</v>
      </c>
      <c r="C7715" t="s">
        <v>8</v>
      </c>
      <c r="D7715" t="s">
        <v>2655</v>
      </c>
      <c r="E7715">
        <v>47.951999999999998</v>
      </c>
      <c r="F7715">
        <v>3</v>
      </c>
      <c r="G7715">
        <v>0.2</v>
      </c>
      <c r="H7715">
        <v>16.183800000000002</v>
      </c>
      <c r="U7715">
        <v>16.183800000000002</v>
      </c>
    </row>
    <row r="7716" spans="1:21" x14ac:dyDescent="0.35">
      <c r="A7716" s="1">
        <v>41771</v>
      </c>
      <c r="B7716" t="s">
        <v>413</v>
      </c>
      <c r="C7716" t="s">
        <v>13</v>
      </c>
      <c r="D7716" t="s">
        <v>1054</v>
      </c>
      <c r="E7716">
        <v>250.26</v>
      </c>
      <c r="F7716">
        <v>6</v>
      </c>
      <c r="G7716">
        <v>0</v>
      </c>
      <c r="H7716">
        <v>72.575400000000002</v>
      </c>
      <c r="U7716">
        <v>72.575400000000002</v>
      </c>
    </row>
    <row r="7717" spans="1:21" x14ac:dyDescent="0.35">
      <c r="A7717" s="1">
        <v>42805</v>
      </c>
      <c r="B7717" t="s">
        <v>1091</v>
      </c>
      <c r="C7717" t="s">
        <v>55</v>
      </c>
      <c r="D7717" t="s">
        <v>2468</v>
      </c>
      <c r="E7717">
        <v>40.776000000000003</v>
      </c>
      <c r="F7717">
        <v>3</v>
      </c>
      <c r="G7717">
        <v>0.2</v>
      </c>
      <c r="H7717">
        <v>0.50970000000000004</v>
      </c>
      <c r="U7717">
        <v>0.50970000000000004</v>
      </c>
    </row>
    <row r="7718" spans="1:21" x14ac:dyDescent="0.35">
      <c r="A7718" s="1">
        <v>42156</v>
      </c>
      <c r="B7718" t="s">
        <v>1484</v>
      </c>
      <c r="C7718" t="s">
        <v>13</v>
      </c>
      <c r="D7718" t="s">
        <v>1592</v>
      </c>
      <c r="E7718">
        <v>29.6</v>
      </c>
      <c r="F7718">
        <v>5</v>
      </c>
      <c r="G7718">
        <v>0.2</v>
      </c>
      <c r="H7718">
        <v>9.25</v>
      </c>
      <c r="U7718">
        <v>9.25</v>
      </c>
    </row>
    <row r="7719" spans="1:21" x14ac:dyDescent="0.35">
      <c r="A7719" s="1">
        <v>42156</v>
      </c>
      <c r="B7719" t="s">
        <v>1484</v>
      </c>
      <c r="C7719" t="s">
        <v>13</v>
      </c>
      <c r="D7719" t="s">
        <v>930</v>
      </c>
      <c r="E7719">
        <v>1.9379999999999999</v>
      </c>
      <c r="F7719">
        <v>2</v>
      </c>
      <c r="G7719">
        <v>0.7</v>
      </c>
      <c r="H7719">
        <v>-1.3566</v>
      </c>
      <c r="U7719">
        <v>-1.3566</v>
      </c>
    </row>
    <row r="7720" spans="1:21" x14ac:dyDescent="0.35">
      <c r="A7720" s="1">
        <v>42987</v>
      </c>
      <c r="B7720" t="s">
        <v>864</v>
      </c>
      <c r="C7720" t="s">
        <v>13</v>
      </c>
      <c r="D7720" t="s">
        <v>1953</v>
      </c>
      <c r="E7720">
        <v>159.96</v>
      </c>
      <c r="F7720">
        <v>4</v>
      </c>
      <c r="G7720">
        <v>0</v>
      </c>
      <c r="H7720">
        <v>51.187199999999997</v>
      </c>
      <c r="U7720">
        <v>51.187199999999997</v>
      </c>
    </row>
    <row r="7721" spans="1:21" x14ac:dyDescent="0.35">
      <c r="A7721" s="1">
        <v>42125</v>
      </c>
      <c r="B7721" t="s">
        <v>1491</v>
      </c>
      <c r="C7721" t="s">
        <v>55</v>
      </c>
      <c r="D7721" t="s">
        <v>2323</v>
      </c>
      <c r="E7721">
        <v>59.52</v>
      </c>
      <c r="F7721">
        <v>3</v>
      </c>
      <c r="G7721">
        <v>0</v>
      </c>
      <c r="H7721">
        <v>15.475199999999999</v>
      </c>
      <c r="U7721">
        <v>15.475199999999999</v>
      </c>
    </row>
    <row r="7722" spans="1:21" x14ac:dyDescent="0.35">
      <c r="A7722" s="1">
        <v>42125</v>
      </c>
      <c r="B7722" t="s">
        <v>1491</v>
      </c>
      <c r="C7722" t="s">
        <v>55</v>
      </c>
      <c r="D7722" t="s">
        <v>1306</v>
      </c>
      <c r="E7722">
        <v>17.48</v>
      </c>
      <c r="F7722">
        <v>2</v>
      </c>
      <c r="G7722">
        <v>0</v>
      </c>
      <c r="H7722">
        <v>8.2156000000000002</v>
      </c>
      <c r="U7722">
        <v>8.2156000000000002</v>
      </c>
    </row>
    <row r="7723" spans="1:21" x14ac:dyDescent="0.35">
      <c r="A7723" s="1">
        <v>42125</v>
      </c>
      <c r="B7723" t="s">
        <v>1491</v>
      </c>
      <c r="C7723" t="s">
        <v>55</v>
      </c>
      <c r="D7723" t="s">
        <v>2002</v>
      </c>
      <c r="E7723">
        <v>13.167999999999999</v>
      </c>
      <c r="F7723">
        <v>2</v>
      </c>
      <c r="G7723">
        <v>0.2</v>
      </c>
      <c r="H7723">
        <v>4.6087999999999996</v>
      </c>
      <c r="U7723">
        <v>4.6087999999999996</v>
      </c>
    </row>
    <row r="7724" spans="1:21" x14ac:dyDescent="0.35">
      <c r="A7724" t="s">
        <v>1692</v>
      </c>
      <c r="B7724" t="s">
        <v>1045</v>
      </c>
      <c r="C7724" t="s">
        <v>13</v>
      </c>
      <c r="D7724" t="s">
        <v>2701</v>
      </c>
      <c r="E7724">
        <v>40.74</v>
      </c>
      <c r="F7724">
        <v>3</v>
      </c>
      <c r="G7724">
        <v>0</v>
      </c>
      <c r="H7724">
        <v>12.222</v>
      </c>
      <c r="U7724">
        <v>12.222</v>
      </c>
    </row>
    <row r="7725" spans="1:21" x14ac:dyDescent="0.35">
      <c r="A7725" s="1">
        <v>42286</v>
      </c>
      <c r="B7725" t="s">
        <v>2568</v>
      </c>
      <c r="C7725" t="s">
        <v>35</v>
      </c>
      <c r="D7725" t="s">
        <v>1903</v>
      </c>
      <c r="E7725">
        <v>179.886</v>
      </c>
      <c r="F7725">
        <v>1</v>
      </c>
      <c r="G7725">
        <v>0.3</v>
      </c>
      <c r="H7725">
        <v>-2.5697999999999999</v>
      </c>
      <c r="U7725">
        <v>-2.5697999999999999</v>
      </c>
    </row>
    <row r="7726" spans="1:21" x14ac:dyDescent="0.35">
      <c r="A7726" t="s">
        <v>1617</v>
      </c>
      <c r="B7726" t="s">
        <v>2354</v>
      </c>
      <c r="C7726" t="s">
        <v>55</v>
      </c>
      <c r="D7726" t="s">
        <v>1435</v>
      </c>
      <c r="E7726">
        <v>286.25599999999997</v>
      </c>
      <c r="F7726">
        <v>1</v>
      </c>
      <c r="G7726">
        <v>0.2</v>
      </c>
      <c r="H7726">
        <v>17.890999999999998</v>
      </c>
      <c r="U7726">
        <v>17.890999999999998</v>
      </c>
    </row>
    <row r="7727" spans="1:21" x14ac:dyDescent="0.35">
      <c r="A7727" t="s">
        <v>1617</v>
      </c>
      <c r="B7727" t="s">
        <v>2354</v>
      </c>
      <c r="C7727" t="s">
        <v>55</v>
      </c>
      <c r="D7727" t="s">
        <v>872</v>
      </c>
      <c r="E7727">
        <v>24.224</v>
      </c>
      <c r="F7727">
        <v>2</v>
      </c>
      <c r="G7727">
        <v>0.2</v>
      </c>
      <c r="H7727">
        <v>-4.8448000000000002</v>
      </c>
      <c r="U7727">
        <v>-4.8448000000000002</v>
      </c>
    </row>
    <row r="7728" spans="1:21" x14ac:dyDescent="0.35">
      <c r="A7728" t="s">
        <v>1617</v>
      </c>
      <c r="B7728" t="s">
        <v>2354</v>
      </c>
      <c r="C7728" t="s">
        <v>55</v>
      </c>
      <c r="D7728" t="s">
        <v>1575</v>
      </c>
      <c r="E7728">
        <v>331.536</v>
      </c>
      <c r="F7728">
        <v>3</v>
      </c>
      <c r="G7728">
        <v>0.2</v>
      </c>
      <c r="H7728">
        <v>-82.884</v>
      </c>
      <c r="U7728">
        <v>-82.884</v>
      </c>
    </row>
    <row r="7729" spans="1:21" x14ac:dyDescent="0.35">
      <c r="A7729" t="s">
        <v>843</v>
      </c>
      <c r="B7729" t="s">
        <v>344</v>
      </c>
      <c r="C7729" t="s">
        <v>55</v>
      </c>
      <c r="D7729" t="s">
        <v>2518</v>
      </c>
      <c r="E7729">
        <v>17.52</v>
      </c>
      <c r="F7729">
        <v>3</v>
      </c>
      <c r="G7729">
        <v>0</v>
      </c>
      <c r="H7729">
        <v>6.3071999999999999</v>
      </c>
      <c r="U7729">
        <v>6.3071999999999999</v>
      </c>
    </row>
    <row r="7730" spans="1:21" x14ac:dyDescent="0.35">
      <c r="A7730" t="s">
        <v>1536</v>
      </c>
      <c r="B7730" t="s">
        <v>2223</v>
      </c>
      <c r="C7730" t="s">
        <v>35</v>
      </c>
      <c r="D7730" t="s">
        <v>1373</v>
      </c>
      <c r="E7730">
        <v>17.856000000000002</v>
      </c>
      <c r="F7730">
        <v>4</v>
      </c>
      <c r="G7730">
        <v>0.2</v>
      </c>
      <c r="H7730">
        <v>4.2408000000000001</v>
      </c>
      <c r="U7730">
        <v>4.2408000000000001</v>
      </c>
    </row>
    <row r="7731" spans="1:21" x14ac:dyDescent="0.35">
      <c r="A7731" t="s">
        <v>769</v>
      </c>
      <c r="B7731" t="s">
        <v>776</v>
      </c>
      <c r="C7731" t="s">
        <v>8</v>
      </c>
      <c r="D7731" t="s">
        <v>2101</v>
      </c>
      <c r="E7731">
        <v>431.976</v>
      </c>
      <c r="F7731">
        <v>3</v>
      </c>
      <c r="G7731">
        <v>0.2</v>
      </c>
      <c r="H7731">
        <v>-75.595799999999997</v>
      </c>
      <c r="U7731">
        <v>-75.595799999999997</v>
      </c>
    </row>
    <row r="7732" spans="1:21" x14ac:dyDescent="0.35">
      <c r="A7732" t="s">
        <v>810</v>
      </c>
      <c r="B7732" t="s">
        <v>290</v>
      </c>
      <c r="C7732" t="s">
        <v>13</v>
      </c>
      <c r="D7732" t="s">
        <v>1924</v>
      </c>
      <c r="E7732">
        <v>291.13600000000002</v>
      </c>
      <c r="F7732">
        <v>4</v>
      </c>
      <c r="G7732">
        <v>0.2</v>
      </c>
      <c r="H7732">
        <v>-25.474399999999999</v>
      </c>
      <c r="U7732">
        <v>-25.474399999999999</v>
      </c>
    </row>
    <row r="7733" spans="1:21" x14ac:dyDescent="0.35">
      <c r="A7733" t="s">
        <v>273</v>
      </c>
      <c r="B7733" t="s">
        <v>224</v>
      </c>
      <c r="C7733" t="s">
        <v>35</v>
      </c>
      <c r="D7733" t="s">
        <v>169</v>
      </c>
      <c r="E7733">
        <v>114.848</v>
      </c>
      <c r="F7733">
        <v>4</v>
      </c>
      <c r="G7733">
        <v>0.2</v>
      </c>
      <c r="H7733">
        <v>35.89</v>
      </c>
      <c r="U7733">
        <v>35.89</v>
      </c>
    </row>
    <row r="7734" spans="1:21" x14ac:dyDescent="0.35">
      <c r="A7734" s="1">
        <v>42772</v>
      </c>
      <c r="B7734" t="s">
        <v>1681</v>
      </c>
      <c r="C7734" t="s">
        <v>35</v>
      </c>
      <c r="D7734" t="s">
        <v>1042</v>
      </c>
      <c r="E7734">
        <v>10.688000000000001</v>
      </c>
      <c r="F7734">
        <v>2</v>
      </c>
      <c r="G7734">
        <v>0.2</v>
      </c>
      <c r="H7734">
        <v>3.7408000000000001</v>
      </c>
      <c r="U7734">
        <v>3.7408000000000001</v>
      </c>
    </row>
    <row r="7735" spans="1:21" x14ac:dyDescent="0.35">
      <c r="A7735" t="s">
        <v>1710</v>
      </c>
      <c r="B7735" t="s">
        <v>1573</v>
      </c>
      <c r="C7735" t="s">
        <v>55</v>
      </c>
      <c r="D7735" t="s">
        <v>2186</v>
      </c>
      <c r="E7735">
        <v>15.231999999999999</v>
      </c>
      <c r="F7735">
        <v>4</v>
      </c>
      <c r="G7735">
        <v>0.2</v>
      </c>
      <c r="H7735">
        <v>5.5216000000000003</v>
      </c>
      <c r="U7735">
        <v>5.5216000000000003</v>
      </c>
    </row>
    <row r="7736" spans="1:21" x14ac:dyDescent="0.35">
      <c r="A7736" t="s">
        <v>86</v>
      </c>
      <c r="B7736" t="s">
        <v>1534</v>
      </c>
      <c r="C7736" t="s">
        <v>13</v>
      </c>
      <c r="D7736" t="s">
        <v>318</v>
      </c>
      <c r="E7736">
        <v>12.42</v>
      </c>
      <c r="F7736">
        <v>3</v>
      </c>
      <c r="G7736">
        <v>0</v>
      </c>
      <c r="H7736">
        <v>5.2164000000000001</v>
      </c>
      <c r="U7736">
        <v>5.2164000000000001</v>
      </c>
    </row>
    <row r="7737" spans="1:21" x14ac:dyDescent="0.35">
      <c r="A7737" t="s">
        <v>1006</v>
      </c>
      <c r="B7737" t="s">
        <v>1370</v>
      </c>
      <c r="C7737" t="s">
        <v>13</v>
      </c>
      <c r="D7737" t="s">
        <v>1200</v>
      </c>
      <c r="E7737">
        <v>19.440000000000001</v>
      </c>
      <c r="F7737">
        <v>3</v>
      </c>
      <c r="G7737">
        <v>0</v>
      </c>
      <c r="H7737">
        <v>9.3312000000000008</v>
      </c>
      <c r="U7737">
        <v>9.3312000000000008</v>
      </c>
    </row>
    <row r="7738" spans="1:21" x14ac:dyDescent="0.35">
      <c r="A7738" t="s">
        <v>1563</v>
      </c>
      <c r="B7738" t="s">
        <v>1753</v>
      </c>
      <c r="C7738" t="s">
        <v>55</v>
      </c>
      <c r="D7738" t="s">
        <v>1251</v>
      </c>
      <c r="E7738">
        <v>70.367999999999995</v>
      </c>
      <c r="F7738">
        <v>4</v>
      </c>
      <c r="G7738">
        <v>0.2</v>
      </c>
      <c r="H7738">
        <v>26.388000000000002</v>
      </c>
      <c r="U7738">
        <v>26.388000000000002</v>
      </c>
    </row>
    <row r="7739" spans="1:21" x14ac:dyDescent="0.35">
      <c r="A7739" t="s">
        <v>1418</v>
      </c>
      <c r="B7739" t="s">
        <v>2508</v>
      </c>
      <c r="C7739" t="s">
        <v>8</v>
      </c>
      <c r="D7739" t="s">
        <v>1708</v>
      </c>
      <c r="E7739">
        <v>12.672000000000001</v>
      </c>
      <c r="F7739">
        <v>9</v>
      </c>
      <c r="G7739">
        <v>0.2</v>
      </c>
      <c r="H7739">
        <v>1.4256</v>
      </c>
      <c r="U7739">
        <v>1.4256</v>
      </c>
    </row>
    <row r="7740" spans="1:21" x14ac:dyDescent="0.35">
      <c r="A7740" t="s">
        <v>992</v>
      </c>
      <c r="B7740" t="s">
        <v>1074</v>
      </c>
      <c r="C7740" t="s">
        <v>55</v>
      </c>
      <c r="D7740" t="s">
        <v>1416</v>
      </c>
      <c r="E7740">
        <v>89.95</v>
      </c>
      <c r="F7740">
        <v>5</v>
      </c>
      <c r="G7740">
        <v>0</v>
      </c>
      <c r="H7740">
        <v>43.176000000000002</v>
      </c>
      <c r="U7740">
        <v>43.176000000000002</v>
      </c>
    </row>
    <row r="7741" spans="1:21" x14ac:dyDescent="0.35">
      <c r="A7741" t="s">
        <v>1939</v>
      </c>
      <c r="B7741" t="s">
        <v>2214</v>
      </c>
      <c r="C7741" t="s">
        <v>13</v>
      </c>
      <c r="D7741" t="s">
        <v>1825</v>
      </c>
      <c r="E7741">
        <v>6.58</v>
      </c>
      <c r="F7741">
        <v>2</v>
      </c>
      <c r="G7741">
        <v>0</v>
      </c>
      <c r="H7741">
        <v>3.0268000000000002</v>
      </c>
      <c r="U7741">
        <v>3.0268000000000002</v>
      </c>
    </row>
    <row r="7742" spans="1:21" x14ac:dyDescent="0.35">
      <c r="A7742" t="s">
        <v>1939</v>
      </c>
      <c r="B7742" t="s">
        <v>2214</v>
      </c>
      <c r="C7742" t="s">
        <v>13</v>
      </c>
      <c r="D7742" t="s">
        <v>2356</v>
      </c>
      <c r="E7742">
        <v>94.99</v>
      </c>
      <c r="F7742">
        <v>1</v>
      </c>
      <c r="G7742">
        <v>0</v>
      </c>
      <c r="H7742">
        <v>28.497</v>
      </c>
      <c r="U7742">
        <v>28.497</v>
      </c>
    </row>
    <row r="7743" spans="1:21" x14ac:dyDescent="0.35">
      <c r="A7743" t="s">
        <v>1546</v>
      </c>
      <c r="B7743" t="s">
        <v>2126</v>
      </c>
      <c r="C7743" t="s">
        <v>13</v>
      </c>
      <c r="D7743" t="s">
        <v>2337</v>
      </c>
      <c r="E7743">
        <v>35.119999999999997</v>
      </c>
      <c r="F7743">
        <v>2</v>
      </c>
      <c r="G7743">
        <v>0.2</v>
      </c>
      <c r="H7743">
        <v>13.17</v>
      </c>
      <c r="U7743">
        <v>13.17</v>
      </c>
    </row>
    <row r="7744" spans="1:21" x14ac:dyDescent="0.35">
      <c r="A7744" t="s">
        <v>1944</v>
      </c>
      <c r="B7744" t="s">
        <v>1489</v>
      </c>
      <c r="C7744" t="s">
        <v>13</v>
      </c>
      <c r="D7744" t="s">
        <v>1631</v>
      </c>
      <c r="E7744">
        <v>25.92</v>
      </c>
      <c r="F7744">
        <v>4</v>
      </c>
      <c r="G7744">
        <v>0</v>
      </c>
      <c r="H7744">
        <v>12.441599999999999</v>
      </c>
      <c r="U7744">
        <v>12.441599999999999</v>
      </c>
    </row>
    <row r="7745" spans="1:21" x14ac:dyDescent="0.35">
      <c r="A7745" t="s">
        <v>120</v>
      </c>
      <c r="B7745" t="s">
        <v>1100</v>
      </c>
      <c r="C7745" t="s">
        <v>55</v>
      </c>
      <c r="D7745" t="s">
        <v>2202</v>
      </c>
      <c r="E7745">
        <v>7.96</v>
      </c>
      <c r="F7745">
        <v>2</v>
      </c>
      <c r="G7745">
        <v>0</v>
      </c>
      <c r="H7745">
        <v>3.7412000000000001</v>
      </c>
      <c r="U7745">
        <v>3.7412000000000001</v>
      </c>
    </row>
    <row r="7746" spans="1:21" x14ac:dyDescent="0.35">
      <c r="A7746" t="s">
        <v>120</v>
      </c>
      <c r="B7746" t="s">
        <v>1100</v>
      </c>
      <c r="C7746" t="s">
        <v>55</v>
      </c>
      <c r="D7746" t="s">
        <v>1462</v>
      </c>
      <c r="E7746">
        <v>566.97</v>
      </c>
      <c r="F7746">
        <v>3</v>
      </c>
      <c r="G7746">
        <v>0</v>
      </c>
      <c r="H7746">
        <v>153.08189999999999</v>
      </c>
      <c r="U7746">
        <v>153.08189999999999</v>
      </c>
    </row>
    <row r="7747" spans="1:21" x14ac:dyDescent="0.35">
      <c r="A7747" t="s">
        <v>120</v>
      </c>
      <c r="B7747" t="s">
        <v>1100</v>
      </c>
      <c r="C7747" t="s">
        <v>55</v>
      </c>
      <c r="D7747" t="s">
        <v>1584</v>
      </c>
      <c r="E7747">
        <v>9.84</v>
      </c>
      <c r="F7747">
        <v>3</v>
      </c>
      <c r="G7747">
        <v>0</v>
      </c>
      <c r="H7747">
        <v>2.8536000000000001</v>
      </c>
      <c r="U7747">
        <v>2.8536000000000001</v>
      </c>
    </row>
    <row r="7748" spans="1:21" x14ac:dyDescent="0.35">
      <c r="A7748" t="s">
        <v>343</v>
      </c>
      <c r="B7748" t="s">
        <v>2485</v>
      </c>
      <c r="C7748" t="s">
        <v>35</v>
      </c>
      <c r="D7748" t="s">
        <v>1364</v>
      </c>
      <c r="E7748">
        <v>25.488</v>
      </c>
      <c r="F7748">
        <v>2</v>
      </c>
      <c r="G7748">
        <v>0.2</v>
      </c>
      <c r="H7748">
        <v>4.7789999999999999</v>
      </c>
      <c r="U7748">
        <v>4.7789999999999999</v>
      </c>
    </row>
    <row r="7749" spans="1:21" x14ac:dyDescent="0.35">
      <c r="A7749" t="s">
        <v>293</v>
      </c>
      <c r="B7749" t="s">
        <v>819</v>
      </c>
      <c r="C7749" t="s">
        <v>55</v>
      </c>
      <c r="D7749" t="s">
        <v>480</v>
      </c>
      <c r="E7749">
        <v>7.56</v>
      </c>
      <c r="F7749">
        <v>6</v>
      </c>
      <c r="G7749">
        <v>0</v>
      </c>
      <c r="H7749">
        <v>0.3024</v>
      </c>
      <c r="U7749">
        <v>0.3024</v>
      </c>
    </row>
    <row r="7750" spans="1:21" x14ac:dyDescent="0.35">
      <c r="A7750" t="s">
        <v>1565</v>
      </c>
      <c r="B7750" t="s">
        <v>692</v>
      </c>
      <c r="C7750" t="s">
        <v>8</v>
      </c>
      <c r="D7750" t="s">
        <v>2308</v>
      </c>
      <c r="E7750">
        <v>60.84</v>
      </c>
      <c r="F7750">
        <v>3</v>
      </c>
      <c r="G7750">
        <v>0</v>
      </c>
      <c r="H7750">
        <v>19.468800000000002</v>
      </c>
      <c r="U7750">
        <v>19.468800000000002</v>
      </c>
    </row>
    <row r="7751" spans="1:21" x14ac:dyDescent="0.35">
      <c r="A7751" t="s">
        <v>1565</v>
      </c>
      <c r="B7751" t="s">
        <v>692</v>
      </c>
      <c r="C7751" t="s">
        <v>8</v>
      </c>
      <c r="D7751" t="s">
        <v>1512</v>
      </c>
      <c r="E7751">
        <v>450.04</v>
      </c>
      <c r="F7751">
        <v>2</v>
      </c>
      <c r="G7751">
        <v>0</v>
      </c>
      <c r="H7751">
        <v>58.505200000000002</v>
      </c>
      <c r="U7751">
        <v>58.505200000000002</v>
      </c>
    </row>
    <row r="7752" spans="1:21" x14ac:dyDescent="0.35">
      <c r="A7752" t="s">
        <v>1565</v>
      </c>
      <c r="B7752" t="s">
        <v>692</v>
      </c>
      <c r="C7752" t="s">
        <v>8</v>
      </c>
      <c r="D7752" t="s">
        <v>316</v>
      </c>
      <c r="E7752">
        <v>34.6</v>
      </c>
      <c r="F7752">
        <v>2</v>
      </c>
      <c r="G7752">
        <v>0</v>
      </c>
      <c r="H7752">
        <v>16.608000000000001</v>
      </c>
      <c r="U7752">
        <v>16.608000000000001</v>
      </c>
    </row>
    <row r="7753" spans="1:21" x14ac:dyDescent="0.35">
      <c r="A7753" t="s">
        <v>1565</v>
      </c>
      <c r="B7753" t="s">
        <v>692</v>
      </c>
      <c r="C7753" t="s">
        <v>8</v>
      </c>
      <c r="D7753" t="s">
        <v>912</v>
      </c>
      <c r="E7753">
        <v>467.97</v>
      </c>
      <c r="F7753">
        <v>3</v>
      </c>
      <c r="G7753">
        <v>0</v>
      </c>
      <c r="H7753">
        <v>140.39099999999999</v>
      </c>
      <c r="U7753">
        <v>140.39099999999999</v>
      </c>
    </row>
    <row r="7754" spans="1:21" x14ac:dyDescent="0.35">
      <c r="A7754" t="s">
        <v>1565</v>
      </c>
      <c r="B7754" t="s">
        <v>692</v>
      </c>
      <c r="C7754" t="s">
        <v>8</v>
      </c>
      <c r="D7754" t="s">
        <v>1270</v>
      </c>
      <c r="E7754">
        <v>33.020000000000003</v>
      </c>
      <c r="F7754">
        <v>2</v>
      </c>
      <c r="G7754">
        <v>0</v>
      </c>
      <c r="H7754">
        <v>15.849600000000001</v>
      </c>
      <c r="U7754">
        <v>15.849600000000001</v>
      </c>
    </row>
    <row r="7755" spans="1:21" x14ac:dyDescent="0.35">
      <c r="A7755" t="s">
        <v>130</v>
      </c>
      <c r="B7755" t="s">
        <v>1594</v>
      </c>
      <c r="C7755" t="s">
        <v>8</v>
      </c>
      <c r="D7755" t="s">
        <v>2252</v>
      </c>
      <c r="E7755">
        <v>17.088000000000001</v>
      </c>
      <c r="F7755">
        <v>2</v>
      </c>
      <c r="G7755">
        <v>0.2</v>
      </c>
      <c r="H7755">
        <v>1.0680000000000001</v>
      </c>
      <c r="U7755">
        <v>1.0680000000000001</v>
      </c>
    </row>
    <row r="7756" spans="1:21" x14ac:dyDescent="0.35">
      <c r="A7756" t="s">
        <v>1334</v>
      </c>
      <c r="B7756" t="s">
        <v>1264</v>
      </c>
      <c r="C7756" t="s">
        <v>55</v>
      </c>
      <c r="D7756" t="s">
        <v>1463</v>
      </c>
      <c r="E7756">
        <v>3.008</v>
      </c>
      <c r="F7756">
        <v>2</v>
      </c>
      <c r="G7756">
        <v>0.2</v>
      </c>
      <c r="H7756">
        <v>0.33839999999999998</v>
      </c>
      <c r="U7756">
        <v>0.33839999999999998</v>
      </c>
    </row>
    <row r="7757" spans="1:21" x14ac:dyDescent="0.35">
      <c r="A7757" t="s">
        <v>955</v>
      </c>
      <c r="B7757" t="s">
        <v>956</v>
      </c>
      <c r="C7757" t="s">
        <v>8</v>
      </c>
      <c r="D7757" t="s">
        <v>2702</v>
      </c>
      <c r="E7757">
        <v>268.24</v>
      </c>
      <c r="F7757">
        <v>7</v>
      </c>
      <c r="G7757">
        <v>0.2</v>
      </c>
      <c r="H7757">
        <v>93.884</v>
      </c>
      <c r="U7757">
        <v>93.884</v>
      </c>
    </row>
    <row r="7758" spans="1:21" x14ac:dyDescent="0.35">
      <c r="A7758" t="s">
        <v>955</v>
      </c>
      <c r="B7758" t="s">
        <v>956</v>
      </c>
      <c r="C7758" t="s">
        <v>8</v>
      </c>
      <c r="D7758" t="s">
        <v>1106</v>
      </c>
      <c r="E7758">
        <v>431.16</v>
      </c>
      <c r="F7758">
        <v>5</v>
      </c>
      <c r="G7758">
        <v>0.2</v>
      </c>
      <c r="H7758">
        <v>107.79</v>
      </c>
      <c r="U7758">
        <v>107.79</v>
      </c>
    </row>
    <row r="7759" spans="1:21" x14ac:dyDescent="0.35">
      <c r="A7759" t="s">
        <v>170</v>
      </c>
      <c r="B7759" t="s">
        <v>1484</v>
      </c>
      <c r="C7759" t="s">
        <v>55</v>
      </c>
      <c r="D7759" t="s">
        <v>109</v>
      </c>
      <c r="E7759">
        <v>43.6</v>
      </c>
      <c r="F7759">
        <v>4</v>
      </c>
      <c r="G7759">
        <v>0</v>
      </c>
      <c r="H7759">
        <v>12.208</v>
      </c>
      <c r="U7759">
        <v>12.208</v>
      </c>
    </row>
    <row r="7760" spans="1:21" x14ac:dyDescent="0.35">
      <c r="A7760" t="s">
        <v>170</v>
      </c>
      <c r="B7760" t="s">
        <v>1484</v>
      </c>
      <c r="C7760" t="s">
        <v>55</v>
      </c>
      <c r="D7760" t="s">
        <v>2562</v>
      </c>
      <c r="E7760">
        <v>154.94999999999999</v>
      </c>
      <c r="F7760">
        <v>3</v>
      </c>
      <c r="G7760">
        <v>0</v>
      </c>
      <c r="H7760">
        <v>30.99</v>
      </c>
      <c r="U7760">
        <v>30.99</v>
      </c>
    </row>
    <row r="7761" spans="1:21" x14ac:dyDescent="0.35">
      <c r="A7761" t="s">
        <v>1227</v>
      </c>
      <c r="B7761" t="s">
        <v>2312</v>
      </c>
      <c r="C7761" t="s">
        <v>35</v>
      </c>
      <c r="D7761" t="s">
        <v>1554</v>
      </c>
      <c r="E7761">
        <v>15.552</v>
      </c>
      <c r="F7761">
        <v>3</v>
      </c>
      <c r="G7761">
        <v>0.2</v>
      </c>
      <c r="H7761">
        <v>5.4432</v>
      </c>
      <c r="U7761">
        <v>5.4432</v>
      </c>
    </row>
    <row r="7762" spans="1:21" x14ac:dyDescent="0.35">
      <c r="A7762" s="1">
        <v>41802</v>
      </c>
      <c r="B7762" t="s">
        <v>2619</v>
      </c>
      <c r="C7762" t="s">
        <v>8</v>
      </c>
      <c r="D7762" t="s">
        <v>1588</v>
      </c>
      <c r="E7762">
        <v>42.207999999999998</v>
      </c>
      <c r="F7762">
        <v>2</v>
      </c>
      <c r="G7762">
        <v>0.2</v>
      </c>
      <c r="H7762">
        <v>13.717599999999999</v>
      </c>
      <c r="U7762">
        <v>13.717599999999999</v>
      </c>
    </row>
    <row r="7763" spans="1:21" x14ac:dyDescent="0.35">
      <c r="A7763" s="1">
        <v>42806</v>
      </c>
      <c r="B7763" t="s">
        <v>598</v>
      </c>
      <c r="C7763" t="s">
        <v>35</v>
      </c>
      <c r="D7763" t="s">
        <v>1854</v>
      </c>
      <c r="E7763">
        <v>10.368</v>
      </c>
      <c r="F7763">
        <v>2</v>
      </c>
      <c r="G7763">
        <v>0.2</v>
      </c>
      <c r="H7763">
        <v>3.6288</v>
      </c>
      <c r="U7763">
        <v>3.6288</v>
      </c>
    </row>
    <row r="7764" spans="1:21" x14ac:dyDescent="0.35">
      <c r="A7764" t="s">
        <v>979</v>
      </c>
      <c r="B7764" t="s">
        <v>1311</v>
      </c>
      <c r="C7764" t="s">
        <v>13</v>
      </c>
      <c r="D7764" t="s">
        <v>1743</v>
      </c>
      <c r="E7764">
        <v>2.2240000000000002</v>
      </c>
      <c r="F7764">
        <v>1</v>
      </c>
      <c r="G7764">
        <v>0.2</v>
      </c>
      <c r="H7764">
        <v>0.55600000000000005</v>
      </c>
      <c r="U7764">
        <v>0.55600000000000005</v>
      </c>
    </row>
    <row r="7765" spans="1:21" x14ac:dyDescent="0.35">
      <c r="A7765" s="1">
        <v>42065</v>
      </c>
      <c r="B7765" t="s">
        <v>1388</v>
      </c>
      <c r="C7765" t="s">
        <v>8</v>
      </c>
      <c r="D7765" t="s">
        <v>314</v>
      </c>
      <c r="E7765">
        <v>74.52</v>
      </c>
      <c r="F7765">
        <v>9</v>
      </c>
      <c r="G7765">
        <v>0</v>
      </c>
      <c r="H7765">
        <v>35.0244</v>
      </c>
      <c r="U7765">
        <v>35.0244</v>
      </c>
    </row>
    <row r="7766" spans="1:21" x14ac:dyDescent="0.35">
      <c r="A7766" s="1">
        <v>43077</v>
      </c>
      <c r="B7766" t="s">
        <v>740</v>
      </c>
      <c r="C7766" t="s">
        <v>55</v>
      </c>
      <c r="D7766" t="s">
        <v>939</v>
      </c>
      <c r="E7766">
        <v>17.52</v>
      </c>
      <c r="F7766">
        <v>3</v>
      </c>
      <c r="G7766">
        <v>0</v>
      </c>
      <c r="H7766">
        <v>5.2560000000000002</v>
      </c>
      <c r="U7766">
        <v>5.2560000000000002</v>
      </c>
    </row>
    <row r="7767" spans="1:21" x14ac:dyDescent="0.35">
      <c r="A7767" s="1">
        <v>43077</v>
      </c>
      <c r="B7767" t="s">
        <v>740</v>
      </c>
      <c r="C7767" t="s">
        <v>55</v>
      </c>
      <c r="D7767" t="s">
        <v>770</v>
      </c>
      <c r="E7767">
        <v>1779.9</v>
      </c>
      <c r="F7767">
        <v>5</v>
      </c>
      <c r="G7767">
        <v>0</v>
      </c>
      <c r="H7767">
        <v>373.779</v>
      </c>
      <c r="U7767">
        <v>373.779</v>
      </c>
    </row>
    <row r="7768" spans="1:21" x14ac:dyDescent="0.35">
      <c r="A7768" s="1">
        <v>43077</v>
      </c>
      <c r="B7768" t="s">
        <v>740</v>
      </c>
      <c r="C7768" t="s">
        <v>55</v>
      </c>
      <c r="D7768" t="s">
        <v>757</v>
      </c>
      <c r="E7768">
        <v>219.9</v>
      </c>
      <c r="F7768">
        <v>5</v>
      </c>
      <c r="G7768">
        <v>0</v>
      </c>
      <c r="H7768">
        <v>59.372999999999998</v>
      </c>
      <c r="U7768">
        <v>59.372999999999998</v>
      </c>
    </row>
    <row r="7769" spans="1:21" x14ac:dyDescent="0.35">
      <c r="A7769" t="s">
        <v>1012</v>
      </c>
      <c r="B7769" t="s">
        <v>655</v>
      </c>
      <c r="C7769" t="s">
        <v>13</v>
      </c>
      <c r="D7769" t="s">
        <v>166</v>
      </c>
      <c r="E7769">
        <v>7.1520000000000001</v>
      </c>
      <c r="F7769">
        <v>3</v>
      </c>
      <c r="G7769">
        <v>0.2</v>
      </c>
      <c r="H7769">
        <v>0.71519999999999995</v>
      </c>
      <c r="U7769">
        <v>0.71519999999999995</v>
      </c>
    </row>
    <row r="7770" spans="1:21" x14ac:dyDescent="0.35">
      <c r="A7770" s="1">
        <v>43080</v>
      </c>
      <c r="B7770" t="s">
        <v>1589</v>
      </c>
      <c r="C7770" t="s">
        <v>8</v>
      </c>
      <c r="D7770" t="s">
        <v>1163</v>
      </c>
      <c r="E7770">
        <v>26.72</v>
      </c>
      <c r="F7770">
        <v>5</v>
      </c>
      <c r="G7770">
        <v>0.2</v>
      </c>
      <c r="H7770">
        <v>9.3520000000000003</v>
      </c>
      <c r="U7770">
        <v>9.3520000000000003</v>
      </c>
    </row>
    <row r="7771" spans="1:21" x14ac:dyDescent="0.35">
      <c r="A7771" s="1">
        <v>42377</v>
      </c>
      <c r="B7771" t="s">
        <v>551</v>
      </c>
      <c r="C7771" t="s">
        <v>13</v>
      </c>
      <c r="D7771" t="s">
        <v>1853</v>
      </c>
      <c r="E7771">
        <v>1039.7280000000001</v>
      </c>
      <c r="F7771">
        <v>2</v>
      </c>
      <c r="G7771">
        <v>0.2</v>
      </c>
      <c r="H7771">
        <v>90.976200000000006</v>
      </c>
      <c r="U7771">
        <v>90.976200000000006</v>
      </c>
    </row>
    <row r="7772" spans="1:21" x14ac:dyDescent="0.35">
      <c r="A7772" s="1">
        <v>42377</v>
      </c>
      <c r="B7772" t="s">
        <v>551</v>
      </c>
      <c r="C7772" t="s">
        <v>13</v>
      </c>
      <c r="D7772" t="s">
        <v>24</v>
      </c>
      <c r="E7772">
        <v>45.96</v>
      </c>
      <c r="F7772">
        <v>2</v>
      </c>
      <c r="G7772">
        <v>0</v>
      </c>
      <c r="H7772">
        <v>13.788</v>
      </c>
      <c r="U7772">
        <v>13.788</v>
      </c>
    </row>
    <row r="7773" spans="1:21" x14ac:dyDescent="0.35">
      <c r="A7773" t="s">
        <v>1658</v>
      </c>
      <c r="B7773" t="s">
        <v>1664</v>
      </c>
      <c r="C7773" t="s">
        <v>55</v>
      </c>
      <c r="D7773" t="s">
        <v>1215</v>
      </c>
      <c r="E7773">
        <v>456.58800000000002</v>
      </c>
      <c r="F7773">
        <v>2</v>
      </c>
      <c r="G7773">
        <v>0.7</v>
      </c>
      <c r="H7773">
        <v>-304.392</v>
      </c>
      <c r="U7773">
        <v>-304.392</v>
      </c>
    </row>
    <row r="7774" spans="1:21" x14ac:dyDescent="0.35">
      <c r="A7774" t="s">
        <v>1658</v>
      </c>
      <c r="B7774" t="s">
        <v>1664</v>
      </c>
      <c r="C7774" t="s">
        <v>55</v>
      </c>
      <c r="D7774" t="s">
        <v>2317</v>
      </c>
      <c r="E7774">
        <v>4499.9849999999997</v>
      </c>
      <c r="F7774">
        <v>5</v>
      </c>
      <c r="G7774">
        <v>0.7</v>
      </c>
      <c r="H7774">
        <v>-6599.9780000000001</v>
      </c>
      <c r="U7774">
        <v>-6599.9780000000001</v>
      </c>
    </row>
    <row r="7775" spans="1:21" x14ac:dyDescent="0.35">
      <c r="A7775" t="s">
        <v>1658</v>
      </c>
      <c r="B7775" t="s">
        <v>1664</v>
      </c>
      <c r="C7775" t="s">
        <v>55</v>
      </c>
      <c r="D7775" t="s">
        <v>2703</v>
      </c>
      <c r="E7775">
        <v>59.975999999999999</v>
      </c>
      <c r="F7775">
        <v>3</v>
      </c>
      <c r="G7775">
        <v>0.2</v>
      </c>
      <c r="H7775">
        <v>11.995200000000001</v>
      </c>
      <c r="U7775">
        <v>11.995200000000001</v>
      </c>
    </row>
    <row r="7776" spans="1:21" x14ac:dyDescent="0.35">
      <c r="A7776" t="s">
        <v>605</v>
      </c>
      <c r="B7776" t="s">
        <v>2460</v>
      </c>
      <c r="C7776" t="s">
        <v>13</v>
      </c>
      <c r="D7776" t="s">
        <v>68</v>
      </c>
      <c r="E7776">
        <v>6.12</v>
      </c>
      <c r="F7776">
        <v>3</v>
      </c>
      <c r="G7776">
        <v>0</v>
      </c>
      <c r="H7776">
        <v>2.8763999999999998</v>
      </c>
      <c r="U7776">
        <v>2.8763999999999998</v>
      </c>
    </row>
    <row r="7777" spans="1:21" x14ac:dyDescent="0.35">
      <c r="A7777" t="s">
        <v>1458</v>
      </c>
      <c r="B7777" t="s">
        <v>1792</v>
      </c>
      <c r="C7777" t="s">
        <v>13</v>
      </c>
      <c r="D7777" t="s">
        <v>691</v>
      </c>
      <c r="E7777">
        <v>10.98</v>
      </c>
      <c r="F7777">
        <v>1</v>
      </c>
      <c r="G7777">
        <v>0</v>
      </c>
      <c r="H7777">
        <v>2.9645999999999999</v>
      </c>
      <c r="U7777">
        <v>2.9645999999999999</v>
      </c>
    </row>
    <row r="7778" spans="1:21" x14ac:dyDescent="0.35">
      <c r="A7778" t="s">
        <v>1458</v>
      </c>
      <c r="B7778" t="s">
        <v>1792</v>
      </c>
      <c r="C7778" t="s">
        <v>13</v>
      </c>
      <c r="D7778" t="s">
        <v>263</v>
      </c>
      <c r="E7778">
        <v>7.86</v>
      </c>
      <c r="F7778">
        <v>3</v>
      </c>
      <c r="G7778">
        <v>0</v>
      </c>
      <c r="H7778">
        <v>3.6156000000000001</v>
      </c>
      <c r="U7778">
        <v>3.6156000000000001</v>
      </c>
    </row>
    <row r="7779" spans="1:21" x14ac:dyDescent="0.35">
      <c r="A7779" t="s">
        <v>1458</v>
      </c>
      <c r="B7779" t="s">
        <v>1792</v>
      </c>
      <c r="C7779" t="s">
        <v>13</v>
      </c>
      <c r="D7779" t="s">
        <v>859</v>
      </c>
      <c r="E7779">
        <v>51.45</v>
      </c>
      <c r="F7779">
        <v>3</v>
      </c>
      <c r="G7779">
        <v>0</v>
      </c>
      <c r="H7779">
        <v>13.891500000000001</v>
      </c>
      <c r="U7779">
        <v>13.891500000000001</v>
      </c>
    </row>
    <row r="7780" spans="1:21" x14ac:dyDescent="0.35">
      <c r="A7780" t="s">
        <v>1458</v>
      </c>
      <c r="B7780" t="s">
        <v>1792</v>
      </c>
      <c r="C7780" t="s">
        <v>13</v>
      </c>
      <c r="D7780" t="s">
        <v>1773</v>
      </c>
      <c r="E7780">
        <v>37.055999999999997</v>
      </c>
      <c r="F7780">
        <v>3</v>
      </c>
      <c r="G7780">
        <v>0.2</v>
      </c>
      <c r="H7780">
        <v>13.896000000000001</v>
      </c>
      <c r="U7780">
        <v>13.896000000000001</v>
      </c>
    </row>
    <row r="7781" spans="1:21" x14ac:dyDescent="0.35">
      <c r="A7781" t="s">
        <v>706</v>
      </c>
      <c r="B7781" t="s">
        <v>690</v>
      </c>
      <c r="C7781" t="s">
        <v>8</v>
      </c>
      <c r="D7781" t="s">
        <v>881</v>
      </c>
      <c r="E7781">
        <v>203.92</v>
      </c>
      <c r="F7781">
        <v>4</v>
      </c>
      <c r="G7781">
        <v>0</v>
      </c>
      <c r="H7781">
        <v>55.058399999999999</v>
      </c>
      <c r="U7781">
        <v>55.058399999999999</v>
      </c>
    </row>
    <row r="7782" spans="1:21" x14ac:dyDescent="0.35">
      <c r="A7782" t="s">
        <v>706</v>
      </c>
      <c r="B7782" t="s">
        <v>690</v>
      </c>
      <c r="C7782" t="s">
        <v>8</v>
      </c>
      <c r="D7782" t="s">
        <v>1888</v>
      </c>
      <c r="E7782">
        <v>29.56</v>
      </c>
      <c r="F7782">
        <v>4</v>
      </c>
      <c r="G7782">
        <v>0</v>
      </c>
      <c r="H7782">
        <v>7.9812000000000003</v>
      </c>
      <c r="U7782">
        <v>7.9812000000000003</v>
      </c>
    </row>
    <row r="7783" spans="1:21" x14ac:dyDescent="0.35">
      <c r="A7783" s="1">
        <v>42219</v>
      </c>
      <c r="B7783" t="s">
        <v>1388</v>
      </c>
      <c r="C7783" t="s">
        <v>35</v>
      </c>
      <c r="D7783" t="s">
        <v>531</v>
      </c>
      <c r="E7783">
        <v>8.5679999999999996</v>
      </c>
      <c r="F7783">
        <v>3</v>
      </c>
      <c r="G7783">
        <v>0.8</v>
      </c>
      <c r="H7783">
        <v>-14.5656</v>
      </c>
      <c r="U7783">
        <v>-14.5656</v>
      </c>
    </row>
    <row r="7784" spans="1:21" x14ac:dyDescent="0.35">
      <c r="A7784" s="1">
        <v>42471</v>
      </c>
      <c r="B7784" t="s">
        <v>201</v>
      </c>
      <c r="C7784" t="s">
        <v>8</v>
      </c>
      <c r="D7784" t="s">
        <v>182</v>
      </c>
      <c r="E7784">
        <v>45.247999999999998</v>
      </c>
      <c r="F7784">
        <v>2</v>
      </c>
      <c r="G7784">
        <v>0.2</v>
      </c>
      <c r="H7784">
        <v>3.9592000000000001</v>
      </c>
      <c r="U7784">
        <v>3.9592000000000001</v>
      </c>
    </row>
    <row r="7785" spans="1:21" x14ac:dyDescent="0.35">
      <c r="A7785" s="1">
        <v>42471</v>
      </c>
      <c r="B7785" t="s">
        <v>201</v>
      </c>
      <c r="C7785" t="s">
        <v>8</v>
      </c>
      <c r="D7785" t="s">
        <v>533</v>
      </c>
      <c r="E7785">
        <v>876.3</v>
      </c>
      <c r="F7785">
        <v>10</v>
      </c>
      <c r="G7785">
        <v>0.4</v>
      </c>
      <c r="H7785">
        <v>-292.10000000000002</v>
      </c>
      <c r="U7785">
        <v>-292.10000000000002</v>
      </c>
    </row>
    <row r="7786" spans="1:21" x14ac:dyDescent="0.35">
      <c r="A7786" s="1">
        <v>42471</v>
      </c>
      <c r="B7786" t="s">
        <v>201</v>
      </c>
      <c r="C7786" t="s">
        <v>8</v>
      </c>
      <c r="D7786" t="s">
        <v>779</v>
      </c>
      <c r="E7786">
        <v>185.376</v>
      </c>
      <c r="F7786">
        <v>2</v>
      </c>
      <c r="G7786">
        <v>0.2</v>
      </c>
      <c r="H7786">
        <v>-34.758000000000003</v>
      </c>
      <c r="U7786">
        <v>-34.758000000000003</v>
      </c>
    </row>
    <row r="7787" spans="1:21" x14ac:dyDescent="0.35">
      <c r="A7787" t="s">
        <v>1676</v>
      </c>
      <c r="B7787" t="s">
        <v>707</v>
      </c>
      <c r="C7787" t="s">
        <v>55</v>
      </c>
      <c r="D7787" t="s">
        <v>113</v>
      </c>
      <c r="E7787">
        <v>25.06</v>
      </c>
      <c r="F7787">
        <v>2</v>
      </c>
      <c r="G7787">
        <v>0</v>
      </c>
      <c r="H7787">
        <v>11.7782</v>
      </c>
      <c r="U7787">
        <v>11.7782</v>
      </c>
    </row>
    <row r="7788" spans="1:21" x14ac:dyDescent="0.35">
      <c r="A7788" t="s">
        <v>1892</v>
      </c>
      <c r="B7788" t="s">
        <v>1937</v>
      </c>
      <c r="C7788" t="s">
        <v>35</v>
      </c>
      <c r="D7788" t="s">
        <v>2654</v>
      </c>
      <c r="E7788">
        <v>2.89</v>
      </c>
      <c r="F7788">
        <v>1</v>
      </c>
      <c r="G7788">
        <v>0.8</v>
      </c>
      <c r="H7788">
        <v>-4.7685000000000004</v>
      </c>
      <c r="U7788">
        <v>-4.7685000000000004</v>
      </c>
    </row>
    <row r="7789" spans="1:21" x14ac:dyDescent="0.35">
      <c r="A7789" t="s">
        <v>1892</v>
      </c>
      <c r="B7789" t="s">
        <v>1937</v>
      </c>
      <c r="C7789" t="s">
        <v>35</v>
      </c>
      <c r="D7789" t="s">
        <v>2090</v>
      </c>
      <c r="E7789">
        <v>7.8959999999999999</v>
      </c>
      <c r="F7789">
        <v>3</v>
      </c>
      <c r="G7789">
        <v>0.2</v>
      </c>
      <c r="H7789">
        <v>2.4674999999999998</v>
      </c>
      <c r="U7789">
        <v>2.4674999999999998</v>
      </c>
    </row>
    <row r="7790" spans="1:21" x14ac:dyDescent="0.35">
      <c r="A7790" t="s">
        <v>1892</v>
      </c>
      <c r="B7790" t="s">
        <v>1937</v>
      </c>
      <c r="C7790" t="s">
        <v>35</v>
      </c>
      <c r="D7790" t="s">
        <v>1862</v>
      </c>
      <c r="E7790">
        <v>22.608000000000001</v>
      </c>
      <c r="F7790">
        <v>3</v>
      </c>
      <c r="G7790">
        <v>0.6</v>
      </c>
      <c r="H7790">
        <v>-10.1736</v>
      </c>
      <c r="U7790">
        <v>-10.1736</v>
      </c>
    </row>
    <row r="7791" spans="1:21" x14ac:dyDescent="0.35">
      <c r="A7791" t="s">
        <v>1892</v>
      </c>
      <c r="B7791" t="s">
        <v>1937</v>
      </c>
      <c r="C7791" t="s">
        <v>35</v>
      </c>
      <c r="D7791" t="s">
        <v>2256</v>
      </c>
      <c r="E7791">
        <v>30.527999999999999</v>
      </c>
      <c r="F7791">
        <v>8</v>
      </c>
      <c r="G7791">
        <v>0.2</v>
      </c>
      <c r="H7791">
        <v>9.5399999999999991</v>
      </c>
      <c r="U7791">
        <v>9.5399999999999991</v>
      </c>
    </row>
    <row r="7792" spans="1:21" x14ac:dyDescent="0.35">
      <c r="A7792" t="s">
        <v>93</v>
      </c>
      <c r="B7792" t="s">
        <v>1568</v>
      </c>
      <c r="C7792" t="s">
        <v>55</v>
      </c>
      <c r="D7792" t="s">
        <v>1130</v>
      </c>
      <c r="E7792">
        <v>4.8419999999999996</v>
      </c>
      <c r="F7792">
        <v>3</v>
      </c>
      <c r="G7792">
        <v>0.7</v>
      </c>
      <c r="H7792">
        <v>-3.3894000000000002</v>
      </c>
      <c r="U7792">
        <v>-3.3894000000000002</v>
      </c>
    </row>
    <row r="7793" spans="1:21" x14ac:dyDescent="0.35">
      <c r="A7793" t="s">
        <v>1066</v>
      </c>
      <c r="B7793" t="s">
        <v>2636</v>
      </c>
      <c r="C7793" t="s">
        <v>35</v>
      </c>
      <c r="D7793" t="s">
        <v>1298</v>
      </c>
      <c r="E7793">
        <v>1.8</v>
      </c>
      <c r="F7793">
        <v>5</v>
      </c>
      <c r="G7793">
        <v>0.8</v>
      </c>
      <c r="H7793">
        <v>-2.88</v>
      </c>
      <c r="U7793">
        <v>-2.88</v>
      </c>
    </row>
    <row r="7794" spans="1:21" x14ac:dyDescent="0.35">
      <c r="A7794" s="1">
        <v>43079</v>
      </c>
      <c r="B7794" t="s">
        <v>556</v>
      </c>
      <c r="C7794" t="s">
        <v>35</v>
      </c>
      <c r="D7794" t="s">
        <v>1084</v>
      </c>
      <c r="E7794">
        <v>39.984000000000002</v>
      </c>
      <c r="F7794">
        <v>2</v>
      </c>
      <c r="G7794">
        <v>0.2</v>
      </c>
      <c r="H7794">
        <v>-1.4994000000000001</v>
      </c>
      <c r="U7794">
        <v>-1.4994000000000001</v>
      </c>
    </row>
    <row r="7795" spans="1:21" x14ac:dyDescent="0.35">
      <c r="A7795" s="1">
        <v>42350</v>
      </c>
      <c r="B7795" t="s">
        <v>272</v>
      </c>
      <c r="C7795" t="s">
        <v>13</v>
      </c>
      <c r="D7795" t="s">
        <v>629</v>
      </c>
      <c r="E7795">
        <v>32.4</v>
      </c>
      <c r="F7795">
        <v>5</v>
      </c>
      <c r="G7795">
        <v>0</v>
      </c>
      <c r="H7795">
        <v>15.875999999999999</v>
      </c>
      <c r="U7795">
        <v>15.875999999999999</v>
      </c>
    </row>
    <row r="7796" spans="1:21" x14ac:dyDescent="0.35">
      <c r="A7796" s="1">
        <v>42350</v>
      </c>
      <c r="B7796" t="s">
        <v>272</v>
      </c>
      <c r="C7796" t="s">
        <v>13</v>
      </c>
      <c r="D7796" t="s">
        <v>262</v>
      </c>
      <c r="E7796">
        <v>97.88</v>
      </c>
      <c r="F7796">
        <v>2</v>
      </c>
      <c r="G7796">
        <v>0</v>
      </c>
      <c r="H7796">
        <v>48.94</v>
      </c>
      <c r="U7796">
        <v>48.94</v>
      </c>
    </row>
    <row r="7797" spans="1:21" x14ac:dyDescent="0.35">
      <c r="A7797" s="1">
        <v>42345</v>
      </c>
      <c r="B7797" t="s">
        <v>975</v>
      </c>
      <c r="C7797" t="s">
        <v>35</v>
      </c>
      <c r="D7797" t="s">
        <v>2301</v>
      </c>
      <c r="E7797">
        <v>307.16800000000001</v>
      </c>
      <c r="F7797">
        <v>4</v>
      </c>
      <c r="G7797">
        <v>0.2</v>
      </c>
      <c r="H7797">
        <v>30.716799999999999</v>
      </c>
      <c r="U7797">
        <v>30.716799999999999</v>
      </c>
    </row>
    <row r="7798" spans="1:21" x14ac:dyDescent="0.35">
      <c r="A7798" s="1">
        <v>42045</v>
      </c>
      <c r="B7798" t="s">
        <v>714</v>
      </c>
      <c r="C7798" t="s">
        <v>55</v>
      </c>
      <c r="D7798" t="s">
        <v>133</v>
      </c>
      <c r="E7798">
        <v>26.9</v>
      </c>
      <c r="F7798">
        <v>5</v>
      </c>
      <c r="G7798">
        <v>0</v>
      </c>
      <c r="H7798">
        <v>13.180999999999999</v>
      </c>
      <c r="U7798">
        <v>13.180999999999999</v>
      </c>
    </row>
    <row r="7799" spans="1:21" x14ac:dyDescent="0.35">
      <c r="A7799" t="s">
        <v>1662</v>
      </c>
      <c r="B7799" t="s">
        <v>1466</v>
      </c>
      <c r="C7799" t="s">
        <v>55</v>
      </c>
      <c r="D7799" t="s">
        <v>2141</v>
      </c>
      <c r="E7799">
        <v>47.01</v>
      </c>
      <c r="F7799">
        <v>3</v>
      </c>
      <c r="G7799">
        <v>0</v>
      </c>
      <c r="H7799">
        <v>22.0947</v>
      </c>
      <c r="U7799">
        <v>22.0947</v>
      </c>
    </row>
    <row r="7800" spans="1:21" x14ac:dyDescent="0.35">
      <c r="A7800" t="s">
        <v>1662</v>
      </c>
      <c r="B7800" t="s">
        <v>1466</v>
      </c>
      <c r="C7800" t="s">
        <v>55</v>
      </c>
      <c r="D7800" t="s">
        <v>1850</v>
      </c>
      <c r="E7800">
        <v>469.99</v>
      </c>
      <c r="F7800">
        <v>1</v>
      </c>
      <c r="G7800">
        <v>0</v>
      </c>
      <c r="H7800">
        <v>136.2971</v>
      </c>
      <c r="U7800">
        <v>136.2971</v>
      </c>
    </row>
    <row r="7801" spans="1:21" x14ac:dyDescent="0.35">
      <c r="A7801" t="s">
        <v>1662</v>
      </c>
      <c r="B7801" t="s">
        <v>1466</v>
      </c>
      <c r="C7801" t="s">
        <v>55</v>
      </c>
      <c r="D7801" t="s">
        <v>744</v>
      </c>
      <c r="E7801">
        <v>207.846</v>
      </c>
      <c r="F7801">
        <v>3</v>
      </c>
      <c r="G7801">
        <v>0.1</v>
      </c>
      <c r="H7801">
        <v>2.3094000000000001</v>
      </c>
      <c r="U7801">
        <v>2.3094000000000001</v>
      </c>
    </row>
    <row r="7802" spans="1:21" x14ac:dyDescent="0.35">
      <c r="A7802" s="1">
        <v>42741</v>
      </c>
      <c r="B7802" t="s">
        <v>2628</v>
      </c>
      <c r="C7802" t="s">
        <v>55</v>
      </c>
      <c r="D7802" t="s">
        <v>528</v>
      </c>
      <c r="E7802">
        <v>324.74400000000003</v>
      </c>
      <c r="F7802">
        <v>3</v>
      </c>
      <c r="G7802">
        <v>0.2</v>
      </c>
      <c r="H7802">
        <v>-77.1267</v>
      </c>
      <c r="U7802">
        <v>-77.1267</v>
      </c>
    </row>
    <row r="7803" spans="1:21" x14ac:dyDescent="0.35">
      <c r="A7803" t="s">
        <v>1583</v>
      </c>
      <c r="B7803" t="s">
        <v>1390</v>
      </c>
      <c r="C7803" t="s">
        <v>13</v>
      </c>
      <c r="D7803" t="s">
        <v>2558</v>
      </c>
      <c r="E7803">
        <v>40.479999999999997</v>
      </c>
      <c r="F7803">
        <v>2</v>
      </c>
      <c r="G7803">
        <v>0</v>
      </c>
      <c r="H7803">
        <v>14.572800000000001</v>
      </c>
      <c r="U7803">
        <v>14.572800000000001</v>
      </c>
    </row>
    <row r="7804" spans="1:21" x14ac:dyDescent="0.35">
      <c r="A7804" t="s">
        <v>920</v>
      </c>
      <c r="B7804" t="s">
        <v>1207</v>
      </c>
      <c r="C7804" t="s">
        <v>8</v>
      </c>
      <c r="D7804" t="s">
        <v>1879</v>
      </c>
      <c r="E7804">
        <v>12</v>
      </c>
      <c r="F7804">
        <v>4</v>
      </c>
      <c r="G7804">
        <v>0.2</v>
      </c>
      <c r="H7804">
        <v>4.2</v>
      </c>
      <c r="U7804">
        <v>4.2</v>
      </c>
    </row>
    <row r="7805" spans="1:21" x14ac:dyDescent="0.35">
      <c r="A7805" t="s">
        <v>920</v>
      </c>
      <c r="B7805" t="s">
        <v>1207</v>
      </c>
      <c r="C7805" t="s">
        <v>8</v>
      </c>
      <c r="D7805" t="s">
        <v>1512</v>
      </c>
      <c r="E7805">
        <v>720.06399999999996</v>
      </c>
      <c r="F7805">
        <v>4</v>
      </c>
      <c r="G7805">
        <v>0.2</v>
      </c>
      <c r="H7805">
        <v>-63.005600000000001</v>
      </c>
      <c r="U7805">
        <v>-63.005600000000001</v>
      </c>
    </row>
    <row r="7806" spans="1:21" x14ac:dyDescent="0.35">
      <c r="A7806" t="s">
        <v>920</v>
      </c>
      <c r="B7806" t="s">
        <v>1207</v>
      </c>
      <c r="C7806" t="s">
        <v>8</v>
      </c>
      <c r="D7806" t="s">
        <v>1603</v>
      </c>
      <c r="E7806">
        <v>25.423999999999999</v>
      </c>
      <c r="F7806">
        <v>1</v>
      </c>
      <c r="G7806">
        <v>0.2</v>
      </c>
      <c r="H7806">
        <v>-4.7670000000000003</v>
      </c>
      <c r="U7806">
        <v>-4.7670000000000003</v>
      </c>
    </row>
    <row r="7807" spans="1:21" x14ac:dyDescent="0.35">
      <c r="A7807" t="s">
        <v>920</v>
      </c>
      <c r="B7807" t="s">
        <v>1207</v>
      </c>
      <c r="C7807" t="s">
        <v>8</v>
      </c>
      <c r="D7807" t="s">
        <v>1708</v>
      </c>
      <c r="E7807">
        <v>2.8159999999999998</v>
      </c>
      <c r="F7807">
        <v>2</v>
      </c>
      <c r="G7807">
        <v>0.2</v>
      </c>
      <c r="H7807">
        <v>0.31680000000000003</v>
      </c>
      <c r="U7807">
        <v>0.31680000000000003</v>
      </c>
    </row>
    <row r="7808" spans="1:21" x14ac:dyDescent="0.35">
      <c r="A7808" t="s">
        <v>920</v>
      </c>
      <c r="B7808" t="s">
        <v>1207</v>
      </c>
      <c r="C7808" t="s">
        <v>8</v>
      </c>
      <c r="D7808" t="s">
        <v>1598</v>
      </c>
      <c r="E7808">
        <v>3.2040000000000002</v>
      </c>
      <c r="F7808">
        <v>2</v>
      </c>
      <c r="G7808">
        <v>0.7</v>
      </c>
      <c r="H7808">
        <v>-2.5632000000000001</v>
      </c>
      <c r="U7808">
        <v>-2.5632000000000001</v>
      </c>
    </row>
    <row r="7809" spans="1:21" x14ac:dyDescent="0.35">
      <c r="A7809" s="1">
        <v>42583</v>
      </c>
      <c r="B7809" t="s">
        <v>2525</v>
      </c>
      <c r="C7809" t="s">
        <v>8</v>
      </c>
      <c r="D7809" t="s">
        <v>1516</v>
      </c>
      <c r="E7809">
        <v>30.827999999999999</v>
      </c>
      <c r="F7809">
        <v>7</v>
      </c>
      <c r="G7809">
        <v>0.7</v>
      </c>
      <c r="H7809">
        <v>-24.662400000000002</v>
      </c>
      <c r="U7809">
        <v>-24.662400000000002</v>
      </c>
    </row>
    <row r="7810" spans="1:21" x14ac:dyDescent="0.35">
      <c r="A7810" s="1">
        <v>42583</v>
      </c>
      <c r="B7810" t="s">
        <v>2525</v>
      </c>
      <c r="C7810" t="s">
        <v>8</v>
      </c>
      <c r="D7810" t="s">
        <v>1711</v>
      </c>
      <c r="E7810">
        <v>47.616</v>
      </c>
      <c r="F7810">
        <v>3</v>
      </c>
      <c r="G7810">
        <v>0.2</v>
      </c>
      <c r="H7810">
        <v>5.952</v>
      </c>
      <c r="U7810">
        <v>5.952</v>
      </c>
    </row>
    <row r="7811" spans="1:21" x14ac:dyDescent="0.35">
      <c r="A7811" s="1">
        <v>42583</v>
      </c>
      <c r="B7811" t="s">
        <v>2525</v>
      </c>
      <c r="C7811" t="s">
        <v>8</v>
      </c>
      <c r="D7811" t="s">
        <v>2657</v>
      </c>
      <c r="E7811">
        <v>108.78400000000001</v>
      </c>
      <c r="F7811">
        <v>2</v>
      </c>
      <c r="G7811">
        <v>0.2</v>
      </c>
      <c r="H7811">
        <v>10.878399999999999</v>
      </c>
      <c r="U7811">
        <v>10.878399999999999</v>
      </c>
    </row>
    <row r="7812" spans="1:21" x14ac:dyDescent="0.35">
      <c r="A7812" t="s">
        <v>2685</v>
      </c>
      <c r="B7812" t="s">
        <v>238</v>
      </c>
      <c r="C7812" t="s">
        <v>55</v>
      </c>
      <c r="D7812" t="s">
        <v>2256</v>
      </c>
      <c r="E7812">
        <v>4.7699999999999996</v>
      </c>
      <c r="F7812">
        <v>1</v>
      </c>
      <c r="G7812">
        <v>0</v>
      </c>
      <c r="H7812">
        <v>2.1465000000000001</v>
      </c>
      <c r="U7812">
        <v>2.1465000000000001</v>
      </c>
    </row>
    <row r="7813" spans="1:21" x14ac:dyDescent="0.35">
      <c r="A7813" t="s">
        <v>2685</v>
      </c>
      <c r="B7813" t="s">
        <v>238</v>
      </c>
      <c r="C7813" t="s">
        <v>55</v>
      </c>
      <c r="D7813" t="s">
        <v>2446</v>
      </c>
      <c r="E7813">
        <v>7.98</v>
      </c>
      <c r="F7813">
        <v>3</v>
      </c>
      <c r="G7813">
        <v>0</v>
      </c>
      <c r="H7813">
        <v>2.0748000000000002</v>
      </c>
      <c r="U7813">
        <v>2.0748000000000002</v>
      </c>
    </row>
    <row r="7814" spans="1:21" x14ac:dyDescent="0.35">
      <c r="A7814" t="s">
        <v>2685</v>
      </c>
      <c r="B7814" t="s">
        <v>238</v>
      </c>
      <c r="C7814" t="s">
        <v>55</v>
      </c>
      <c r="D7814" t="s">
        <v>1281</v>
      </c>
      <c r="E7814">
        <v>550.43100000000004</v>
      </c>
      <c r="F7814">
        <v>3</v>
      </c>
      <c r="G7814">
        <v>0.3</v>
      </c>
      <c r="H7814">
        <v>-47.1798</v>
      </c>
      <c r="U7814">
        <v>-47.1798</v>
      </c>
    </row>
    <row r="7815" spans="1:21" x14ac:dyDescent="0.35">
      <c r="A7815" t="s">
        <v>2685</v>
      </c>
      <c r="B7815" t="s">
        <v>238</v>
      </c>
      <c r="C7815" t="s">
        <v>55</v>
      </c>
      <c r="D7815" t="s">
        <v>491</v>
      </c>
      <c r="E7815">
        <v>10.56</v>
      </c>
      <c r="F7815">
        <v>6</v>
      </c>
      <c r="G7815">
        <v>0</v>
      </c>
      <c r="H7815">
        <v>4.6463999999999999</v>
      </c>
      <c r="U7815">
        <v>4.6463999999999999</v>
      </c>
    </row>
    <row r="7816" spans="1:21" x14ac:dyDescent="0.35">
      <c r="A7816" s="1">
        <v>42953</v>
      </c>
      <c r="B7816" t="s">
        <v>284</v>
      </c>
      <c r="C7816" t="s">
        <v>13</v>
      </c>
      <c r="D7816" t="s">
        <v>65</v>
      </c>
      <c r="E7816">
        <v>1497.6659999999999</v>
      </c>
      <c r="F7816">
        <v>2</v>
      </c>
      <c r="G7816">
        <v>0.15</v>
      </c>
      <c r="H7816">
        <v>140.95679999999999</v>
      </c>
      <c r="U7816">
        <v>140.95679999999999</v>
      </c>
    </row>
    <row r="7817" spans="1:21" x14ac:dyDescent="0.35">
      <c r="A7817" s="1">
        <v>42953</v>
      </c>
      <c r="B7817" t="s">
        <v>284</v>
      </c>
      <c r="C7817" t="s">
        <v>13</v>
      </c>
      <c r="D7817" t="s">
        <v>1437</v>
      </c>
      <c r="E7817">
        <v>17.52</v>
      </c>
      <c r="F7817">
        <v>2</v>
      </c>
      <c r="G7817">
        <v>0.2</v>
      </c>
      <c r="H7817">
        <v>-3.504</v>
      </c>
      <c r="U7817">
        <v>-3.504</v>
      </c>
    </row>
    <row r="7818" spans="1:21" x14ac:dyDescent="0.35">
      <c r="A7818" t="s">
        <v>622</v>
      </c>
      <c r="B7818" t="s">
        <v>1740</v>
      </c>
      <c r="C7818" t="s">
        <v>13</v>
      </c>
      <c r="D7818" t="s">
        <v>1616</v>
      </c>
      <c r="E7818">
        <v>113.22</v>
      </c>
      <c r="F7818">
        <v>3</v>
      </c>
      <c r="G7818">
        <v>0</v>
      </c>
      <c r="H7818">
        <v>29.437200000000001</v>
      </c>
      <c r="U7818">
        <v>29.437200000000001</v>
      </c>
    </row>
    <row r="7819" spans="1:21" x14ac:dyDescent="0.35">
      <c r="A7819" t="s">
        <v>622</v>
      </c>
      <c r="B7819" t="s">
        <v>1740</v>
      </c>
      <c r="C7819" t="s">
        <v>13</v>
      </c>
      <c r="D7819" t="s">
        <v>2647</v>
      </c>
      <c r="E7819">
        <v>35.880000000000003</v>
      </c>
      <c r="F7819">
        <v>6</v>
      </c>
      <c r="G7819">
        <v>0</v>
      </c>
      <c r="H7819">
        <v>17.581199999999999</v>
      </c>
      <c r="U7819">
        <v>17.581199999999999</v>
      </c>
    </row>
    <row r="7820" spans="1:21" x14ac:dyDescent="0.35">
      <c r="A7820" t="s">
        <v>622</v>
      </c>
      <c r="B7820" t="s">
        <v>1740</v>
      </c>
      <c r="C7820" t="s">
        <v>13</v>
      </c>
      <c r="D7820" t="s">
        <v>2474</v>
      </c>
      <c r="E7820">
        <v>4535.9759999999997</v>
      </c>
      <c r="F7820">
        <v>3</v>
      </c>
      <c r="G7820">
        <v>0.2</v>
      </c>
      <c r="H7820">
        <v>1644.2913000000001</v>
      </c>
      <c r="U7820">
        <v>1644.2913000000001</v>
      </c>
    </row>
    <row r="7821" spans="1:21" x14ac:dyDescent="0.35">
      <c r="A7821" t="s">
        <v>1405</v>
      </c>
      <c r="B7821" t="s">
        <v>703</v>
      </c>
      <c r="C7821" t="s">
        <v>13</v>
      </c>
      <c r="D7821" t="s">
        <v>1768</v>
      </c>
      <c r="E7821">
        <v>11.84</v>
      </c>
      <c r="F7821">
        <v>8</v>
      </c>
      <c r="G7821">
        <v>0</v>
      </c>
      <c r="H7821">
        <v>5.6832000000000003</v>
      </c>
      <c r="U7821">
        <v>5.6832000000000003</v>
      </c>
    </row>
    <row r="7822" spans="1:21" x14ac:dyDescent="0.35">
      <c r="A7822" s="1">
        <v>42959</v>
      </c>
      <c r="B7822" t="s">
        <v>819</v>
      </c>
      <c r="C7822" t="s">
        <v>55</v>
      </c>
      <c r="D7822" t="s">
        <v>1068</v>
      </c>
      <c r="E7822">
        <v>592.74</v>
      </c>
      <c r="F7822">
        <v>6</v>
      </c>
      <c r="G7822">
        <v>0</v>
      </c>
      <c r="H7822">
        <v>160.03980000000001</v>
      </c>
      <c r="U7822">
        <v>160.03980000000001</v>
      </c>
    </row>
    <row r="7823" spans="1:21" x14ac:dyDescent="0.35">
      <c r="A7823" t="s">
        <v>622</v>
      </c>
      <c r="B7823" t="s">
        <v>1861</v>
      </c>
      <c r="C7823" t="s">
        <v>8</v>
      </c>
      <c r="D7823" t="s">
        <v>2366</v>
      </c>
      <c r="E7823">
        <v>111.672</v>
      </c>
      <c r="F7823">
        <v>9</v>
      </c>
      <c r="G7823">
        <v>0.2</v>
      </c>
      <c r="H7823">
        <v>6.9794999999999998</v>
      </c>
      <c r="U7823">
        <v>6.9794999999999998</v>
      </c>
    </row>
    <row r="7824" spans="1:21" x14ac:dyDescent="0.35">
      <c r="A7824" t="s">
        <v>358</v>
      </c>
      <c r="B7824" t="s">
        <v>1605</v>
      </c>
      <c r="C7824" t="s">
        <v>55</v>
      </c>
      <c r="D7824" t="s">
        <v>1660</v>
      </c>
      <c r="E7824">
        <v>8.64</v>
      </c>
      <c r="F7824">
        <v>3</v>
      </c>
      <c r="G7824">
        <v>0</v>
      </c>
      <c r="H7824">
        <v>2.5055999999999998</v>
      </c>
      <c r="U7824">
        <v>2.5055999999999998</v>
      </c>
    </row>
    <row r="7825" spans="1:21" x14ac:dyDescent="0.35">
      <c r="A7825" t="s">
        <v>358</v>
      </c>
      <c r="B7825" t="s">
        <v>1605</v>
      </c>
      <c r="C7825" t="s">
        <v>55</v>
      </c>
      <c r="D7825" t="s">
        <v>1959</v>
      </c>
      <c r="E7825">
        <v>149.97</v>
      </c>
      <c r="F7825">
        <v>3</v>
      </c>
      <c r="G7825">
        <v>0</v>
      </c>
      <c r="H7825">
        <v>52.4895</v>
      </c>
      <c r="U7825">
        <v>52.4895</v>
      </c>
    </row>
    <row r="7826" spans="1:21" x14ac:dyDescent="0.35">
      <c r="A7826" t="s">
        <v>887</v>
      </c>
      <c r="B7826" t="s">
        <v>1634</v>
      </c>
      <c r="C7826" t="s">
        <v>13</v>
      </c>
      <c r="D7826" t="s">
        <v>2115</v>
      </c>
      <c r="E7826">
        <v>232.88</v>
      </c>
      <c r="F7826">
        <v>5</v>
      </c>
      <c r="G7826">
        <v>0.2</v>
      </c>
      <c r="H7826">
        <v>17.466000000000001</v>
      </c>
      <c r="U7826">
        <v>17.466000000000001</v>
      </c>
    </row>
    <row r="7827" spans="1:21" x14ac:dyDescent="0.35">
      <c r="A7827" s="1">
        <v>42065</v>
      </c>
      <c r="B7827" t="s">
        <v>1634</v>
      </c>
      <c r="C7827" t="s">
        <v>55</v>
      </c>
      <c r="D7827" t="s">
        <v>84</v>
      </c>
      <c r="E7827">
        <v>90.882000000000005</v>
      </c>
      <c r="F7827">
        <v>1</v>
      </c>
      <c r="G7827">
        <v>0.1</v>
      </c>
      <c r="H7827">
        <v>15.147</v>
      </c>
      <c r="U7827">
        <v>15.147</v>
      </c>
    </row>
    <row r="7828" spans="1:21" x14ac:dyDescent="0.35">
      <c r="A7828" t="s">
        <v>1243</v>
      </c>
      <c r="B7828" t="s">
        <v>1398</v>
      </c>
      <c r="C7828" t="s">
        <v>35</v>
      </c>
      <c r="D7828" t="s">
        <v>1019</v>
      </c>
      <c r="E7828">
        <v>508.76799999999997</v>
      </c>
      <c r="F7828">
        <v>4</v>
      </c>
      <c r="G7828">
        <v>0.2</v>
      </c>
      <c r="H7828">
        <v>38.157600000000002</v>
      </c>
      <c r="U7828">
        <v>38.157600000000002</v>
      </c>
    </row>
    <row r="7829" spans="1:21" x14ac:dyDescent="0.35">
      <c r="A7829" t="s">
        <v>1243</v>
      </c>
      <c r="B7829" t="s">
        <v>1398</v>
      </c>
      <c r="C7829" t="s">
        <v>35</v>
      </c>
      <c r="D7829" t="s">
        <v>608</v>
      </c>
      <c r="E7829">
        <v>9.9120000000000008</v>
      </c>
      <c r="F7829">
        <v>3</v>
      </c>
      <c r="G7829">
        <v>0.2</v>
      </c>
      <c r="H7829">
        <v>3.2214</v>
      </c>
      <c r="U7829">
        <v>3.2214</v>
      </c>
    </row>
    <row r="7830" spans="1:21" x14ac:dyDescent="0.35">
      <c r="A7830" t="s">
        <v>151</v>
      </c>
      <c r="B7830" t="s">
        <v>1161</v>
      </c>
      <c r="C7830" t="s">
        <v>13</v>
      </c>
      <c r="D7830" t="s">
        <v>2183</v>
      </c>
      <c r="E7830">
        <v>63.936</v>
      </c>
      <c r="F7830">
        <v>3</v>
      </c>
      <c r="G7830">
        <v>0.2</v>
      </c>
      <c r="H7830">
        <v>6.3936000000000002</v>
      </c>
      <c r="U7830">
        <v>6.3936000000000002</v>
      </c>
    </row>
    <row r="7831" spans="1:21" x14ac:dyDescent="0.35">
      <c r="A7831" t="s">
        <v>151</v>
      </c>
      <c r="B7831" t="s">
        <v>1161</v>
      </c>
      <c r="C7831" t="s">
        <v>13</v>
      </c>
      <c r="D7831" t="s">
        <v>755</v>
      </c>
      <c r="E7831">
        <v>59.52</v>
      </c>
      <c r="F7831">
        <v>3</v>
      </c>
      <c r="G7831">
        <v>0</v>
      </c>
      <c r="H7831">
        <v>15.475199999999999</v>
      </c>
      <c r="U7831">
        <v>15.475199999999999</v>
      </c>
    </row>
    <row r="7832" spans="1:21" x14ac:dyDescent="0.35">
      <c r="A7832" t="s">
        <v>151</v>
      </c>
      <c r="B7832" t="s">
        <v>1161</v>
      </c>
      <c r="C7832" t="s">
        <v>13</v>
      </c>
      <c r="D7832" t="s">
        <v>2634</v>
      </c>
      <c r="E7832">
        <v>311.976</v>
      </c>
      <c r="F7832">
        <v>3</v>
      </c>
      <c r="G7832">
        <v>0.2</v>
      </c>
      <c r="H7832">
        <v>38.997</v>
      </c>
      <c r="U7832">
        <v>38.997</v>
      </c>
    </row>
    <row r="7833" spans="1:21" x14ac:dyDescent="0.35">
      <c r="A7833" t="s">
        <v>151</v>
      </c>
      <c r="B7833" t="s">
        <v>1161</v>
      </c>
      <c r="C7833" t="s">
        <v>13</v>
      </c>
      <c r="D7833" t="s">
        <v>576</v>
      </c>
      <c r="E7833">
        <v>50.351999999999997</v>
      </c>
      <c r="F7833">
        <v>3</v>
      </c>
      <c r="G7833">
        <v>0.2</v>
      </c>
      <c r="H7833">
        <v>17.623200000000001</v>
      </c>
      <c r="U7833">
        <v>17.623200000000001</v>
      </c>
    </row>
    <row r="7834" spans="1:21" x14ac:dyDescent="0.35">
      <c r="A7834" s="1">
        <v>42618</v>
      </c>
      <c r="B7834" t="s">
        <v>1651</v>
      </c>
      <c r="C7834" t="s">
        <v>35</v>
      </c>
      <c r="D7834" t="s">
        <v>367</v>
      </c>
      <c r="E7834">
        <v>19.135999999999999</v>
      </c>
      <c r="F7834">
        <v>2</v>
      </c>
      <c r="G7834">
        <v>0.2</v>
      </c>
      <c r="H7834">
        <v>1.9136</v>
      </c>
      <c r="U7834">
        <v>1.9136</v>
      </c>
    </row>
    <row r="7835" spans="1:21" x14ac:dyDescent="0.35">
      <c r="A7835" t="s">
        <v>782</v>
      </c>
      <c r="B7835" t="s">
        <v>2486</v>
      </c>
      <c r="C7835" t="s">
        <v>8</v>
      </c>
      <c r="D7835" t="s">
        <v>662</v>
      </c>
      <c r="E7835">
        <v>13.12</v>
      </c>
      <c r="F7835">
        <v>5</v>
      </c>
      <c r="G7835">
        <v>0.2</v>
      </c>
      <c r="H7835">
        <v>2.1320000000000001</v>
      </c>
      <c r="U7835">
        <v>2.1320000000000001</v>
      </c>
    </row>
    <row r="7836" spans="1:21" x14ac:dyDescent="0.35">
      <c r="A7836" t="s">
        <v>1958</v>
      </c>
      <c r="B7836" t="s">
        <v>2309</v>
      </c>
      <c r="C7836" t="s">
        <v>13</v>
      </c>
      <c r="D7836" t="s">
        <v>1645</v>
      </c>
      <c r="E7836">
        <v>241.56800000000001</v>
      </c>
      <c r="F7836">
        <v>2</v>
      </c>
      <c r="G7836">
        <v>0.2</v>
      </c>
      <c r="H7836">
        <v>-15.098000000000001</v>
      </c>
      <c r="U7836">
        <v>-15.098000000000001</v>
      </c>
    </row>
    <row r="7837" spans="1:21" x14ac:dyDescent="0.35">
      <c r="A7837" t="s">
        <v>1958</v>
      </c>
      <c r="B7837" t="s">
        <v>2309</v>
      </c>
      <c r="C7837" t="s">
        <v>13</v>
      </c>
      <c r="D7837" t="s">
        <v>1252</v>
      </c>
      <c r="E7837">
        <v>479.92</v>
      </c>
      <c r="F7837">
        <v>2</v>
      </c>
      <c r="G7837">
        <v>0.2</v>
      </c>
      <c r="H7837">
        <v>41.993000000000002</v>
      </c>
      <c r="U7837">
        <v>41.993000000000002</v>
      </c>
    </row>
    <row r="7838" spans="1:21" x14ac:dyDescent="0.35">
      <c r="A7838" t="s">
        <v>57</v>
      </c>
      <c r="B7838" t="s">
        <v>274</v>
      </c>
      <c r="C7838" t="s">
        <v>13</v>
      </c>
      <c r="D7838" t="s">
        <v>1636</v>
      </c>
      <c r="E7838">
        <v>307.13600000000002</v>
      </c>
      <c r="F7838">
        <v>4</v>
      </c>
      <c r="G7838">
        <v>0.2</v>
      </c>
      <c r="H7838">
        <v>-11.5176</v>
      </c>
      <c r="U7838">
        <v>-11.5176</v>
      </c>
    </row>
    <row r="7839" spans="1:21" x14ac:dyDescent="0.35">
      <c r="A7839" t="s">
        <v>57</v>
      </c>
      <c r="B7839" t="s">
        <v>274</v>
      </c>
      <c r="C7839" t="s">
        <v>13</v>
      </c>
      <c r="D7839" t="s">
        <v>2471</v>
      </c>
      <c r="E7839">
        <v>12.6</v>
      </c>
      <c r="F7839">
        <v>2</v>
      </c>
      <c r="G7839">
        <v>0</v>
      </c>
      <c r="H7839">
        <v>5.7960000000000003</v>
      </c>
      <c r="U7839">
        <v>5.7960000000000003</v>
      </c>
    </row>
    <row r="7840" spans="1:21" x14ac:dyDescent="0.35">
      <c r="A7840" t="s">
        <v>57</v>
      </c>
      <c r="B7840" t="s">
        <v>274</v>
      </c>
      <c r="C7840" t="s">
        <v>13</v>
      </c>
      <c r="D7840" t="s">
        <v>809</v>
      </c>
      <c r="E7840">
        <v>159.97999999999999</v>
      </c>
      <c r="F7840">
        <v>2</v>
      </c>
      <c r="G7840">
        <v>0</v>
      </c>
      <c r="H7840">
        <v>57.592799999999997</v>
      </c>
      <c r="U7840">
        <v>57.592799999999997</v>
      </c>
    </row>
    <row r="7841" spans="1:21" x14ac:dyDescent="0.35">
      <c r="A7841" t="s">
        <v>2522</v>
      </c>
      <c r="B7841" t="s">
        <v>2094</v>
      </c>
      <c r="C7841" t="s">
        <v>35</v>
      </c>
      <c r="D7841" t="s">
        <v>68</v>
      </c>
      <c r="E7841">
        <v>6.12</v>
      </c>
      <c r="F7841">
        <v>3</v>
      </c>
      <c r="G7841">
        <v>0</v>
      </c>
      <c r="H7841">
        <v>2.8763999999999998</v>
      </c>
      <c r="U7841">
        <v>2.8763999999999998</v>
      </c>
    </row>
    <row r="7842" spans="1:21" x14ac:dyDescent="0.35">
      <c r="A7842" t="s">
        <v>2522</v>
      </c>
      <c r="B7842" t="s">
        <v>2094</v>
      </c>
      <c r="C7842" t="s">
        <v>35</v>
      </c>
      <c r="D7842" t="s">
        <v>1960</v>
      </c>
      <c r="E7842">
        <v>1184.72</v>
      </c>
      <c r="F7842">
        <v>4</v>
      </c>
      <c r="G7842">
        <v>0</v>
      </c>
      <c r="H7842">
        <v>106.62479999999999</v>
      </c>
      <c r="U7842">
        <v>106.62479999999999</v>
      </c>
    </row>
    <row r="7843" spans="1:21" x14ac:dyDescent="0.35">
      <c r="A7843" t="s">
        <v>89</v>
      </c>
      <c r="B7843" t="s">
        <v>972</v>
      </c>
      <c r="C7843" t="s">
        <v>55</v>
      </c>
      <c r="D7843" t="s">
        <v>24</v>
      </c>
      <c r="E7843">
        <v>45.96</v>
      </c>
      <c r="F7843">
        <v>2</v>
      </c>
      <c r="G7843">
        <v>0</v>
      </c>
      <c r="H7843">
        <v>13.788</v>
      </c>
      <c r="U7843">
        <v>13.788</v>
      </c>
    </row>
    <row r="7844" spans="1:21" x14ac:dyDescent="0.35">
      <c r="A7844" t="s">
        <v>2531</v>
      </c>
      <c r="B7844" t="s">
        <v>1355</v>
      </c>
      <c r="C7844" t="s">
        <v>8</v>
      </c>
      <c r="D7844" t="s">
        <v>1093</v>
      </c>
      <c r="E7844">
        <v>58.05</v>
      </c>
      <c r="F7844">
        <v>3</v>
      </c>
      <c r="G7844">
        <v>0</v>
      </c>
      <c r="H7844">
        <v>26.702999999999999</v>
      </c>
      <c r="U7844">
        <v>26.702999999999999</v>
      </c>
    </row>
    <row r="7845" spans="1:21" x14ac:dyDescent="0.35">
      <c r="A7845" t="s">
        <v>2531</v>
      </c>
      <c r="B7845" t="s">
        <v>1355</v>
      </c>
      <c r="C7845" t="s">
        <v>8</v>
      </c>
      <c r="D7845" t="s">
        <v>124</v>
      </c>
      <c r="E7845">
        <v>71.28</v>
      </c>
      <c r="F7845">
        <v>11</v>
      </c>
      <c r="G7845">
        <v>0</v>
      </c>
      <c r="H7845">
        <v>34.214399999999998</v>
      </c>
      <c r="U7845">
        <v>34.214399999999998</v>
      </c>
    </row>
    <row r="7846" spans="1:21" x14ac:dyDescent="0.35">
      <c r="A7846" t="s">
        <v>997</v>
      </c>
      <c r="B7846" t="s">
        <v>1534</v>
      </c>
      <c r="C7846" t="s">
        <v>35</v>
      </c>
      <c r="D7846" t="s">
        <v>1610</v>
      </c>
      <c r="E7846">
        <v>124.404</v>
      </c>
      <c r="F7846">
        <v>4</v>
      </c>
      <c r="G7846">
        <v>0.3</v>
      </c>
      <c r="H7846">
        <v>-21.3264</v>
      </c>
      <c r="U7846">
        <v>-21.3264</v>
      </c>
    </row>
    <row r="7847" spans="1:21" x14ac:dyDescent="0.35">
      <c r="A7847" t="s">
        <v>1654</v>
      </c>
      <c r="B7847" t="s">
        <v>1793</v>
      </c>
      <c r="C7847" t="s">
        <v>8</v>
      </c>
      <c r="D7847" t="s">
        <v>1697</v>
      </c>
      <c r="E7847">
        <v>154.9</v>
      </c>
      <c r="F7847">
        <v>5</v>
      </c>
      <c r="G7847">
        <v>0</v>
      </c>
      <c r="H7847">
        <v>69.704999999999998</v>
      </c>
      <c r="U7847">
        <v>69.704999999999998</v>
      </c>
    </row>
    <row r="7848" spans="1:21" x14ac:dyDescent="0.35">
      <c r="A7848" t="s">
        <v>1654</v>
      </c>
      <c r="B7848" t="s">
        <v>1793</v>
      </c>
      <c r="C7848" t="s">
        <v>8</v>
      </c>
      <c r="D7848" t="s">
        <v>912</v>
      </c>
      <c r="E7848">
        <v>1871.88</v>
      </c>
      <c r="F7848">
        <v>12</v>
      </c>
      <c r="G7848">
        <v>0</v>
      </c>
      <c r="H7848">
        <v>561.56399999999996</v>
      </c>
      <c r="U7848">
        <v>561.56399999999996</v>
      </c>
    </row>
    <row r="7849" spans="1:21" x14ac:dyDescent="0.35">
      <c r="A7849" t="s">
        <v>1729</v>
      </c>
      <c r="B7849" t="s">
        <v>1394</v>
      </c>
      <c r="C7849" t="s">
        <v>35</v>
      </c>
      <c r="D7849" t="s">
        <v>2507</v>
      </c>
      <c r="E7849">
        <v>16.192</v>
      </c>
      <c r="F7849">
        <v>2</v>
      </c>
      <c r="G7849">
        <v>0.6</v>
      </c>
      <c r="H7849">
        <v>-6.8815999999999997</v>
      </c>
      <c r="U7849">
        <v>-6.8815999999999997</v>
      </c>
    </row>
    <row r="7850" spans="1:21" x14ac:dyDescent="0.35">
      <c r="A7850" s="1">
        <v>42405</v>
      </c>
      <c r="B7850" t="s">
        <v>1884</v>
      </c>
      <c r="C7850" t="s">
        <v>35</v>
      </c>
      <c r="D7850" t="s">
        <v>2399</v>
      </c>
      <c r="E7850">
        <v>18.936</v>
      </c>
      <c r="F7850">
        <v>3</v>
      </c>
      <c r="G7850">
        <v>0.2</v>
      </c>
      <c r="H7850">
        <v>-3.7871999999999999</v>
      </c>
      <c r="U7850">
        <v>-3.7871999999999999</v>
      </c>
    </row>
    <row r="7851" spans="1:21" x14ac:dyDescent="0.35">
      <c r="A7851" s="1">
        <v>42405</v>
      </c>
      <c r="B7851" t="s">
        <v>1884</v>
      </c>
      <c r="C7851" t="s">
        <v>35</v>
      </c>
      <c r="D7851" t="s">
        <v>2327</v>
      </c>
      <c r="E7851">
        <v>12.672000000000001</v>
      </c>
      <c r="F7851">
        <v>3</v>
      </c>
      <c r="G7851">
        <v>0.2</v>
      </c>
      <c r="H7851">
        <v>-3.1680000000000001</v>
      </c>
      <c r="U7851">
        <v>-3.1680000000000001</v>
      </c>
    </row>
    <row r="7852" spans="1:21" x14ac:dyDescent="0.35">
      <c r="A7852" s="1">
        <v>42405</v>
      </c>
      <c r="B7852" t="s">
        <v>1884</v>
      </c>
      <c r="C7852" t="s">
        <v>35</v>
      </c>
      <c r="D7852" t="s">
        <v>1427</v>
      </c>
      <c r="E7852">
        <v>5.04</v>
      </c>
      <c r="F7852">
        <v>2</v>
      </c>
      <c r="G7852">
        <v>0.2</v>
      </c>
      <c r="H7852">
        <v>1.764</v>
      </c>
      <c r="U7852">
        <v>1.764</v>
      </c>
    </row>
    <row r="7853" spans="1:21" x14ac:dyDescent="0.35">
      <c r="A7853" s="1">
        <v>41894</v>
      </c>
      <c r="B7853" t="s">
        <v>551</v>
      </c>
      <c r="C7853" t="s">
        <v>35</v>
      </c>
      <c r="D7853" t="s">
        <v>2574</v>
      </c>
      <c r="E7853">
        <v>8.4480000000000004</v>
      </c>
      <c r="F7853">
        <v>2</v>
      </c>
      <c r="G7853">
        <v>0.2</v>
      </c>
      <c r="H7853">
        <v>2.9567999999999999</v>
      </c>
      <c r="U7853">
        <v>2.9567999999999999</v>
      </c>
    </row>
    <row r="7854" spans="1:21" x14ac:dyDescent="0.35">
      <c r="A7854" s="1">
        <v>41894</v>
      </c>
      <c r="B7854" t="s">
        <v>551</v>
      </c>
      <c r="C7854" t="s">
        <v>35</v>
      </c>
      <c r="D7854" t="s">
        <v>987</v>
      </c>
      <c r="E7854">
        <v>20.388000000000002</v>
      </c>
      <c r="F7854">
        <v>2</v>
      </c>
      <c r="G7854">
        <v>0.8</v>
      </c>
      <c r="H7854">
        <v>-53.008800000000001</v>
      </c>
      <c r="U7854">
        <v>-53.008800000000001</v>
      </c>
    </row>
    <row r="7855" spans="1:21" x14ac:dyDescent="0.35">
      <c r="A7855" t="s">
        <v>1797</v>
      </c>
      <c r="B7855" t="s">
        <v>2050</v>
      </c>
      <c r="C7855" t="s">
        <v>13</v>
      </c>
      <c r="D7855" t="s">
        <v>1728</v>
      </c>
      <c r="E7855">
        <v>9.9600000000000009</v>
      </c>
      <c r="F7855">
        <v>2</v>
      </c>
      <c r="G7855">
        <v>0</v>
      </c>
      <c r="H7855">
        <v>4.8803999999999998</v>
      </c>
      <c r="U7855">
        <v>4.8803999999999998</v>
      </c>
    </row>
    <row r="7856" spans="1:21" x14ac:dyDescent="0.35">
      <c r="A7856" s="1">
        <v>42928</v>
      </c>
      <c r="B7856" t="s">
        <v>19</v>
      </c>
      <c r="C7856" t="s">
        <v>8</v>
      </c>
      <c r="D7856" t="s">
        <v>2086</v>
      </c>
      <c r="E7856">
        <v>320.64</v>
      </c>
      <c r="F7856">
        <v>4</v>
      </c>
      <c r="G7856">
        <v>0</v>
      </c>
      <c r="H7856">
        <v>89.779200000000003</v>
      </c>
      <c r="U7856">
        <v>89.779200000000003</v>
      </c>
    </row>
    <row r="7857" spans="1:21" x14ac:dyDescent="0.35">
      <c r="A7857" s="1">
        <v>42928</v>
      </c>
      <c r="B7857" t="s">
        <v>19</v>
      </c>
      <c r="C7857" t="s">
        <v>8</v>
      </c>
      <c r="D7857" t="s">
        <v>403</v>
      </c>
      <c r="E7857">
        <v>52</v>
      </c>
      <c r="F7857">
        <v>4</v>
      </c>
      <c r="G7857">
        <v>0</v>
      </c>
      <c r="H7857">
        <v>23.4</v>
      </c>
      <c r="U7857">
        <v>23.4</v>
      </c>
    </row>
    <row r="7858" spans="1:21" x14ac:dyDescent="0.35">
      <c r="A7858" t="s">
        <v>1563</v>
      </c>
      <c r="B7858" t="s">
        <v>1556</v>
      </c>
      <c r="C7858" t="s">
        <v>55</v>
      </c>
      <c r="D7858" t="s">
        <v>2192</v>
      </c>
      <c r="E7858">
        <v>25.584</v>
      </c>
      <c r="F7858">
        <v>2</v>
      </c>
      <c r="G7858">
        <v>0.2</v>
      </c>
      <c r="H7858">
        <v>8.9543999999999997</v>
      </c>
      <c r="U7858">
        <v>8.9543999999999997</v>
      </c>
    </row>
    <row r="7859" spans="1:21" x14ac:dyDescent="0.35">
      <c r="A7859" t="s">
        <v>1563</v>
      </c>
      <c r="B7859" t="s">
        <v>1556</v>
      </c>
      <c r="C7859" t="s">
        <v>55</v>
      </c>
      <c r="D7859" t="s">
        <v>1530</v>
      </c>
      <c r="E7859">
        <v>464</v>
      </c>
      <c r="F7859">
        <v>5</v>
      </c>
      <c r="G7859">
        <v>0</v>
      </c>
      <c r="H7859">
        <v>134.56</v>
      </c>
      <c r="U7859">
        <v>134.56</v>
      </c>
    </row>
    <row r="7860" spans="1:21" x14ac:dyDescent="0.35">
      <c r="A7860" t="s">
        <v>1563</v>
      </c>
      <c r="B7860" t="s">
        <v>1556</v>
      </c>
      <c r="C7860" t="s">
        <v>55</v>
      </c>
      <c r="D7860" t="s">
        <v>1858</v>
      </c>
      <c r="E7860">
        <v>235.95</v>
      </c>
      <c r="F7860">
        <v>3</v>
      </c>
      <c r="G7860">
        <v>0</v>
      </c>
      <c r="H7860">
        <v>77.863500000000002</v>
      </c>
      <c r="U7860">
        <v>77.863500000000002</v>
      </c>
    </row>
    <row r="7861" spans="1:21" x14ac:dyDescent="0.35">
      <c r="A7861" t="s">
        <v>1563</v>
      </c>
      <c r="B7861" t="s">
        <v>1556</v>
      </c>
      <c r="C7861" t="s">
        <v>55</v>
      </c>
      <c r="D7861" t="s">
        <v>1632</v>
      </c>
      <c r="E7861">
        <v>39.96</v>
      </c>
      <c r="F7861">
        <v>4</v>
      </c>
      <c r="G7861">
        <v>0</v>
      </c>
      <c r="H7861">
        <v>17.981999999999999</v>
      </c>
      <c r="U7861">
        <v>17.981999999999999</v>
      </c>
    </row>
    <row r="7862" spans="1:21" x14ac:dyDescent="0.35">
      <c r="A7862" s="1">
        <v>42769</v>
      </c>
      <c r="B7862" t="s">
        <v>1287</v>
      </c>
      <c r="C7862" t="s">
        <v>55</v>
      </c>
      <c r="D7862" t="s">
        <v>1773</v>
      </c>
      <c r="E7862">
        <v>18.527999999999999</v>
      </c>
      <c r="F7862">
        <v>4</v>
      </c>
      <c r="G7862">
        <v>0.7</v>
      </c>
      <c r="H7862">
        <v>-12.352</v>
      </c>
      <c r="U7862">
        <v>-12.352</v>
      </c>
    </row>
    <row r="7863" spans="1:21" x14ac:dyDescent="0.35">
      <c r="A7863" s="1">
        <v>42348</v>
      </c>
      <c r="B7863" t="s">
        <v>1962</v>
      </c>
      <c r="C7863" t="s">
        <v>13</v>
      </c>
      <c r="D7863" t="s">
        <v>1718</v>
      </c>
      <c r="E7863">
        <v>17.899999999999999</v>
      </c>
      <c r="F7863">
        <v>2</v>
      </c>
      <c r="G7863">
        <v>0</v>
      </c>
      <c r="H7863">
        <v>3.4009999999999998</v>
      </c>
      <c r="U7863">
        <v>3.4009999999999998</v>
      </c>
    </row>
    <row r="7864" spans="1:21" x14ac:dyDescent="0.35">
      <c r="A7864" s="1">
        <v>42348</v>
      </c>
      <c r="B7864" t="s">
        <v>1962</v>
      </c>
      <c r="C7864" t="s">
        <v>13</v>
      </c>
      <c r="D7864" t="s">
        <v>681</v>
      </c>
      <c r="E7864">
        <v>81.96</v>
      </c>
      <c r="F7864">
        <v>2</v>
      </c>
      <c r="G7864">
        <v>0</v>
      </c>
      <c r="H7864">
        <v>0</v>
      </c>
      <c r="U7864">
        <v>0</v>
      </c>
    </row>
    <row r="7865" spans="1:21" x14ac:dyDescent="0.35">
      <c r="A7865" t="s">
        <v>2379</v>
      </c>
      <c r="B7865" t="s">
        <v>2037</v>
      </c>
      <c r="C7865" t="s">
        <v>13</v>
      </c>
      <c r="D7865" t="s">
        <v>791</v>
      </c>
      <c r="E7865">
        <v>272.73599999999999</v>
      </c>
      <c r="F7865">
        <v>3</v>
      </c>
      <c r="G7865">
        <v>0.2</v>
      </c>
      <c r="H7865">
        <v>-64.774799999999999</v>
      </c>
      <c r="U7865">
        <v>-64.774799999999999</v>
      </c>
    </row>
    <row r="7866" spans="1:21" x14ac:dyDescent="0.35">
      <c r="A7866" t="s">
        <v>2379</v>
      </c>
      <c r="B7866" t="s">
        <v>2037</v>
      </c>
      <c r="C7866" t="s">
        <v>13</v>
      </c>
      <c r="D7866" t="s">
        <v>2705</v>
      </c>
      <c r="E7866">
        <v>18.495999999999999</v>
      </c>
      <c r="F7866">
        <v>4</v>
      </c>
      <c r="G7866">
        <v>0.2</v>
      </c>
      <c r="H7866">
        <v>6.7047999999999996</v>
      </c>
      <c r="U7866">
        <v>6.7047999999999996</v>
      </c>
    </row>
    <row r="7867" spans="1:21" x14ac:dyDescent="0.35">
      <c r="A7867" t="s">
        <v>2379</v>
      </c>
      <c r="B7867" t="s">
        <v>2037</v>
      </c>
      <c r="C7867" t="s">
        <v>13</v>
      </c>
      <c r="D7867" t="s">
        <v>321</v>
      </c>
      <c r="E7867">
        <v>441.92</v>
      </c>
      <c r="F7867">
        <v>2</v>
      </c>
      <c r="G7867">
        <v>0.2</v>
      </c>
      <c r="H7867">
        <v>49.716000000000001</v>
      </c>
      <c r="U7867">
        <v>49.716000000000001</v>
      </c>
    </row>
    <row r="7868" spans="1:21" x14ac:dyDescent="0.35">
      <c r="A7868" t="s">
        <v>2379</v>
      </c>
      <c r="B7868" t="s">
        <v>2037</v>
      </c>
      <c r="C7868" t="s">
        <v>13</v>
      </c>
      <c r="D7868" t="s">
        <v>2389</v>
      </c>
      <c r="E7868">
        <v>127.764</v>
      </c>
      <c r="F7868">
        <v>6</v>
      </c>
      <c r="G7868">
        <v>0.7</v>
      </c>
      <c r="H7868">
        <v>-191.64599999999999</v>
      </c>
      <c r="U7868">
        <v>-191.64599999999999</v>
      </c>
    </row>
    <row r="7869" spans="1:21" x14ac:dyDescent="0.35">
      <c r="A7869" t="s">
        <v>349</v>
      </c>
      <c r="B7869" t="s">
        <v>2543</v>
      </c>
      <c r="C7869" t="s">
        <v>13</v>
      </c>
      <c r="D7869" t="s">
        <v>1977</v>
      </c>
      <c r="E7869">
        <v>166.44</v>
      </c>
      <c r="F7869">
        <v>3</v>
      </c>
      <c r="G7869">
        <v>0</v>
      </c>
      <c r="H7869">
        <v>79.891199999999998</v>
      </c>
      <c r="U7869">
        <v>79.891199999999998</v>
      </c>
    </row>
    <row r="7870" spans="1:21" x14ac:dyDescent="0.35">
      <c r="A7870" t="s">
        <v>1570</v>
      </c>
      <c r="B7870" t="s">
        <v>851</v>
      </c>
      <c r="C7870" t="s">
        <v>13</v>
      </c>
      <c r="D7870" t="s">
        <v>1750</v>
      </c>
      <c r="E7870">
        <v>13.38</v>
      </c>
      <c r="F7870">
        <v>2</v>
      </c>
      <c r="G7870">
        <v>0</v>
      </c>
      <c r="H7870">
        <v>6.1547999999999998</v>
      </c>
      <c r="U7870">
        <v>6.1547999999999998</v>
      </c>
    </row>
    <row r="7871" spans="1:21" x14ac:dyDescent="0.35">
      <c r="A7871" s="1">
        <v>42801</v>
      </c>
      <c r="B7871" t="s">
        <v>2229</v>
      </c>
      <c r="C7871" t="s">
        <v>8</v>
      </c>
      <c r="D7871" t="s">
        <v>108</v>
      </c>
      <c r="E7871">
        <v>24</v>
      </c>
      <c r="F7871">
        <v>2</v>
      </c>
      <c r="G7871">
        <v>0.2</v>
      </c>
      <c r="H7871">
        <v>-2.7</v>
      </c>
      <c r="U7871">
        <v>-2.7</v>
      </c>
    </row>
    <row r="7872" spans="1:21" x14ac:dyDescent="0.35">
      <c r="A7872" t="s">
        <v>615</v>
      </c>
      <c r="B7872" t="s">
        <v>2242</v>
      </c>
      <c r="C7872" t="s">
        <v>55</v>
      </c>
      <c r="D7872" t="s">
        <v>1175</v>
      </c>
      <c r="E7872">
        <v>24.448</v>
      </c>
      <c r="F7872">
        <v>4</v>
      </c>
      <c r="G7872">
        <v>0.2</v>
      </c>
      <c r="H7872">
        <v>8.8623999999999992</v>
      </c>
      <c r="U7872">
        <v>8.8623999999999992</v>
      </c>
    </row>
    <row r="7873" spans="1:21" x14ac:dyDescent="0.35">
      <c r="A7873" s="1">
        <v>42439</v>
      </c>
      <c r="B7873" t="s">
        <v>2147</v>
      </c>
      <c r="C7873" t="s">
        <v>13</v>
      </c>
      <c r="D7873" t="s">
        <v>1138</v>
      </c>
      <c r="E7873">
        <v>6.16</v>
      </c>
      <c r="F7873">
        <v>2</v>
      </c>
      <c r="G7873">
        <v>0</v>
      </c>
      <c r="H7873">
        <v>2.9567999999999999</v>
      </c>
      <c r="U7873">
        <v>2.9567999999999999</v>
      </c>
    </row>
    <row r="7874" spans="1:21" x14ac:dyDescent="0.35">
      <c r="A7874" s="1">
        <v>42439</v>
      </c>
      <c r="B7874" t="s">
        <v>2147</v>
      </c>
      <c r="C7874" t="s">
        <v>13</v>
      </c>
      <c r="D7874" t="s">
        <v>250</v>
      </c>
      <c r="E7874">
        <v>915.13599999999997</v>
      </c>
      <c r="F7874">
        <v>4</v>
      </c>
      <c r="G7874">
        <v>0.2</v>
      </c>
      <c r="H7874">
        <v>102.9528</v>
      </c>
      <c r="U7874">
        <v>102.9528</v>
      </c>
    </row>
    <row r="7875" spans="1:21" x14ac:dyDescent="0.35">
      <c r="A7875" s="1">
        <v>42439</v>
      </c>
      <c r="B7875" t="s">
        <v>2147</v>
      </c>
      <c r="C7875" t="s">
        <v>13</v>
      </c>
      <c r="D7875" t="s">
        <v>2367</v>
      </c>
      <c r="E7875">
        <v>8.56</v>
      </c>
      <c r="F7875">
        <v>2</v>
      </c>
      <c r="G7875">
        <v>0</v>
      </c>
      <c r="H7875">
        <v>3.8519999999999999</v>
      </c>
      <c r="U7875">
        <v>3.8519999999999999</v>
      </c>
    </row>
    <row r="7876" spans="1:21" x14ac:dyDescent="0.35">
      <c r="A7876" s="1">
        <v>42439</v>
      </c>
      <c r="B7876" t="s">
        <v>2147</v>
      </c>
      <c r="C7876" t="s">
        <v>13</v>
      </c>
      <c r="D7876" t="s">
        <v>1896</v>
      </c>
      <c r="E7876">
        <v>97.82</v>
      </c>
      <c r="F7876">
        <v>2</v>
      </c>
      <c r="G7876">
        <v>0</v>
      </c>
      <c r="H7876">
        <v>45.9754</v>
      </c>
      <c r="U7876">
        <v>45.9754</v>
      </c>
    </row>
    <row r="7877" spans="1:21" x14ac:dyDescent="0.35">
      <c r="A7877" s="1">
        <v>42987</v>
      </c>
      <c r="B7877" t="s">
        <v>1626</v>
      </c>
      <c r="C7877" t="s">
        <v>13</v>
      </c>
      <c r="D7877" t="s">
        <v>629</v>
      </c>
      <c r="E7877">
        <v>31.103999999999999</v>
      </c>
      <c r="F7877">
        <v>6</v>
      </c>
      <c r="G7877">
        <v>0.2</v>
      </c>
      <c r="H7877">
        <v>11.2752</v>
      </c>
      <c r="U7877">
        <v>11.2752</v>
      </c>
    </row>
    <row r="7878" spans="1:21" x14ac:dyDescent="0.35">
      <c r="A7878" s="1">
        <v>42987</v>
      </c>
      <c r="B7878" t="s">
        <v>1626</v>
      </c>
      <c r="C7878" t="s">
        <v>13</v>
      </c>
      <c r="D7878" t="s">
        <v>2676</v>
      </c>
      <c r="E7878">
        <v>11.176</v>
      </c>
      <c r="F7878">
        <v>1</v>
      </c>
      <c r="G7878">
        <v>0.2</v>
      </c>
      <c r="H7878">
        <v>0.83819999999999995</v>
      </c>
      <c r="U7878">
        <v>0.83819999999999995</v>
      </c>
    </row>
    <row r="7879" spans="1:21" x14ac:dyDescent="0.35">
      <c r="A7879" s="1">
        <v>42341</v>
      </c>
      <c r="B7879" t="s">
        <v>1559</v>
      </c>
      <c r="C7879" t="s">
        <v>8</v>
      </c>
      <c r="D7879" t="s">
        <v>1713</v>
      </c>
      <c r="E7879">
        <v>5.04</v>
      </c>
      <c r="F7879">
        <v>2</v>
      </c>
      <c r="G7879">
        <v>0.2</v>
      </c>
      <c r="H7879">
        <v>1.764</v>
      </c>
      <c r="U7879">
        <v>1.764</v>
      </c>
    </row>
    <row r="7880" spans="1:21" x14ac:dyDescent="0.35">
      <c r="A7880" t="s">
        <v>1640</v>
      </c>
      <c r="B7880" t="s">
        <v>2238</v>
      </c>
      <c r="C7880" t="s">
        <v>35</v>
      </c>
      <c r="D7880" t="s">
        <v>2686</v>
      </c>
      <c r="E7880">
        <v>242.17599999999999</v>
      </c>
      <c r="F7880">
        <v>4</v>
      </c>
      <c r="G7880">
        <v>0.6</v>
      </c>
      <c r="H7880">
        <v>-302.72000000000003</v>
      </c>
      <c r="U7880">
        <v>-302.72000000000003</v>
      </c>
    </row>
    <row r="7881" spans="1:21" x14ac:dyDescent="0.35">
      <c r="A7881" t="s">
        <v>737</v>
      </c>
      <c r="B7881" t="s">
        <v>185</v>
      </c>
      <c r="C7881" t="s">
        <v>55</v>
      </c>
      <c r="D7881" t="s">
        <v>2515</v>
      </c>
      <c r="E7881">
        <v>337.17599999999999</v>
      </c>
      <c r="F7881">
        <v>2</v>
      </c>
      <c r="G7881">
        <v>0.4</v>
      </c>
      <c r="H7881">
        <v>-118.0116</v>
      </c>
      <c r="U7881">
        <v>-118.0116</v>
      </c>
    </row>
    <row r="7882" spans="1:21" x14ac:dyDescent="0.35">
      <c r="A7882" s="1">
        <v>42806</v>
      </c>
      <c r="B7882" t="s">
        <v>212</v>
      </c>
      <c r="C7882" t="s">
        <v>13</v>
      </c>
      <c r="D7882" t="s">
        <v>847</v>
      </c>
      <c r="E7882">
        <v>13.343999999999999</v>
      </c>
      <c r="F7882">
        <v>6</v>
      </c>
      <c r="G7882">
        <v>0.2</v>
      </c>
      <c r="H7882">
        <v>1.0007999999999999</v>
      </c>
      <c r="U7882">
        <v>1.0007999999999999</v>
      </c>
    </row>
    <row r="7883" spans="1:21" x14ac:dyDescent="0.35">
      <c r="A7883" s="1">
        <v>42806</v>
      </c>
      <c r="B7883" t="s">
        <v>212</v>
      </c>
      <c r="C7883" t="s">
        <v>13</v>
      </c>
      <c r="D7883" t="s">
        <v>1791</v>
      </c>
      <c r="E7883">
        <v>76.751999999999995</v>
      </c>
      <c r="F7883">
        <v>6</v>
      </c>
      <c r="G7883">
        <v>0.2</v>
      </c>
      <c r="H7883">
        <v>10.5534</v>
      </c>
      <c r="U7883">
        <v>10.5534</v>
      </c>
    </row>
    <row r="7884" spans="1:21" x14ac:dyDescent="0.35">
      <c r="A7884" s="1">
        <v>42806</v>
      </c>
      <c r="B7884" t="s">
        <v>212</v>
      </c>
      <c r="C7884" t="s">
        <v>13</v>
      </c>
      <c r="D7884" t="s">
        <v>1791</v>
      </c>
      <c r="E7884">
        <v>102.336</v>
      </c>
      <c r="F7884">
        <v>8</v>
      </c>
      <c r="G7884">
        <v>0.2</v>
      </c>
      <c r="H7884">
        <v>14.071199999999999</v>
      </c>
      <c r="U7884">
        <v>14.071199999999999</v>
      </c>
    </row>
    <row r="7885" spans="1:21" x14ac:dyDescent="0.35">
      <c r="A7885" s="1">
        <v>42806</v>
      </c>
      <c r="B7885" t="s">
        <v>212</v>
      </c>
      <c r="C7885" t="s">
        <v>13</v>
      </c>
      <c r="D7885" t="s">
        <v>2204</v>
      </c>
      <c r="E7885">
        <v>10.32</v>
      </c>
      <c r="F7885">
        <v>2</v>
      </c>
      <c r="G7885">
        <v>0.2</v>
      </c>
      <c r="H7885">
        <v>3.7410000000000001</v>
      </c>
      <c r="U7885">
        <v>3.7410000000000001</v>
      </c>
    </row>
    <row r="7886" spans="1:21" x14ac:dyDescent="0.35">
      <c r="A7886" s="1">
        <v>42806</v>
      </c>
      <c r="B7886" t="s">
        <v>212</v>
      </c>
      <c r="C7886" t="s">
        <v>13</v>
      </c>
      <c r="D7886" t="s">
        <v>2412</v>
      </c>
      <c r="E7886">
        <v>47.32</v>
      </c>
      <c r="F7886">
        <v>7</v>
      </c>
      <c r="G7886">
        <v>0.2</v>
      </c>
      <c r="H7886">
        <v>5.915</v>
      </c>
      <c r="U7886">
        <v>5.915</v>
      </c>
    </row>
    <row r="7887" spans="1:21" x14ac:dyDescent="0.35">
      <c r="A7887" s="1">
        <v>42806</v>
      </c>
      <c r="B7887" t="s">
        <v>212</v>
      </c>
      <c r="C7887" t="s">
        <v>13</v>
      </c>
      <c r="D7887" t="s">
        <v>441</v>
      </c>
      <c r="E7887">
        <v>23.376000000000001</v>
      </c>
      <c r="F7887">
        <v>3</v>
      </c>
      <c r="G7887">
        <v>0.2</v>
      </c>
      <c r="H7887">
        <v>7.0128000000000004</v>
      </c>
      <c r="U7887">
        <v>7.0128000000000004</v>
      </c>
    </row>
    <row r="7888" spans="1:21" x14ac:dyDescent="0.35">
      <c r="A7888" s="1">
        <v>42806</v>
      </c>
      <c r="B7888" t="s">
        <v>212</v>
      </c>
      <c r="C7888" t="s">
        <v>13</v>
      </c>
      <c r="D7888" t="s">
        <v>1657</v>
      </c>
      <c r="E7888">
        <v>16.72</v>
      </c>
      <c r="F7888">
        <v>5</v>
      </c>
      <c r="G7888">
        <v>0.2</v>
      </c>
      <c r="H7888">
        <v>3.3439999999999999</v>
      </c>
      <c r="U7888">
        <v>3.3439999999999999</v>
      </c>
    </row>
    <row r="7889" spans="1:21" x14ac:dyDescent="0.35">
      <c r="A7889" s="1">
        <v>42806</v>
      </c>
      <c r="B7889" t="s">
        <v>212</v>
      </c>
      <c r="C7889" t="s">
        <v>13</v>
      </c>
      <c r="D7889" t="s">
        <v>2507</v>
      </c>
      <c r="E7889">
        <v>16.192</v>
      </c>
      <c r="F7889">
        <v>1</v>
      </c>
      <c r="G7889">
        <v>0.2</v>
      </c>
      <c r="H7889">
        <v>4.6551999999999998</v>
      </c>
      <c r="U7889">
        <v>4.6551999999999998</v>
      </c>
    </row>
    <row r="7890" spans="1:21" x14ac:dyDescent="0.35">
      <c r="A7890" t="s">
        <v>2193</v>
      </c>
      <c r="B7890" t="s">
        <v>790</v>
      </c>
      <c r="C7890" t="s">
        <v>13</v>
      </c>
      <c r="D7890" t="s">
        <v>1250</v>
      </c>
      <c r="E7890">
        <v>32.4</v>
      </c>
      <c r="F7890">
        <v>5</v>
      </c>
      <c r="G7890">
        <v>0</v>
      </c>
      <c r="H7890">
        <v>15.552</v>
      </c>
      <c r="U7890">
        <v>15.552</v>
      </c>
    </row>
    <row r="7891" spans="1:21" x14ac:dyDescent="0.35">
      <c r="A7891" t="s">
        <v>1545</v>
      </c>
      <c r="B7891" t="s">
        <v>2641</v>
      </c>
      <c r="C7891" t="s">
        <v>8</v>
      </c>
      <c r="D7891" t="s">
        <v>854</v>
      </c>
      <c r="E7891">
        <v>19.89</v>
      </c>
      <c r="F7891">
        <v>9</v>
      </c>
      <c r="G7891">
        <v>0</v>
      </c>
      <c r="H7891">
        <v>5.3703000000000003</v>
      </c>
      <c r="U7891">
        <v>5.3703000000000003</v>
      </c>
    </row>
    <row r="7892" spans="1:21" x14ac:dyDescent="0.35">
      <c r="A7892" t="s">
        <v>1545</v>
      </c>
      <c r="B7892" t="s">
        <v>2641</v>
      </c>
      <c r="C7892" t="s">
        <v>8</v>
      </c>
      <c r="D7892" t="s">
        <v>1158</v>
      </c>
      <c r="E7892">
        <v>399.98</v>
      </c>
      <c r="F7892">
        <v>2</v>
      </c>
      <c r="G7892">
        <v>0</v>
      </c>
      <c r="H7892">
        <v>171.9914</v>
      </c>
      <c r="U7892">
        <v>171.9914</v>
      </c>
    </row>
    <row r="7893" spans="1:21" x14ac:dyDescent="0.35">
      <c r="A7893" t="s">
        <v>1545</v>
      </c>
      <c r="B7893" t="s">
        <v>2641</v>
      </c>
      <c r="C7893" t="s">
        <v>8</v>
      </c>
      <c r="D7893" t="s">
        <v>1031</v>
      </c>
      <c r="E7893">
        <v>343.85</v>
      </c>
      <c r="F7893">
        <v>5</v>
      </c>
      <c r="G7893">
        <v>0</v>
      </c>
      <c r="H7893">
        <v>137.54</v>
      </c>
      <c r="U7893">
        <v>137.54</v>
      </c>
    </row>
    <row r="7894" spans="1:21" x14ac:dyDescent="0.35">
      <c r="A7894" t="s">
        <v>1545</v>
      </c>
      <c r="B7894" t="s">
        <v>2641</v>
      </c>
      <c r="C7894" t="s">
        <v>8</v>
      </c>
      <c r="D7894" t="s">
        <v>2596</v>
      </c>
      <c r="E7894">
        <v>106.32</v>
      </c>
      <c r="F7894">
        <v>3</v>
      </c>
      <c r="G7894">
        <v>0</v>
      </c>
      <c r="H7894">
        <v>49.970399999999998</v>
      </c>
      <c r="U7894">
        <v>49.970399999999998</v>
      </c>
    </row>
    <row r="7895" spans="1:21" x14ac:dyDescent="0.35">
      <c r="A7895" t="s">
        <v>1099</v>
      </c>
      <c r="B7895" t="s">
        <v>558</v>
      </c>
      <c r="C7895" t="s">
        <v>55</v>
      </c>
      <c r="D7895" t="s">
        <v>624</v>
      </c>
      <c r="E7895">
        <v>13.92</v>
      </c>
      <c r="F7895">
        <v>3</v>
      </c>
      <c r="G7895">
        <v>0.2</v>
      </c>
      <c r="H7895">
        <v>4.3499999999999996</v>
      </c>
      <c r="U7895">
        <v>4.3499999999999996</v>
      </c>
    </row>
    <row r="7896" spans="1:21" x14ac:dyDescent="0.35">
      <c r="A7896" t="s">
        <v>1176</v>
      </c>
      <c r="B7896" t="s">
        <v>1011</v>
      </c>
      <c r="C7896" t="s">
        <v>55</v>
      </c>
      <c r="D7896" t="s">
        <v>192</v>
      </c>
      <c r="E7896">
        <v>82.4</v>
      </c>
      <c r="F7896">
        <v>5</v>
      </c>
      <c r="G7896">
        <v>0</v>
      </c>
      <c r="H7896">
        <v>40.375999999999998</v>
      </c>
      <c r="U7896">
        <v>40.375999999999998</v>
      </c>
    </row>
    <row r="7897" spans="1:21" x14ac:dyDescent="0.35">
      <c r="A7897" t="s">
        <v>1176</v>
      </c>
      <c r="B7897" t="s">
        <v>1011</v>
      </c>
      <c r="C7897" t="s">
        <v>55</v>
      </c>
      <c r="D7897" t="s">
        <v>1292</v>
      </c>
      <c r="E7897">
        <v>6.24</v>
      </c>
      <c r="F7897">
        <v>2</v>
      </c>
      <c r="G7897">
        <v>0</v>
      </c>
      <c r="H7897">
        <v>3.0575999999999999</v>
      </c>
      <c r="U7897">
        <v>3.0575999999999999</v>
      </c>
    </row>
    <row r="7898" spans="1:21" x14ac:dyDescent="0.35">
      <c r="A7898" t="s">
        <v>1176</v>
      </c>
      <c r="B7898" t="s">
        <v>1011</v>
      </c>
      <c r="C7898" t="s">
        <v>55</v>
      </c>
      <c r="D7898" t="s">
        <v>698</v>
      </c>
      <c r="E7898">
        <v>447.84</v>
      </c>
      <c r="F7898">
        <v>8</v>
      </c>
      <c r="G7898">
        <v>0</v>
      </c>
      <c r="H7898">
        <v>219.44159999999999</v>
      </c>
      <c r="U7898">
        <v>219.44159999999999</v>
      </c>
    </row>
    <row r="7899" spans="1:21" x14ac:dyDescent="0.35">
      <c r="A7899" t="s">
        <v>2251</v>
      </c>
      <c r="B7899" t="s">
        <v>1520</v>
      </c>
      <c r="C7899" t="s">
        <v>8</v>
      </c>
      <c r="D7899" t="s">
        <v>973</v>
      </c>
      <c r="E7899">
        <v>272.048</v>
      </c>
      <c r="F7899">
        <v>7</v>
      </c>
      <c r="G7899">
        <v>0.2</v>
      </c>
      <c r="H7899">
        <v>30.605399999999999</v>
      </c>
      <c r="U7899">
        <v>30.605399999999999</v>
      </c>
    </row>
    <row r="7900" spans="1:21" x14ac:dyDescent="0.35">
      <c r="A7900" t="s">
        <v>2251</v>
      </c>
      <c r="B7900" t="s">
        <v>1520</v>
      </c>
      <c r="C7900" t="s">
        <v>8</v>
      </c>
      <c r="D7900" t="s">
        <v>1886</v>
      </c>
      <c r="E7900">
        <v>1614.5820000000001</v>
      </c>
      <c r="F7900">
        <v>6</v>
      </c>
      <c r="G7900">
        <v>0.7</v>
      </c>
      <c r="H7900">
        <v>-1237.8462</v>
      </c>
      <c r="U7900">
        <v>-1237.8462</v>
      </c>
    </row>
    <row r="7901" spans="1:21" x14ac:dyDescent="0.35">
      <c r="A7901" t="s">
        <v>2251</v>
      </c>
      <c r="B7901" t="s">
        <v>1520</v>
      </c>
      <c r="C7901" t="s">
        <v>8</v>
      </c>
      <c r="D7901" t="s">
        <v>263</v>
      </c>
      <c r="E7901">
        <v>24.32</v>
      </c>
      <c r="F7901">
        <v>5</v>
      </c>
      <c r="G7901">
        <v>0.2</v>
      </c>
      <c r="H7901">
        <v>9.1199999999999992</v>
      </c>
      <c r="U7901">
        <v>9.1199999999999992</v>
      </c>
    </row>
    <row r="7902" spans="1:21" x14ac:dyDescent="0.35">
      <c r="A7902" t="s">
        <v>2251</v>
      </c>
      <c r="B7902" t="s">
        <v>1520</v>
      </c>
      <c r="C7902" t="s">
        <v>8</v>
      </c>
      <c r="D7902" t="s">
        <v>2226</v>
      </c>
      <c r="E7902">
        <v>1.5840000000000001</v>
      </c>
      <c r="F7902">
        <v>2</v>
      </c>
      <c r="G7902">
        <v>0.2</v>
      </c>
      <c r="H7902">
        <v>0.47520000000000001</v>
      </c>
      <c r="U7902">
        <v>0.47520000000000001</v>
      </c>
    </row>
    <row r="7903" spans="1:21" x14ac:dyDescent="0.35">
      <c r="A7903" t="s">
        <v>2251</v>
      </c>
      <c r="B7903" t="s">
        <v>1520</v>
      </c>
      <c r="C7903" t="s">
        <v>8</v>
      </c>
      <c r="D7903" t="s">
        <v>1494</v>
      </c>
      <c r="E7903">
        <v>31.984000000000002</v>
      </c>
      <c r="F7903">
        <v>1</v>
      </c>
      <c r="G7903">
        <v>0.2</v>
      </c>
      <c r="H7903">
        <v>0</v>
      </c>
      <c r="U7903">
        <v>0</v>
      </c>
    </row>
    <row r="7904" spans="1:21" x14ac:dyDescent="0.35">
      <c r="A7904" t="s">
        <v>2251</v>
      </c>
      <c r="B7904" t="s">
        <v>1520</v>
      </c>
      <c r="C7904" t="s">
        <v>8</v>
      </c>
      <c r="D7904" t="s">
        <v>824</v>
      </c>
      <c r="E7904">
        <v>14.76</v>
      </c>
      <c r="F7904">
        <v>5</v>
      </c>
      <c r="G7904">
        <v>0.2</v>
      </c>
      <c r="H7904">
        <v>4.7969999999999997</v>
      </c>
      <c r="U7904">
        <v>4.7969999999999997</v>
      </c>
    </row>
    <row r="7905" spans="1:21" x14ac:dyDescent="0.35">
      <c r="A7905" t="s">
        <v>2251</v>
      </c>
      <c r="B7905" t="s">
        <v>1520</v>
      </c>
      <c r="C7905" t="s">
        <v>8</v>
      </c>
      <c r="D7905" t="s">
        <v>2675</v>
      </c>
      <c r="E7905">
        <v>423.64800000000002</v>
      </c>
      <c r="F7905">
        <v>2</v>
      </c>
      <c r="G7905">
        <v>0.2</v>
      </c>
      <c r="H7905">
        <v>47.660400000000003</v>
      </c>
      <c r="U7905">
        <v>47.660400000000003</v>
      </c>
    </row>
    <row r="7906" spans="1:21" x14ac:dyDescent="0.35">
      <c r="A7906" s="1">
        <v>42196</v>
      </c>
      <c r="B7906" t="s">
        <v>2631</v>
      </c>
      <c r="C7906" t="s">
        <v>35</v>
      </c>
      <c r="D7906" t="s">
        <v>1730</v>
      </c>
      <c r="E7906">
        <v>76.64</v>
      </c>
      <c r="F7906">
        <v>2</v>
      </c>
      <c r="G7906">
        <v>0.2</v>
      </c>
      <c r="H7906">
        <v>26.824000000000002</v>
      </c>
      <c r="U7906">
        <v>26.824000000000002</v>
      </c>
    </row>
    <row r="7907" spans="1:21" x14ac:dyDescent="0.35">
      <c r="A7907" t="s">
        <v>222</v>
      </c>
      <c r="B7907" t="s">
        <v>257</v>
      </c>
      <c r="C7907" t="s">
        <v>35</v>
      </c>
      <c r="D7907" t="s">
        <v>314</v>
      </c>
      <c r="E7907">
        <v>4.4640000000000004</v>
      </c>
      <c r="F7907">
        <v>1</v>
      </c>
      <c r="G7907">
        <v>0.2</v>
      </c>
      <c r="H7907">
        <v>1.6739999999999999</v>
      </c>
      <c r="U7907">
        <v>1.6739999999999999</v>
      </c>
    </row>
    <row r="7908" spans="1:21" x14ac:dyDescent="0.35">
      <c r="A7908" t="s">
        <v>222</v>
      </c>
      <c r="B7908" t="s">
        <v>257</v>
      </c>
      <c r="C7908" t="s">
        <v>35</v>
      </c>
      <c r="D7908" t="s">
        <v>1533</v>
      </c>
      <c r="E7908">
        <v>3.96</v>
      </c>
      <c r="F7908">
        <v>10</v>
      </c>
      <c r="G7908">
        <v>0.8</v>
      </c>
      <c r="H7908">
        <v>-6.93</v>
      </c>
      <c r="U7908">
        <v>-6.93</v>
      </c>
    </row>
    <row r="7909" spans="1:21" x14ac:dyDescent="0.35">
      <c r="A7909" t="s">
        <v>2003</v>
      </c>
      <c r="B7909" t="s">
        <v>1257</v>
      </c>
      <c r="C7909" t="s">
        <v>13</v>
      </c>
      <c r="D7909" t="s">
        <v>1435</v>
      </c>
      <c r="E7909">
        <v>715.64</v>
      </c>
      <c r="F7909">
        <v>2</v>
      </c>
      <c r="G7909">
        <v>0</v>
      </c>
      <c r="H7909">
        <v>178.91</v>
      </c>
      <c r="U7909">
        <v>178.91</v>
      </c>
    </row>
    <row r="7910" spans="1:21" x14ac:dyDescent="0.35">
      <c r="A7910" s="1">
        <v>42441</v>
      </c>
      <c r="B7910" t="s">
        <v>2504</v>
      </c>
      <c r="C7910" t="s">
        <v>13</v>
      </c>
      <c r="D7910" t="s">
        <v>1408</v>
      </c>
      <c r="E7910">
        <v>268.70400000000001</v>
      </c>
      <c r="F7910">
        <v>3</v>
      </c>
      <c r="G7910">
        <v>0.2</v>
      </c>
      <c r="H7910">
        <v>6.7176</v>
      </c>
      <c r="U7910">
        <v>6.7176</v>
      </c>
    </row>
    <row r="7911" spans="1:21" x14ac:dyDescent="0.35">
      <c r="A7911" s="1">
        <v>42441</v>
      </c>
      <c r="B7911" t="s">
        <v>2504</v>
      </c>
      <c r="C7911" t="s">
        <v>13</v>
      </c>
      <c r="D7911" t="s">
        <v>846</v>
      </c>
      <c r="E7911">
        <v>21.92</v>
      </c>
      <c r="F7911">
        <v>8</v>
      </c>
      <c r="G7911">
        <v>0</v>
      </c>
      <c r="H7911">
        <v>5.9184000000000001</v>
      </c>
      <c r="U7911">
        <v>5.9184000000000001</v>
      </c>
    </row>
    <row r="7912" spans="1:21" x14ac:dyDescent="0.35">
      <c r="A7912" s="1">
        <v>42441</v>
      </c>
      <c r="B7912" t="s">
        <v>2504</v>
      </c>
      <c r="C7912" t="s">
        <v>13</v>
      </c>
      <c r="D7912" t="s">
        <v>1258</v>
      </c>
      <c r="E7912">
        <v>48.72</v>
      </c>
      <c r="F7912">
        <v>3</v>
      </c>
      <c r="G7912">
        <v>0</v>
      </c>
      <c r="H7912">
        <v>7.3079999999999998</v>
      </c>
      <c r="U7912">
        <v>7.3079999999999998</v>
      </c>
    </row>
    <row r="7913" spans="1:21" x14ac:dyDescent="0.35">
      <c r="A7913" s="1">
        <v>42441</v>
      </c>
      <c r="B7913" t="s">
        <v>2504</v>
      </c>
      <c r="C7913" t="s">
        <v>13</v>
      </c>
      <c r="D7913" t="s">
        <v>813</v>
      </c>
      <c r="E7913">
        <v>205.666</v>
      </c>
      <c r="F7913">
        <v>2</v>
      </c>
      <c r="G7913">
        <v>0.15</v>
      </c>
      <c r="H7913">
        <v>-12.098000000000001</v>
      </c>
      <c r="U7913">
        <v>-12.098000000000001</v>
      </c>
    </row>
    <row r="7914" spans="1:21" x14ac:dyDescent="0.35">
      <c r="A7914" t="s">
        <v>611</v>
      </c>
      <c r="B7914" t="s">
        <v>1024</v>
      </c>
      <c r="C7914" t="s">
        <v>35</v>
      </c>
      <c r="D7914" t="s">
        <v>1332</v>
      </c>
      <c r="E7914">
        <v>30.344000000000001</v>
      </c>
      <c r="F7914">
        <v>2</v>
      </c>
      <c r="G7914">
        <v>0.6</v>
      </c>
      <c r="H7914">
        <v>-31.8612</v>
      </c>
      <c r="U7914">
        <v>-31.8612</v>
      </c>
    </row>
    <row r="7915" spans="1:21" x14ac:dyDescent="0.35">
      <c r="A7915" t="s">
        <v>1220</v>
      </c>
      <c r="B7915" t="s">
        <v>1912</v>
      </c>
      <c r="C7915" t="s">
        <v>55</v>
      </c>
      <c r="D7915" t="s">
        <v>1954</v>
      </c>
      <c r="E7915">
        <v>25.696000000000002</v>
      </c>
      <c r="F7915">
        <v>2</v>
      </c>
      <c r="G7915">
        <v>0.2</v>
      </c>
      <c r="H7915">
        <v>1.9272</v>
      </c>
      <c r="U7915">
        <v>1.9272</v>
      </c>
    </row>
    <row r="7916" spans="1:21" x14ac:dyDescent="0.35">
      <c r="A7916" t="s">
        <v>197</v>
      </c>
      <c r="B7916" t="s">
        <v>1004</v>
      </c>
      <c r="C7916" t="s">
        <v>55</v>
      </c>
      <c r="D7916" t="s">
        <v>2706</v>
      </c>
      <c r="E7916">
        <v>3404.5</v>
      </c>
      <c r="F7916">
        <v>5</v>
      </c>
      <c r="G7916">
        <v>0</v>
      </c>
      <c r="H7916">
        <v>1668.2049999999999</v>
      </c>
      <c r="U7916">
        <v>1668.2049999999999</v>
      </c>
    </row>
    <row r="7917" spans="1:21" x14ac:dyDescent="0.35">
      <c r="A7917" t="s">
        <v>197</v>
      </c>
      <c r="B7917" t="s">
        <v>1004</v>
      </c>
      <c r="C7917" t="s">
        <v>55</v>
      </c>
      <c r="D7917" t="s">
        <v>2599</v>
      </c>
      <c r="E7917">
        <v>101.34</v>
      </c>
      <c r="F7917">
        <v>3</v>
      </c>
      <c r="G7917">
        <v>0</v>
      </c>
      <c r="H7917">
        <v>8.1072000000000006</v>
      </c>
      <c r="U7917">
        <v>8.1072000000000006</v>
      </c>
    </row>
    <row r="7918" spans="1:21" x14ac:dyDescent="0.35">
      <c r="A7918" t="s">
        <v>1187</v>
      </c>
      <c r="B7918" t="s">
        <v>1085</v>
      </c>
      <c r="C7918" t="s">
        <v>55</v>
      </c>
      <c r="D7918" t="s">
        <v>1397</v>
      </c>
      <c r="E7918">
        <v>344.37200000000001</v>
      </c>
      <c r="F7918">
        <v>4</v>
      </c>
      <c r="G7918">
        <v>0.3</v>
      </c>
      <c r="H7918">
        <v>-93.472399999999993</v>
      </c>
      <c r="U7918">
        <v>-93.472399999999993</v>
      </c>
    </row>
    <row r="7919" spans="1:21" x14ac:dyDescent="0.35">
      <c r="A7919" s="1">
        <v>42834</v>
      </c>
      <c r="B7919" t="s">
        <v>1604</v>
      </c>
      <c r="C7919" t="s">
        <v>35</v>
      </c>
      <c r="D7919" t="s">
        <v>230</v>
      </c>
      <c r="E7919">
        <v>30.384</v>
      </c>
      <c r="F7919">
        <v>1</v>
      </c>
      <c r="G7919">
        <v>0.2</v>
      </c>
      <c r="H7919">
        <v>3.798</v>
      </c>
      <c r="U7919">
        <v>3.798</v>
      </c>
    </row>
    <row r="7920" spans="1:21" x14ac:dyDescent="0.35">
      <c r="A7920" s="1">
        <v>42101</v>
      </c>
      <c r="B7920" t="s">
        <v>2224</v>
      </c>
      <c r="C7920" t="s">
        <v>13</v>
      </c>
      <c r="D7920" t="s">
        <v>531</v>
      </c>
      <c r="E7920">
        <v>22.847999999999999</v>
      </c>
      <c r="F7920">
        <v>2</v>
      </c>
      <c r="G7920">
        <v>0.2</v>
      </c>
      <c r="H7920">
        <v>7.4256000000000002</v>
      </c>
      <c r="U7920">
        <v>7.4256000000000002</v>
      </c>
    </row>
    <row r="7921" spans="1:21" x14ac:dyDescent="0.35">
      <c r="A7921" t="s">
        <v>86</v>
      </c>
      <c r="B7921" t="s">
        <v>2225</v>
      </c>
      <c r="C7921" t="s">
        <v>55</v>
      </c>
      <c r="D7921" t="s">
        <v>1940</v>
      </c>
      <c r="E7921">
        <v>38.619999999999997</v>
      </c>
      <c r="F7921">
        <v>2</v>
      </c>
      <c r="G7921">
        <v>0</v>
      </c>
      <c r="H7921">
        <v>10.813599999999999</v>
      </c>
      <c r="U7921">
        <v>10.813599999999999</v>
      </c>
    </row>
    <row r="7922" spans="1:21" x14ac:dyDescent="0.35">
      <c r="A7922" t="s">
        <v>86</v>
      </c>
      <c r="B7922" t="s">
        <v>2225</v>
      </c>
      <c r="C7922" t="s">
        <v>55</v>
      </c>
      <c r="D7922" t="s">
        <v>2453</v>
      </c>
      <c r="E7922">
        <v>59.98</v>
      </c>
      <c r="F7922">
        <v>2</v>
      </c>
      <c r="G7922">
        <v>0</v>
      </c>
      <c r="H7922">
        <v>10.7964</v>
      </c>
      <c r="U7922">
        <v>10.7964</v>
      </c>
    </row>
    <row r="7923" spans="1:21" x14ac:dyDescent="0.35">
      <c r="A7923" t="s">
        <v>1906</v>
      </c>
      <c r="B7923" t="s">
        <v>2285</v>
      </c>
      <c r="C7923" t="s">
        <v>55</v>
      </c>
      <c r="D7923" t="s">
        <v>1531</v>
      </c>
      <c r="E7923">
        <v>174.3</v>
      </c>
      <c r="F7923">
        <v>3</v>
      </c>
      <c r="G7923">
        <v>0</v>
      </c>
      <c r="H7923">
        <v>81.921000000000006</v>
      </c>
      <c r="U7923">
        <v>81.921000000000006</v>
      </c>
    </row>
    <row r="7924" spans="1:21" x14ac:dyDescent="0.35">
      <c r="A7924" t="s">
        <v>978</v>
      </c>
      <c r="B7924" t="s">
        <v>1605</v>
      </c>
      <c r="C7924" t="s">
        <v>8</v>
      </c>
      <c r="D7924" t="s">
        <v>2301</v>
      </c>
      <c r="E7924">
        <v>383.96</v>
      </c>
      <c r="F7924">
        <v>5</v>
      </c>
      <c r="G7924">
        <v>0.2</v>
      </c>
      <c r="H7924">
        <v>38.396000000000001</v>
      </c>
      <c r="U7924">
        <v>38.396000000000001</v>
      </c>
    </row>
    <row r="7925" spans="1:21" x14ac:dyDescent="0.35">
      <c r="A7925" t="s">
        <v>978</v>
      </c>
      <c r="B7925" t="s">
        <v>1605</v>
      </c>
      <c r="C7925" t="s">
        <v>8</v>
      </c>
      <c r="D7925" t="s">
        <v>316</v>
      </c>
      <c r="E7925">
        <v>15.57</v>
      </c>
      <c r="F7925">
        <v>3</v>
      </c>
      <c r="G7925">
        <v>0.7</v>
      </c>
      <c r="H7925">
        <v>-11.417999999999999</v>
      </c>
      <c r="U7925">
        <v>-11.417999999999999</v>
      </c>
    </row>
    <row r="7926" spans="1:21" x14ac:dyDescent="0.35">
      <c r="A7926" t="s">
        <v>1808</v>
      </c>
      <c r="B7926" t="s">
        <v>690</v>
      </c>
      <c r="C7926" t="s">
        <v>8</v>
      </c>
      <c r="D7926" t="s">
        <v>164</v>
      </c>
      <c r="E7926">
        <v>22.32</v>
      </c>
      <c r="F7926">
        <v>4</v>
      </c>
      <c r="G7926">
        <v>0</v>
      </c>
      <c r="H7926">
        <v>10.7136</v>
      </c>
      <c r="U7926">
        <v>10.7136</v>
      </c>
    </row>
    <row r="7927" spans="1:21" x14ac:dyDescent="0.35">
      <c r="A7927" t="s">
        <v>1808</v>
      </c>
      <c r="B7927" t="s">
        <v>690</v>
      </c>
      <c r="C7927" t="s">
        <v>8</v>
      </c>
      <c r="D7927" t="s">
        <v>812</v>
      </c>
      <c r="E7927">
        <v>103.6</v>
      </c>
      <c r="F7927">
        <v>7</v>
      </c>
      <c r="G7927">
        <v>0</v>
      </c>
      <c r="H7927">
        <v>51.8</v>
      </c>
      <c r="U7927">
        <v>51.8</v>
      </c>
    </row>
    <row r="7928" spans="1:21" x14ac:dyDescent="0.35">
      <c r="A7928" t="s">
        <v>905</v>
      </c>
      <c r="B7928" t="s">
        <v>1859</v>
      </c>
      <c r="C7928" t="s">
        <v>55</v>
      </c>
      <c r="D7928" t="s">
        <v>2232</v>
      </c>
      <c r="E7928">
        <v>2.97</v>
      </c>
      <c r="F7928">
        <v>3</v>
      </c>
      <c r="G7928">
        <v>0</v>
      </c>
      <c r="H7928">
        <v>1.3365</v>
      </c>
      <c r="U7928">
        <v>1.3365</v>
      </c>
    </row>
    <row r="7929" spans="1:21" x14ac:dyDescent="0.35">
      <c r="A7929" t="s">
        <v>905</v>
      </c>
      <c r="B7929" t="s">
        <v>1859</v>
      </c>
      <c r="C7929" t="s">
        <v>55</v>
      </c>
      <c r="D7929" t="s">
        <v>818</v>
      </c>
      <c r="E7929">
        <v>569.99</v>
      </c>
      <c r="F7929">
        <v>1</v>
      </c>
      <c r="G7929">
        <v>0</v>
      </c>
      <c r="H7929">
        <v>170.99700000000001</v>
      </c>
      <c r="U7929">
        <v>170.99700000000001</v>
      </c>
    </row>
    <row r="7930" spans="1:21" x14ac:dyDescent="0.35">
      <c r="A7930" t="s">
        <v>905</v>
      </c>
      <c r="B7930" t="s">
        <v>1859</v>
      </c>
      <c r="C7930" t="s">
        <v>55</v>
      </c>
      <c r="D7930" t="s">
        <v>2663</v>
      </c>
      <c r="E7930">
        <v>50.97</v>
      </c>
      <c r="F7930">
        <v>3</v>
      </c>
      <c r="G7930">
        <v>0</v>
      </c>
      <c r="H7930">
        <v>9.1745999999999999</v>
      </c>
      <c r="U7930">
        <v>9.1745999999999999</v>
      </c>
    </row>
    <row r="7931" spans="1:21" x14ac:dyDescent="0.35">
      <c r="A7931" t="s">
        <v>998</v>
      </c>
      <c r="B7931" t="s">
        <v>2644</v>
      </c>
      <c r="C7931" t="s">
        <v>35</v>
      </c>
      <c r="D7931" t="s">
        <v>1876</v>
      </c>
      <c r="E7931">
        <v>298.11599999999999</v>
      </c>
      <c r="F7931">
        <v>6</v>
      </c>
      <c r="G7931">
        <v>0.3</v>
      </c>
      <c r="H7931">
        <v>-4.2587999999999999</v>
      </c>
      <c r="U7931">
        <v>-4.2587999999999999</v>
      </c>
    </row>
    <row r="7932" spans="1:21" x14ac:dyDescent="0.35">
      <c r="A7932" t="s">
        <v>1779</v>
      </c>
      <c r="B7932" t="s">
        <v>1626</v>
      </c>
      <c r="C7932" t="s">
        <v>55</v>
      </c>
      <c r="D7932" t="s">
        <v>1711</v>
      </c>
      <c r="E7932">
        <v>59.52</v>
      </c>
      <c r="F7932">
        <v>3</v>
      </c>
      <c r="G7932">
        <v>0</v>
      </c>
      <c r="H7932">
        <v>17.856000000000002</v>
      </c>
      <c r="U7932">
        <v>17.856000000000002</v>
      </c>
    </row>
    <row r="7933" spans="1:21" x14ac:dyDescent="0.35">
      <c r="A7933" t="s">
        <v>2034</v>
      </c>
      <c r="B7933" t="s">
        <v>1641</v>
      </c>
      <c r="C7933" t="s">
        <v>13</v>
      </c>
      <c r="D7933" t="s">
        <v>708</v>
      </c>
      <c r="E7933">
        <v>230.28</v>
      </c>
      <c r="F7933">
        <v>3</v>
      </c>
      <c r="G7933">
        <v>0.2</v>
      </c>
      <c r="H7933">
        <v>23.027999999999999</v>
      </c>
      <c r="U7933">
        <v>23.027999999999999</v>
      </c>
    </row>
    <row r="7934" spans="1:21" x14ac:dyDescent="0.35">
      <c r="A7934" t="s">
        <v>2034</v>
      </c>
      <c r="B7934" t="s">
        <v>1641</v>
      </c>
      <c r="C7934" t="s">
        <v>13</v>
      </c>
      <c r="D7934" t="s">
        <v>1588</v>
      </c>
      <c r="E7934">
        <v>105.52</v>
      </c>
      <c r="F7934">
        <v>5</v>
      </c>
      <c r="G7934">
        <v>0.2</v>
      </c>
      <c r="H7934">
        <v>34.293999999999997</v>
      </c>
      <c r="U7934">
        <v>34.293999999999997</v>
      </c>
    </row>
    <row r="7935" spans="1:21" x14ac:dyDescent="0.35">
      <c r="A7935" t="s">
        <v>1900</v>
      </c>
      <c r="B7935" t="s">
        <v>1624</v>
      </c>
      <c r="C7935" t="s">
        <v>13</v>
      </c>
      <c r="D7935" t="s">
        <v>314</v>
      </c>
      <c r="E7935">
        <v>23.36</v>
      </c>
      <c r="F7935">
        <v>2</v>
      </c>
      <c r="G7935">
        <v>0</v>
      </c>
      <c r="H7935">
        <v>11.68</v>
      </c>
      <c r="U7935">
        <v>11.68</v>
      </c>
    </row>
    <row r="7936" spans="1:21" x14ac:dyDescent="0.35">
      <c r="A7936" t="s">
        <v>1900</v>
      </c>
      <c r="B7936" t="s">
        <v>1624</v>
      </c>
      <c r="C7936" t="s">
        <v>13</v>
      </c>
      <c r="D7936" t="s">
        <v>1637</v>
      </c>
      <c r="E7936">
        <v>71.975999999999999</v>
      </c>
      <c r="F7936">
        <v>3</v>
      </c>
      <c r="G7936">
        <v>0.2</v>
      </c>
      <c r="H7936">
        <v>8.9969999999999999</v>
      </c>
      <c r="U7936">
        <v>8.9969999999999999</v>
      </c>
    </row>
    <row r="7937" spans="1:21" x14ac:dyDescent="0.35">
      <c r="A7937" t="s">
        <v>1900</v>
      </c>
      <c r="B7937" t="s">
        <v>1624</v>
      </c>
      <c r="C7937" t="s">
        <v>13</v>
      </c>
      <c r="D7937" t="s">
        <v>1812</v>
      </c>
      <c r="E7937">
        <v>8.56</v>
      </c>
      <c r="F7937">
        <v>2</v>
      </c>
      <c r="G7937">
        <v>0</v>
      </c>
      <c r="H7937">
        <v>3.8519999999999999</v>
      </c>
      <c r="U7937">
        <v>3.8519999999999999</v>
      </c>
    </row>
    <row r="7938" spans="1:21" x14ac:dyDescent="0.35">
      <c r="A7938" t="s">
        <v>1900</v>
      </c>
      <c r="B7938" t="s">
        <v>1624</v>
      </c>
      <c r="C7938" t="s">
        <v>13</v>
      </c>
      <c r="D7938" t="s">
        <v>2267</v>
      </c>
      <c r="E7938">
        <v>13.92</v>
      </c>
      <c r="F7938">
        <v>3</v>
      </c>
      <c r="G7938">
        <v>0.2</v>
      </c>
      <c r="H7938">
        <v>4.8719999999999999</v>
      </c>
      <c r="U7938">
        <v>4.8719999999999999</v>
      </c>
    </row>
    <row r="7939" spans="1:21" x14ac:dyDescent="0.35">
      <c r="A7939" t="s">
        <v>1900</v>
      </c>
      <c r="B7939" t="s">
        <v>1624</v>
      </c>
      <c r="C7939" t="s">
        <v>13</v>
      </c>
      <c r="D7939" t="s">
        <v>280</v>
      </c>
      <c r="E7939">
        <v>2518.29</v>
      </c>
      <c r="F7939">
        <v>9</v>
      </c>
      <c r="G7939">
        <v>0</v>
      </c>
      <c r="H7939">
        <v>654.75540000000001</v>
      </c>
      <c r="U7939">
        <v>654.75540000000001</v>
      </c>
    </row>
    <row r="7940" spans="1:21" x14ac:dyDescent="0.35">
      <c r="A7940" t="s">
        <v>1900</v>
      </c>
      <c r="B7940" t="s">
        <v>1624</v>
      </c>
      <c r="C7940" t="s">
        <v>13</v>
      </c>
      <c r="D7940" t="s">
        <v>1278</v>
      </c>
      <c r="E7940">
        <v>540.57000000000005</v>
      </c>
      <c r="F7940">
        <v>3</v>
      </c>
      <c r="G7940">
        <v>0</v>
      </c>
      <c r="H7940">
        <v>140.54820000000001</v>
      </c>
      <c r="U7940">
        <v>140.54820000000001</v>
      </c>
    </row>
    <row r="7941" spans="1:21" x14ac:dyDescent="0.35">
      <c r="A7941" t="s">
        <v>1900</v>
      </c>
      <c r="B7941" t="s">
        <v>1624</v>
      </c>
      <c r="C7941" t="s">
        <v>13</v>
      </c>
      <c r="D7941" t="s">
        <v>1166</v>
      </c>
      <c r="E7941">
        <v>221.05600000000001</v>
      </c>
      <c r="F7941">
        <v>8</v>
      </c>
      <c r="G7941">
        <v>0.2</v>
      </c>
      <c r="H7941">
        <v>77.369600000000005</v>
      </c>
      <c r="U7941">
        <v>77.369600000000005</v>
      </c>
    </row>
    <row r="7942" spans="1:21" x14ac:dyDescent="0.35">
      <c r="A7942" t="s">
        <v>2341</v>
      </c>
      <c r="B7942" t="s">
        <v>420</v>
      </c>
      <c r="C7942" t="s">
        <v>13</v>
      </c>
      <c r="D7942" t="s">
        <v>258</v>
      </c>
      <c r="E7942">
        <v>81.424000000000007</v>
      </c>
      <c r="F7942">
        <v>2</v>
      </c>
      <c r="G7942">
        <v>0.2</v>
      </c>
      <c r="H7942">
        <v>-9.1601999999999997</v>
      </c>
      <c r="U7942">
        <v>-9.1601999999999997</v>
      </c>
    </row>
    <row r="7943" spans="1:21" x14ac:dyDescent="0.35">
      <c r="A7943" t="s">
        <v>2341</v>
      </c>
      <c r="B7943" t="s">
        <v>420</v>
      </c>
      <c r="C7943" t="s">
        <v>13</v>
      </c>
      <c r="D7943" t="s">
        <v>297</v>
      </c>
      <c r="E7943">
        <v>134.80000000000001</v>
      </c>
      <c r="F7943">
        <v>10</v>
      </c>
      <c r="G7943">
        <v>0</v>
      </c>
      <c r="H7943">
        <v>35.048000000000002</v>
      </c>
      <c r="U7943">
        <v>35.048000000000002</v>
      </c>
    </row>
    <row r="7944" spans="1:21" x14ac:dyDescent="0.35">
      <c r="A7944" t="s">
        <v>226</v>
      </c>
      <c r="B7944" t="s">
        <v>1195</v>
      </c>
      <c r="C7944" t="s">
        <v>35</v>
      </c>
      <c r="D7944" t="s">
        <v>1251</v>
      </c>
      <c r="E7944">
        <v>39.582000000000001</v>
      </c>
      <c r="F7944">
        <v>9</v>
      </c>
      <c r="G7944">
        <v>0.8</v>
      </c>
      <c r="H7944">
        <v>-59.372999999999998</v>
      </c>
      <c r="U7944">
        <v>-59.372999999999998</v>
      </c>
    </row>
    <row r="7945" spans="1:21" x14ac:dyDescent="0.35">
      <c r="A7945" t="s">
        <v>226</v>
      </c>
      <c r="B7945" t="s">
        <v>1195</v>
      </c>
      <c r="C7945" t="s">
        <v>35</v>
      </c>
      <c r="D7945" t="s">
        <v>625</v>
      </c>
      <c r="E7945">
        <v>44.688000000000002</v>
      </c>
      <c r="F7945">
        <v>7</v>
      </c>
      <c r="G7945">
        <v>0.2</v>
      </c>
      <c r="H7945">
        <v>5.0274000000000001</v>
      </c>
      <c r="U7945">
        <v>5.0274000000000001</v>
      </c>
    </row>
    <row r="7946" spans="1:21" x14ac:dyDescent="0.35">
      <c r="A7946" t="s">
        <v>226</v>
      </c>
      <c r="B7946" t="s">
        <v>1195</v>
      </c>
      <c r="C7946" t="s">
        <v>35</v>
      </c>
      <c r="D7946" t="s">
        <v>2323</v>
      </c>
      <c r="E7946">
        <v>31.744</v>
      </c>
      <c r="F7946">
        <v>2</v>
      </c>
      <c r="G7946">
        <v>0.2</v>
      </c>
      <c r="H7946">
        <v>2.3807999999999998</v>
      </c>
      <c r="U7946">
        <v>2.3807999999999998</v>
      </c>
    </row>
    <row r="7947" spans="1:21" x14ac:dyDescent="0.35">
      <c r="A7947" t="s">
        <v>226</v>
      </c>
      <c r="B7947" t="s">
        <v>1195</v>
      </c>
      <c r="C7947" t="s">
        <v>35</v>
      </c>
      <c r="D7947" t="s">
        <v>1376</v>
      </c>
      <c r="E7947">
        <v>40.98</v>
      </c>
      <c r="F7947">
        <v>5</v>
      </c>
      <c r="G7947">
        <v>0.8</v>
      </c>
      <c r="H7947">
        <v>-65.567999999999998</v>
      </c>
      <c r="U7947">
        <v>-65.567999999999998</v>
      </c>
    </row>
    <row r="7948" spans="1:21" x14ac:dyDescent="0.35">
      <c r="A7948" t="s">
        <v>226</v>
      </c>
      <c r="B7948" t="s">
        <v>1195</v>
      </c>
      <c r="C7948" t="s">
        <v>35</v>
      </c>
      <c r="D7948" t="s">
        <v>1769</v>
      </c>
      <c r="E7948">
        <v>3.1680000000000001</v>
      </c>
      <c r="F7948">
        <v>3</v>
      </c>
      <c r="G7948">
        <v>0.8</v>
      </c>
      <c r="H7948">
        <v>-5.0688000000000004</v>
      </c>
      <c r="U7948">
        <v>-5.0688000000000004</v>
      </c>
    </row>
    <row r="7949" spans="1:21" x14ac:dyDescent="0.35">
      <c r="A7949" s="1">
        <v>41642</v>
      </c>
      <c r="B7949" t="s">
        <v>2124</v>
      </c>
      <c r="C7949" t="s">
        <v>35</v>
      </c>
      <c r="D7949" t="s">
        <v>1934</v>
      </c>
      <c r="E7949">
        <v>18.84</v>
      </c>
      <c r="F7949">
        <v>5</v>
      </c>
      <c r="G7949">
        <v>0.2</v>
      </c>
      <c r="H7949">
        <v>-3.5325000000000002</v>
      </c>
      <c r="U7949">
        <v>-3.5325000000000002</v>
      </c>
    </row>
    <row r="7950" spans="1:21" x14ac:dyDescent="0.35">
      <c r="A7950" s="1">
        <v>41642</v>
      </c>
      <c r="B7950" t="s">
        <v>2124</v>
      </c>
      <c r="C7950" t="s">
        <v>35</v>
      </c>
      <c r="D7950" t="s">
        <v>1460</v>
      </c>
      <c r="E7950">
        <v>362.25</v>
      </c>
      <c r="F7950">
        <v>6</v>
      </c>
      <c r="G7950">
        <v>0.3</v>
      </c>
      <c r="H7950">
        <v>0</v>
      </c>
      <c r="U7950">
        <v>0</v>
      </c>
    </row>
    <row r="7951" spans="1:21" x14ac:dyDescent="0.35">
      <c r="A7951" s="1">
        <v>41642</v>
      </c>
      <c r="B7951" t="s">
        <v>2124</v>
      </c>
      <c r="C7951" t="s">
        <v>35</v>
      </c>
      <c r="D7951" t="s">
        <v>1296</v>
      </c>
      <c r="E7951">
        <v>63.552</v>
      </c>
      <c r="F7951">
        <v>6</v>
      </c>
      <c r="G7951">
        <v>0.6</v>
      </c>
      <c r="H7951">
        <v>-34.953600000000002</v>
      </c>
      <c r="U7951">
        <v>-34.953600000000002</v>
      </c>
    </row>
    <row r="7952" spans="1:21" x14ac:dyDescent="0.35">
      <c r="A7952" s="1">
        <v>41642</v>
      </c>
      <c r="B7952" t="s">
        <v>2124</v>
      </c>
      <c r="C7952" t="s">
        <v>35</v>
      </c>
      <c r="D7952" t="s">
        <v>756</v>
      </c>
      <c r="E7952">
        <v>129.55199999999999</v>
      </c>
      <c r="F7952">
        <v>3</v>
      </c>
      <c r="G7952">
        <v>0.2</v>
      </c>
      <c r="H7952">
        <v>-22.671600000000002</v>
      </c>
      <c r="U7952">
        <v>-22.671600000000002</v>
      </c>
    </row>
    <row r="7953" spans="1:21" x14ac:dyDescent="0.35">
      <c r="A7953" t="s">
        <v>2102</v>
      </c>
      <c r="B7953" t="s">
        <v>199</v>
      </c>
      <c r="C7953" t="s">
        <v>55</v>
      </c>
      <c r="D7953" t="s">
        <v>2181</v>
      </c>
      <c r="E7953">
        <v>5.984</v>
      </c>
      <c r="F7953">
        <v>2</v>
      </c>
      <c r="G7953">
        <v>0.2</v>
      </c>
      <c r="H7953">
        <v>2.2440000000000002</v>
      </c>
      <c r="U7953">
        <v>2.2440000000000002</v>
      </c>
    </row>
    <row r="7954" spans="1:21" x14ac:dyDescent="0.35">
      <c r="A7954" t="s">
        <v>2102</v>
      </c>
      <c r="B7954" t="s">
        <v>199</v>
      </c>
      <c r="C7954" t="s">
        <v>55</v>
      </c>
      <c r="D7954" t="s">
        <v>2310</v>
      </c>
      <c r="E7954">
        <v>861.76</v>
      </c>
      <c r="F7954">
        <v>4</v>
      </c>
      <c r="G7954">
        <v>0</v>
      </c>
      <c r="H7954">
        <v>249.91040000000001</v>
      </c>
      <c r="U7954">
        <v>249.91040000000001</v>
      </c>
    </row>
    <row r="7955" spans="1:21" x14ac:dyDescent="0.35">
      <c r="A7955" s="1">
        <v>41643</v>
      </c>
      <c r="B7955" t="s">
        <v>1859</v>
      </c>
      <c r="C7955" t="s">
        <v>55</v>
      </c>
      <c r="D7955" t="s">
        <v>2633</v>
      </c>
      <c r="E7955">
        <v>66.959999999999994</v>
      </c>
      <c r="F7955">
        <v>4</v>
      </c>
      <c r="G7955">
        <v>0</v>
      </c>
      <c r="H7955">
        <v>2.6783999999999999</v>
      </c>
      <c r="U7955">
        <v>2.6783999999999999</v>
      </c>
    </row>
    <row r="7956" spans="1:21" x14ac:dyDescent="0.35">
      <c r="A7956" s="1">
        <v>41643</v>
      </c>
      <c r="B7956" t="s">
        <v>1859</v>
      </c>
      <c r="C7956" t="s">
        <v>55</v>
      </c>
      <c r="D7956" t="s">
        <v>1292</v>
      </c>
      <c r="E7956">
        <v>6.24</v>
      </c>
      <c r="F7956">
        <v>2</v>
      </c>
      <c r="G7956">
        <v>0</v>
      </c>
      <c r="H7956">
        <v>3.0575999999999999</v>
      </c>
      <c r="U7956">
        <v>3.0575999999999999</v>
      </c>
    </row>
    <row r="7957" spans="1:21" x14ac:dyDescent="0.35">
      <c r="A7957" s="1">
        <v>42865</v>
      </c>
      <c r="B7957" t="s">
        <v>240</v>
      </c>
      <c r="C7957" t="s">
        <v>13</v>
      </c>
      <c r="D7957" t="s">
        <v>2129</v>
      </c>
      <c r="E7957">
        <v>435.16800000000001</v>
      </c>
      <c r="F7957">
        <v>4</v>
      </c>
      <c r="G7957">
        <v>0.2</v>
      </c>
      <c r="H7957">
        <v>-59.835599999999999</v>
      </c>
      <c r="U7957">
        <v>-59.835599999999999</v>
      </c>
    </row>
    <row r="7958" spans="1:21" x14ac:dyDescent="0.35">
      <c r="A7958" s="1">
        <v>42865</v>
      </c>
      <c r="B7958" t="s">
        <v>240</v>
      </c>
      <c r="C7958" t="s">
        <v>13</v>
      </c>
      <c r="D7958" t="s">
        <v>263</v>
      </c>
      <c r="E7958">
        <v>14.9</v>
      </c>
      <c r="F7958">
        <v>5</v>
      </c>
      <c r="G7958">
        <v>0</v>
      </c>
      <c r="H7958">
        <v>6.8540000000000001</v>
      </c>
      <c r="U7958">
        <v>6.8540000000000001</v>
      </c>
    </row>
    <row r="7959" spans="1:21" x14ac:dyDescent="0.35">
      <c r="A7959" s="1">
        <v>42865</v>
      </c>
      <c r="B7959" t="s">
        <v>240</v>
      </c>
      <c r="C7959" t="s">
        <v>13</v>
      </c>
      <c r="D7959" t="s">
        <v>2535</v>
      </c>
      <c r="E7959">
        <v>15.8</v>
      </c>
      <c r="F7959">
        <v>4</v>
      </c>
      <c r="G7959">
        <v>0</v>
      </c>
      <c r="H7959">
        <v>4.1079999999999997</v>
      </c>
      <c r="U7959">
        <v>4.1079999999999997</v>
      </c>
    </row>
    <row r="7960" spans="1:21" x14ac:dyDescent="0.35">
      <c r="A7960" s="1">
        <v>42865</v>
      </c>
      <c r="B7960" t="s">
        <v>240</v>
      </c>
      <c r="C7960" t="s">
        <v>13</v>
      </c>
      <c r="D7960" t="s">
        <v>2290</v>
      </c>
      <c r="E7960">
        <v>72.900000000000006</v>
      </c>
      <c r="F7960">
        <v>5</v>
      </c>
      <c r="G7960">
        <v>0</v>
      </c>
      <c r="H7960">
        <v>26.972999999999999</v>
      </c>
      <c r="U7960">
        <v>26.972999999999999</v>
      </c>
    </row>
    <row r="7961" spans="1:21" x14ac:dyDescent="0.35">
      <c r="A7961" s="1">
        <v>42865</v>
      </c>
      <c r="B7961" t="s">
        <v>240</v>
      </c>
      <c r="C7961" t="s">
        <v>13</v>
      </c>
      <c r="D7961" t="s">
        <v>1425</v>
      </c>
      <c r="E7961">
        <v>206.352</v>
      </c>
      <c r="F7961">
        <v>3</v>
      </c>
      <c r="G7961">
        <v>0.2</v>
      </c>
      <c r="H7961">
        <v>5.1588000000000003</v>
      </c>
      <c r="U7961">
        <v>5.1588000000000003</v>
      </c>
    </row>
    <row r="7962" spans="1:21" x14ac:dyDescent="0.35">
      <c r="A7962" s="1">
        <v>42865</v>
      </c>
      <c r="B7962" t="s">
        <v>240</v>
      </c>
      <c r="C7962" t="s">
        <v>13</v>
      </c>
      <c r="D7962" t="s">
        <v>594</v>
      </c>
      <c r="E7962">
        <v>7.992</v>
      </c>
      <c r="F7962">
        <v>1</v>
      </c>
      <c r="G7962">
        <v>0.2</v>
      </c>
      <c r="H7962">
        <v>2.6972999999999998</v>
      </c>
      <c r="U7962">
        <v>2.6972999999999998</v>
      </c>
    </row>
    <row r="7963" spans="1:21" x14ac:dyDescent="0.35">
      <c r="A7963" t="s">
        <v>1684</v>
      </c>
      <c r="B7963" t="s">
        <v>185</v>
      </c>
      <c r="C7963" t="s">
        <v>8</v>
      </c>
      <c r="D7963" t="s">
        <v>2335</v>
      </c>
      <c r="E7963">
        <v>81.36</v>
      </c>
      <c r="F7963">
        <v>5</v>
      </c>
      <c r="G7963">
        <v>0.2</v>
      </c>
      <c r="H7963">
        <v>-19.323</v>
      </c>
      <c r="U7963">
        <v>-19.323</v>
      </c>
    </row>
    <row r="7964" spans="1:21" x14ac:dyDescent="0.35">
      <c r="A7964" t="s">
        <v>1684</v>
      </c>
      <c r="B7964" t="s">
        <v>185</v>
      </c>
      <c r="C7964" t="s">
        <v>8</v>
      </c>
      <c r="D7964" t="s">
        <v>1193</v>
      </c>
      <c r="E7964">
        <v>20.231999999999999</v>
      </c>
      <c r="F7964">
        <v>8</v>
      </c>
      <c r="G7964">
        <v>0.7</v>
      </c>
      <c r="H7964">
        <v>-16.185600000000001</v>
      </c>
      <c r="U7964">
        <v>-16.185600000000001</v>
      </c>
    </row>
    <row r="7965" spans="1:21" x14ac:dyDescent="0.35">
      <c r="A7965" t="s">
        <v>1684</v>
      </c>
      <c r="B7965" t="s">
        <v>185</v>
      </c>
      <c r="C7965" t="s">
        <v>8</v>
      </c>
      <c r="D7965" t="s">
        <v>337</v>
      </c>
      <c r="E7965">
        <v>389.05599999999998</v>
      </c>
      <c r="F7965">
        <v>4</v>
      </c>
      <c r="G7965">
        <v>0.2</v>
      </c>
      <c r="H7965">
        <v>48.631999999999998</v>
      </c>
      <c r="U7965">
        <v>48.631999999999998</v>
      </c>
    </row>
    <row r="7966" spans="1:21" x14ac:dyDescent="0.35">
      <c r="A7966" t="s">
        <v>1684</v>
      </c>
      <c r="B7966" t="s">
        <v>185</v>
      </c>
      <c r="C7966" t="s">
        <v>8</v>
      </c>
      <c r="D7966" t="s">
        <v>2344</v>
      </c>
      <c r="E7966">
        <v>20.736000000000001</v>
      </c>
      <c r="F7966">
        <v>4</v>
      </c>
      <c r="G7966">
        <v>0.2</v>
      </c>
      <c r="H7966">
        <v>7.2576000000000001</v>
      </c>
      <c r="U7966">
        <v>7.2576000000000001</v>
      </c>
    </row>
    <row r="7967" spans="1:21" x14ac:dyDescent="0.35">
      <c r="A7967" t="s">
        <v>1684</v>
      </c>
      <c r="B7967" t="s">
        <v>185</v>
      </c>
      <c r="C7967" t="s">
        <v>8</v>
      </c>
      <c r="D7967" t="s">
        <v>1871</v>
      </c>
      <c r="E7967">
        <v>41.472000000000001</v>
      </c>
      <c r="F7967">
        <v>8</v>
      </c>
      <c r="G7967">
        <v>0.2</v>
      </c>
      <c r="H7967">
        <v>14.5152</v>
      </c>
      <c r="U7967">
        <v>14.5152</v>
      </c>
    </row>
    <row r="7968" spans="1:21" x14ac:dyDescent="0.35">
      <c r="A7968" t="s">
        <v>1160</v>
      </c>
      <c r="B7968" t="s">
        <v>670</v>
      </c>
      <c r="C7968" t="s">
        <v>13</v>
      </c>
      <c r="D7968" t="s">
        <v>2071</v>
      </c>
      <c r="E7968">
        <v>33.36</v>
      </c>
      <c r="F7968">
        <v>4</v>
      </c>
      <c r="G7968">
        <v>0</v>
      </c>
      <c r="H7968">
        <v>16.68</v>
      </c>
      <c r="U7968">
        <v>16.68</v>
      </c>
    </row>
    <row r="7969" spans="1:21" x14ac:dyDescent="0.35">
      <c r="A7969" s="1">
        <v>42653</v>
      </c>
      <c r="B7969" t="s">
        <v>1961</v>
      </c>
      <c r="C7969" t="s">
        <v>13</v>
      </c>
      <c r="D7969" t="s">
        <v>2707</v>
      </c>
      <c r="E7969">
        <v>90.882000000000005</v>
      </c>
      <c r="F7969">
        <v>3</v>
      </c>
      <c r="G7969">
        <v>0.7</v>
      </c>
      <c r="H7969">
        <v>-190.85220000000001</v>
      </c>
      <c r="U7969">
        <v>-190.85220000000001</v>
      </c>
    </row>
    <row r="7970" spans="1:21" x14ac:dyDescent="0.35">
      <c r="A7970" s="1">
        <v>42653</v>
      </c>
      <c r="B7970" t="s">
        <v>1961</v>
      </c>
      <c r="C7970" t="s">
        <v>13</v>
      </c>
      <c r="D7970" t="s">
        <v>2590</v>
      </c>
      <c r="E7970">
        <v>15.992000000000001</v>
      </c>
      <c r="F7970">
        <v>1</v>
      </c>
      <c r="G7970">
        <v>0.2</v>
      </c>
      <c r="H7970">
        <v>-2.9984999999999999</v>
      </c>
      <c r="U7970">
        <v>-2.9984999999999999</v>
      </c>
    </row>
    <row r="7971" spans="1:21" x14ac:dyDescent="0.35">
      <c r="A7971" s="1">
        <v>42653</v>
      </c>
      <c r="B7971" t="s">
        <v>1961</v>
      </c>
      <c r="C7971" t="s">
        <v>13</v>
      </c>
      <c r="D7971" t="s">
        <v>967</v>
      </c>
      <c r="E7971">
        <v>120.78400000000001</v>
      </c>
      <c r="F7971">
        <v>1</v>
      </c>
      <c r="G7971">
        <v>0.2</v>
      </c>
      <c r="H7971">
        <v>13.588200000000001</v>
      </c>
      <c r="U7971">
        <v>13.588200000000001</v>
      </c>
    </row>
    <row r="7972" spans="1:21" x14ac:dyDescent="0.35">
      <c r="A7972" t="s">
        <v>419</v>
      </c>
      <c r="B7972" t="s">
        <v>556</v>
      </c>
      <c r="C7972" t="s">
        <v>55</v>
      </c>
      <c r="D7972" t="s">
        <v>1674</v>
      </c>
      <c r="E7972">
        <v>519.79200000000003</v>
      </c>
      <c r="F7972">
        <v>4</v>
      </c>
      <c r="G7972">
        <v>0.4</v>
      </c>
      <c r="H7972">
        <v>-112.6216</v>
      </c>
      <c r="U7972">
        <v>-112.6216</v>
      </c>
    </row>
    <row r="7973" spans="1:21" x14ac:dyDescent="0.35">
      <c r="A7973" t="s">
        <v>419</v>
      </c>
      <c r="B7973" t="s">
        <v>556</v>
      </c>
      <c r="C7973" t="s">
        <v>55</v>
      </c>
      <c r="D7973" t="s">
        <v>2220</v>
      </c>
      <c r="E7973">
        <v>31.175999999999998</v>
      </c>
      <c r="F7973">
        <v>3</v>
      </c>
      <c r="G7973">
        <v>0.2</v>
      </c>
      <c r="H7973">
        <v>-5.4558</v>
      </c>
      <c r="U7973">
        <v>-5.4558</v>
      </c>
    </row>
    <row r="7974" spans="1:21" x14ac:dyDescent="0.35">
      <c r="A7974" t="s">
        <v>419</v>
      </c>
      <c r="B7974" t="s">
        <v>556</v>
      </c>
      <c r="C7974" t="s">
        <v>55</v>
      </c>
      <c r="D7974" t="s">
        <v>2052</v>
      </c>
      <c r="E7974">
        <v>10.368</v>
      </c>
      <c r="F7974">
        <v>2</v>
      </c>
      <c r="G7974">
        <v>0.2</v>
      </c>
      <c r="H7974">
        <v>3.6288</v>
      </c>
      <c r="U7974">
        <v>3.6288</v>
      </c>
    </row>
    <row r="7975" spans="1:21" x14ac:dyDescent="0.35">
      <c r="A7975" t="s">
        <v>419</v>
      </c>
      <c r="B7975" t="s">
        <v>556</v>
      </c>
      <c r="C7975" t="s">
        <v>55</v>
      </c>
      <c r="D7975" t="s">
        <v>231</v>
      </c>
      <c r="E7975">
        <v>2.7240000000000002</v>
      </c>
      <c r="F7975">
        <v>2</v>
      </c>
      <c r="G7975">
        <v>0.7</v>
      </c>
      <c r="H7975">
        <v>-1.9068000000000001</v>
      </c>
      <c r="U7975">
        <v>-1.9068000000000001</v>
      </c>
    </row>
    <row r="7976" spans="1:21" x14ac:dyDescent="0.35">
      <c r="A7976" t="s">
        <v>419</v>
      </c>
      <c r="B7976" t="s">
        <v>556</v>
      </c>
      <c r="C7976" t="s">
        <v>55</v>
      </c>
      <c r="D7976" t="s">
        <v>1742</v>
      </c>
      <c r="E7976">
        <v>254.352</v>
      </c>
      <c r="F7976">
        <v>3</v>
      </c>
      <c r="G7976">
        <v>0.2</v>
      </c>
      <c r="H7976">
        <v>0</v>
      </c>
      <c r="U7976">
        <v>0</v>
      </c>
    </row>
    <row r="7977" spans="1:21" x14ac:dyDescent="0.35">
      <c r="A7977" t="s">
        <v>419</v>
      </c>
      <c r="B7977" t="s">
        <v>556</v>
      </c>
      <c r="C7977" t="s">
        <v>55</v>
      </c>
      <c r="D7977" t="s">
        <v>1391</v>
      </c>
      <c r="E7977">
        <v>3.762</v>
      </c>
      <c r="F7977">
        <v>3</v>
      </c>
      <c r="G7977">
        <v>0.7</v>
      </c>
      <c r="H7977">
        <v>-2.7587999999999999</v>
      </c>
      <c r="U7977">
        <v>-2.7587999999999999</v>
      </c>
    </row>
    <row r="7978" spans="1:21" x14ac:dyDescent="0.35">
      <c r="A7978" t="s">
        <v>419</v>
      </c>
      <c r="B7978" t="s">
        <v>556</v>
      </c>
      <c r="C7978" t="s">
        <v>55</v>
      </c>
      <c r="D7978" t="s">
        <v>1668</v>
      </c>
      <c r="E7978">
        <v>10.272</v>
      </c>
      <c r="F7978">
        <v>3</v>
      </c>
      <c r="G7978">
        <v>0.2</v>
      </c>
      <c r="H7978">
        <v>3.21</v>
      </c>
      <c r="U7978">
        <v>3.21</v>
      </c>
    </row>
    <row r="7979" spans="1:21" x14ac:dyDescent="0.35">
      <c r="A7979" t="s">
        <v>2668</v>
      </c>
      <c r="B7979" t="s">
        <v>2057</v>
      </c>
      <c r="C7979" t="s">
        <v>8</v>
      </c>
      <c r="D7979" t="s">
        <v>793</v>
      </c>
      <c r="E7979">
        <v>659.97</v>
      </c>
      <c r="F7979">
        <v>3</v>
      </c>
      <c r="G7979">
        <v>0</v>
      </c>
      <c r="H7979">
        <v>197.99100000000001</v>
      </c>
      <c r="U7979">
        <v>197.99100000000001</v>
      </c>
    </row>
    <row r="7980" spans="1:21" x14ac:dyDescent="0.35">
      <c r="A7980" t="s">
        <v>2668</v>
      </c>
      <c r="B7980" t="s">
        <v>2057</v>
      </c>
      <c r="C7980" t="s">
        <v>8</v>
      </c>
      <c r="D7980" t="s">
        <v>962</v>
      </c>
      <c r="E7980">
        <v>113.73</v>
      </c>
      <c r="F7980">
        <v>3</v>
      </c>
      <c r="G7980">
        <v>0</v>
      </c>
      <c r="H7980">
        <v>32.981699999999996</v>
      </c>
      <c r="U7980">
        <v>32.981699999999996</v>
      </c>
    </row>
    <row r="7981" spans="1:21" x14ac:dyDescent="0.35">
      <c r="A7981" t="s">
        <v>1325</v>
      </c>
      <c r="B7981" t="s">
        <v>1393</v>
      </c>
      <c r="C7981" t="s">
        <v>13</v>
      </c>
      <c r="D7981" t="s">
        <v>1922</v>
      </c>
      <c r="E7981">
        <v>5.1040000000000001</v>
      </c>
      <c r="F7981">
        <v>1</v>
      </c>
      <c r="G7981">
        <v>0.2</v>
      </c>
      <c r="H7981">
        <v>1.6588000000000001</v>
      </c>
      <c r="U7981">
        <v>1.6588000000000001</v>
      </c>
    </row>
    <row r="7982" spans="1:21" x14ac:dyDescent="0.35">
      <c r="A7982" s="1">
        <v>41699</v>
      </c>
      <c r="B7982" t="s">
        <v>111</v>
      </c>
      <c r="C7982" t="s">
        <v>35</v>
      </c>
      <c r="D7982" t="s">
        <v>2374</v>
      </c>
      <c r="E7982">
        <v>16.448</v>
      </c>
      <c r="F7982">
        <v>2</v>
      </c>
      <c r="G7982">
        <v>0.2</v>
      </c>
      <c r="H7982">
        <v>5.5511999999999997</v>
      </c>
      <c r="U7982">
        <v>5.5511999999999997</v>
      </c>
    </row>
    <row r="7983" spans="1:21" x14ac:dyDescent="0.35">
      <c r="A7983" s="1">
        <v>41921</v>
      </c>
      <c r="B7983" t="s">
        <v>54</v>
      </c>
      <c r="C7983" t="s">
        <v>55</v>
      </c>
      <c r="D7983" t="s">
        <v>1025</v>
      </c>
      <c r="E7983">
        <v>81.92</v>
      </c>
      <c r="F7983">
        <v>4</v>
      </c>
      <c r="G7983">
        <v>0</v>
      </c>
      <c r="H7983">
        <v>22.118400000000001</v>
      </c>
      <c r="U7983">
        <v>22.118400000000001</v>
      </c>
    </row>
    <row r="7984" spans="1:21" x14ac:dyDescent="0.35">
      <c r="A7984" s="1">
        <v>41921</v>
      </c>
      <c r="B7984" t="s">
        <v>54</v>
      </c>
      <c r="C7984" t="s">
        <v>55</v>
      </c>
      <c r="D7984" t="s">
        <v>1860</v>
      </c>
      <c r="E7984">
        <v>254.9</v>
      </c>
      <c r="F7984">
        <v>5</v>
      </c>
      <c r="G7984">
        <v>0</v>
      </c>
      <c r="H7984">
        <v>76.47</v>
      </c>
      <c r="U7984">
        <v>76.47</v>
      </c>
    </row>
    <row r="7985" spans="1:21" x14ac:dyDescent="0.35">
      <c r="A7985" t="s">
        <v>856</v>
      </c>
      <c r="B7985" t="s">
        <v>1902</v>
      </c>
      <c r="C7985" t="s">
        <v>35</v>
      </c>
      <c r="D7985" t="s">
        <v>263</v>
      </c>
      <c r="E7985">
        <v>15.12</v>
      </c>
      <c r="F7985">
        <v>5</v>
      </c>
      <c r="G7985">
        <v>0.2</v>
      </c>
      <c r="H7985">
        <v>4.9139999999999997</v>
      </c>
      <c r="U7985">
        <v>4.9139999999999997</v>
      </c>
    </row>
    <row r="7986" spans="1:21" x14ac:dyDescent="0.35">
      <c r="A7986" t="s">
        <v>856</v>
      </c>
      <c r="B7986" t="s">
        <v>1902</v>
      </c>
      <c r="C7986" t="s">
        <v>35</v>
      </c>
      <c r="D7986" t="s">
        <v>2459</v>
      </c>
      <c r="E7986">
        <v>7.8719999999999999</v>
      </c>
      <c r="F7986">
        <v>3</v>
      </c>
      <c r="G7986">
        <v>0.2</v>
      </c>
      <c r="H7986">
        <v>0.88560000000000005</v>
      </c>
      <c r="U7986">
        <v>0.88560000000000005</v>
      </c>
    </row>
    <row r="7987" spans="1:21" x14ac:dyDescent="0.35">
      <c r="A7987" t="s">
        <v>728</v>
      </c>
      <c r="B7987" t="s">
        <v>165</v>
      </c>
      <c r="C7987" t="s">
        <v>13</v>
      </c>
      <c r="D7987" t="s">
        <v>506</v>
      </c>
      <c r="E7987">
        <v>8.32</v>
      </c>
      <c r="F7987">
        <v>5</v>
      </c>
      <c r="G7987">
        <v>0.2</v>
      </c>
      <c r="H7987">
        <v>2.8079999999999998</v>
      </c>
      <c r="U7987">
        <v>2.8079999999999998</v>
      </c>
    </row>
    <row r="7988" spans="1:21" x14ac:dyDescent="0.35">
      <c r="A7988" t="s">
        <v>2680</v>
      </c>
      <c r="B7988" t="s">
        <v>1157</v>
      </c>
      <c r="C7988" t="s">
        <v>55</v>
      </c>
      <c r="D7988" t="s">
        <v>1416</v>
      </c>
      <c r="E7988">
        <v>89.95</v>
      </c>
      <c r="F7988">
        <v>5</v>
      </c>
      <c r="G7988">
        <v>0</v>
      </c>
      <c r="H7988">
        <v>43.176000000000002</v>
      </c>
      <c r="U7988">
        <v>43.176000000000002</v>
      </c>
    </row>
    <row r="7989" spans="1:21" x14ac:dyDescent="0.35">
      <c r="A7989" t="s">
        <v>1143</v>
      </c>
      <c r="B7989" t="s">
        <v>74</v>
      </c>
      <c r="C7989" t="s">
        <v>35</v>
      </c>
      <c r="D7989" t="s">
        <v>2471</v>
      </c>
      <c r="E7989">
        <v>25.2</v>
      </c>
      <c r="F7989">
        <v>4</v>
      </c>
      <c r="G7989">
        <v>0</v>
      </c>
      <c r="H7989">
        <v>11.592000000000001</v>
      </c>
      <c r="U7989">
        <v>11.592000000000001</v>
      </c>
    </row>
    <row r="7990" spans="1:21" x14ac:dyDescent="0.35">
      <c r="A7990" t="s">
        <v>1143</v>
      </c>
      <c r="B7990" t="s">
        <v>74</v>
      </c>
      <c r="C7990" t="s">
        <v>35</v>
      </c>
      <c r="D7990" t="s">
        <v>2435</v>
      </c>
      <c r="E7990">
        <v>37.590000000000003</v>
      </c>
      <c r="F7990">
        <v>3</v>
      </c>
      <c r="G7990">
        <v>0</v>
      </c>
      <c r="H7990">
        <v>17.667300000000001</v>
      </c>
      <c r="U7990">
        <v>17.667300000000001</v>
      </c>
    </row>
    <row r="7991" spans="1:21" x14ac:dyDescent="0.35">
      <c r="A7991" t="s">
        <v>1143</v>
      </c>
      <c r="B7991" t="s">
        <v>74</v>
      </c>
      <c r="C7991" t="s">
        <v>35</v>
      </c>
      <c r="D7991" t="s">
        <v>626</v>
      </c>
      <c r="E7991">
        <v>14.97</v>
      </c>
      <c r="F7991">
        <v>1</v>
      </c>
      <c r="G7991">
        <v>0</v>
      </c>
      <c r="H7991">
        <v>4.1916000000000002</v>
      </c>
      <c r="U7991">
        <v>4.1916000000000002</v>
      </c>
    </row>
    <row r="7992" spans="1:21" x14ac:dyDescent="0.35">
      <c r="A7992" t="s">
        <v>1143</v>
      </c>
      <c r="B7992" t="s">
        <v>74</v>
      </c>
      <c r="C7992" t="s">
        <v>35</v>
      </c>
      <c r="D7992" t="s">
        <v>2232</v>
      </c>
      <c r="E7992">
        <v>1.98</v>
      </c>
      <c r="F7992">
        <v>2</v>
      </c>
      <c r="G7992">
        <v>0</v>
      </c>
      <c r="H7992">
        <v>0.89100000000000001</v>
      </c>
      <c r="U7992">
        <v>0.89100000000000001</v>
      </c>
    </row>
    <row r="7993" spans="1:21" x14ac:dyDescent="0.35">
      <c r="A7993" t="s">
        <v>737</v>
      </c>
      <c r="B7993" t="s">
        <v>2423</v>
      </c>
      <c r="C7993" t="s">
        <v>8</v>
      </c>
      <c r="D7993" t="s">
        <v>1913</v>
      </c>
      <c r="E7993">
        <v>39.936</v>
      </c>
      <c r="F7993">
        <v>4</v>
      </c>
      <c r="G7993">
        <v>0.7</v>
      </c>
      <c r="H7993">
        <v>-26.623999999999999</v>
      </c>
      <c r="U7993">
        <v>-26.623999999999999</v>
      </c>
    </row>
    <row r="7994" spans="1:21" x14ac:dyDescent="0.35">
      <c r="A7994" t="s">
        <v>737</v>
      </c>
      <c r="B7994" t="s">
        <v>2423</v>
      </c>
      <c r="C7994" t="s">
        <v>8</v>
      </c>
      <c r="D7994" t="s">
        <v>2421</v>
      </c>
      <c r="E7994">
        <v>18.463999999999999</v>
      </c>
      <c r="F7994">
        <v>2</v>
      </c>
      <c r="G7994">
        <v>0.2</v>
      </c>
      <c r="H7994">
        <v>2.3079999999999998</v>
      </c>
      <c r="U7994">
        <v>2.3079999999999998</v>
      </c>
    </row>
    <row r="7995" spans="1:21" x14ac:dyDescent="0.35">
      <c r="A7995" t="s">
        <v>1187</v>
      </c>
      <c r="B7995" t="s">
        <v>1772</v>
      </c>
      <c r="C7995" t="s">
        <v>13</v>
      </c>
      <c r="D7995" t="s">
        <v>581</v>
      </c>
      <c r="E7995">
        <v>4.8959999999999999</v>
      </c>
      <c r="F7995">
        <v>3</v>
      </c>
      <c r="G7995">
        <v>0.7</v>
      </c>
      <c r="H7995">
        <v>-3.4272</v>
      </c>
      <c r="U7995">
        <v>-3.4272</v>
      </c>
    </row>
    <row r="7996" spans="1:21" x14ac:dyDescent="0.35">
      <c r="A7996" t="s">
        <v>1187</v>
      </c>
      <c r="B7996" t="s">
        <v>1772</v>
      </c>
      <c r="C7996" t="s">
        <v>13</v>
      </c>
      <c r="D7996" t="s">
        <v>607</v>
      </c>
      <c r="E7996">
        <v>145.76400000000001</v>
      </c>
      <c r="F7996">
        <v>6</v>
      </c>
      <c r="G7996">
        <v>0.7</v>
      </c>
      <c r="H7996">
        <v>-247.7988</v>
      </c>
      <c r="U7996">
        <v>-247.7988</v>
      </c>
    </row>
    <row r="7997" spans="1:21" x14ac:dyDescent="0.35">
      <c r="A7997" t="s">
        <v>1187</v>
      </c>
      <c r="B7997" t="s">
        <v>1772</v>
      </c>
      <c r="C7997" t="s">
        <v>13</v>
      </c>
      <c r="D7997" t="s">
        <v>1585</v>
      </c>
      <c r="E7997">
        <v>9.6120000000000001</v>
      </c>
      <c r="F7997">
        <v>6</v>
      </c>
      <c r="G7997">
        <v>0.7</v>
      </c>
      <c r="H7997">
        <v>-7.3692000000000002</v>
      </c>
      <c r="U7997">
        <v>-7.3692000000000002</v>
      </c>
    </row>
    <row r="7998" spans="1:21" x14ac:dyDescent="0.35">
      <c r="A7998" s="1">
        <v>42805</v>
      </c>
      <c r="B7998" t="s">
        <v>2110</v>
      </c>
      <c r="C7998" t="s">
        <v>13</v>
      </c>
      <c r="D7998" t="s">
        <v>474</v>
      </c>
      <c r="E7998">
        <v>199.75</v>
      </c>
      <c r="F7998">
        <v>5</v>
      </c>
      <c r="G7998">
        <v>0</v>
      </c>
      <c r="H7998">
        <v>87.89</v>
      </c>
      <c r="U7998">
        <v>87.89</v>
      </c>
    </row>
    <row r="7999" spans="1:21" x14ac:dyDescent="0.35">
      <c r="A7999" s="1">
        <v>42805</v>
      </c>
      <c r="B7999" t="s">
        <v>2110</v>
      </c>
      <c r="C7999" t="s">
        <v>13</v>
      </c>
      <c r="D7999" t="s">
        <v>1096</v>
      </c>
      <c r="E7999">
        <v>1673.184</v>
      </c>
      <c r="F7999">
        <v>12</v>
      </c>
      <c r="G7999">
        <v>0.2</v>
      </c>
      <c r="H7999">
        <v>20.9148</v>
      </c>
      <c r="U7999">
        <v>20.9148</v>
      </c>
    </row>
    <row r="8000" spans="1:21" x14ac:dyDescent="0.35">
      <c r="A8000" s="1">
        <v>41734</v>
      </c>
      <c r="B8000" t="s">
        <v>2496</v>
      </c>
      <c r="C8000" t="s">
        <v>13</v>
      </c>
      <c r="D8000" t="s">
        <v>1439</v>
      </c>
      <c r="E8000">
        <v>12.18</v>
      </c>
      <c r="F8000">
        <v>7</v>
      </c>
      <c r="G8000">
        <v>0</v>
      </c>
      <c r="H8000">
        <v>3.8976000000000002</v>
      </c>
      <c r="U8000">
        <v>3.8976000000000002</v>
      </c>
    </row>
    <row r="8001" spans="1:21" x14ac:dyDescent="0.35">
      <c r="A8001" s="1">
        <v>41734</v>
      </c>
      <c r="B8001" t="s">
        <v>2496</v>
      </c>
      <c r="C8001" t="s">
        <v>13</v>
      </c>
      <c r="D8001" t="s">
        <v>645</v>
      </c>
      <c r="E8001">
        <v>57.68</v>
      </c>
      <c r="F8001">
        <v>4</v>
      </c>
      <c r="G8001">
        <v>0</v>
      </c>
      <c r="H8001">
        <v>19.034400000000002</v>
      </c>
      <c r="U8001">
        <v>19.034400000000002</v>
      </c>
    </row>
    <row r="8002" spans="1:21" x14ac:dyDescent="0.35">
      <c r="A8002" s="1">
        <v>42227</v>
      </c>
      <c r="B8002" t="s">
        <v>1318</v>
      </c>
      <c r="C8002" t="s">
        <v>35</v>
      </c>
      <c r="D8002" t="s">
        <v>1352</v>
      </c>
      <c r="E8002">
        <v>263.95999999999998</v>
      </c>
      <c r="F8002">
        <v>4</v>
      </c>
      <c r="G8002">
        <v>0</v>
      </c>
      <c r="H8002">
        <v>76.548400000000001</v>
      </c>
      <c r="U8002">
        <v>76.548400000000001</v>
      </c>
    </row>
    <row r="8003" spans="1:21" x14ac:dyDescent="0.35">
      <c r="A8003" s="1">
        <v>42350</v>
      </c>
      <c r="B8003" t="s">
        <v>142</v>
      </c>
      <c r="C8003" t="s">
        <v>13</v>
      </c>
      <c r="D8003" t="s">
        <v>1837</v>
      </c>
      <c r="E8003">
        <v>299.94</v>
      </c>
      <c r="F8003">
        <v>6</v>
      </c>
      <c r="G8003">
        <v>0</v>
      </c>
      <c r="H8003">
        <v>128.9742</v>
      </c>
      <c r="U8003">
        <v>128.9742</v>
      </c>
    </row>
    <row r="8004" spans="1:21" x14ac:dyDescent="0.35">
      <c r="A8004" s="1">
        <v>42350</v>
      </c>
      <c r="B8004" t="s">
        <v>142</v>
      </c>
      <c r="C8004" t="s">
        <v>13</v>
      </c>
      <c r="D8004" t="s">
        <v>625</v>
      </c>
      <c r="E8004">
        <v>25.76</v>
      </c>
      <c r="F8004">
        <v>7</v>
      </c>
      <c r="G8004">
        <v>0</v>
      </c>
      <c r="H8004">
        <v>0.51519999999999999</v>
      </c>
      <c r="U8004">
        <v>0.51519999999999999</v>
      </c>
    </row>
    <row r="8005" spans="1:21" x14ac:dyDescent="0.35">
      <c r="A8005" s="1">
        <v>41651</v>
      </c>
      <c r="B8005" t="s">
        <v>2469</v>
      </c>
      <c r="C8005" t="s">
        <v>55</v>
      </c>
      <c r="D8005" t="s">
        <v>2473</v>
      </c>
      <c r="E8005">
        <v>271.89999999999998</v>
      </c>
      <c r="F8005">
        <v>2</v>
      </c>
      <c r="G8005">
        <v>0</v>
      </c>
      <c r="H8005">
        <v>78.850999999999999</v>
      </c>
      <c r="U8005">
        <v>78.850999999999999</v>
      </c>
    </row>
    <row r="8006" spans="1:21" x14ac:dyDescent="0.35">
      <c r="A8006" s="1">
        <v>41651</v>
      </c>
      <c r="B8006" t="s">
        <v>2469</v>
      </c>
      <c r="C8006" t="s">
        <v>55</v>
      </c>
      <c r="D8006" t="s">
        <v>1196</v>
      </c>
      <c r="E8006">
        <v>45.84</v>
      </c>
      <c r="F8006">
        <v>3</v>
      </c>
      <c r="G8006">
        <v>0</v>
      </c>
      <c r="H8006">
        <v>15.585599999999999</v>
      </c>
      <c r="U8006">
        <v>15.585599999999999</v>
      </c>
    </row>
    <row r="8007" spans="1:21" x14ac:dyDescent="0.35">
      <c r="A8007" s="1">
        <v>41651</v>
      </c>
      <c r="B8007" t="s">
        <v>2469</v>
      </c>
      <c r="C8007" t="s">
        <v>55</v>
      </c>
      <c r="D8007" t="s">
        <v>1475</v>
      </c>
      <c r="E8007">
        <v>9.82</v>
      </c>
      <c r="F8007">
        <v>2</v>
      </c>
      <c r="G8007">
        <v>0</v>
      </c>
      <c r="H8007">
        <v>3.2406000000000001</v>
      </c>
      <c r="U8007">
        <v>3.2406000000000001</v>
      </c>
    </row>
    <row r="8008" spans="1:21" x14ac:dyDescent="0.35">
      <c r="A8008" s="1">
        <v>42561</v>
      </c>
      <c r="B8008" t="s">
        <v>1725</v>
      </c>
      <c r="C8008" t="s">
        <v>13</v>
      </c>
      <c r="D8008" t="s">
        <v>2329</v>
      </c>
      <c r="E8008">
        <v>93.36</v>
      </c>
      <c r="F8008">
        <v>12</v>
      </c>
      <c r="G8008">
        <v>0</v>
      </c>
      <c r="H8008">
        <v>0.93359999999999999</v>
      </c>
      <c r="U8008">
        <v>0.93359999999999999</v>
      </c>
    </row>
    <row r="8009" spans="1:21" x14ac:dyDescent="0.35">
      <c r="A8009" t="s">
        <v>211</v>
      </c>
      <c r="B8009" t="s">
        <v>2469</v>
      </c>
      <c r="C8009" t="s">
        <v>35</v>
      </c>
      <c r="D8009" t="s">
        <v>528</v>
      </c>
      <c r="E8009">
        <v>541.24</v>
      </c>
      <c r="F8009">
        <v>4</v>
      </c>
      <c r="G8009">
        <v>0</v>
      </c>
      <c r="H8009">
        <v>5.4123999999999999</v>
      </c>
      <c r="U8009">
        <v>5.4123999999999999</v>
      </c>
    </row>
    <row r="8010" spans="1:21" x14ac:dyDescent="0.35">
      <c r="A8010" t="s">
        <v>211</v>
      </c>
      <c r="B8010" t="s">
        <v>2469</v>
      </c>
      <c r="C8010" t="s">
        <v>35</v>
      </c>
      <c r="D8010" t="s">
        <v>75</v>
      </c>
      <c r="E8010">
        <v>106.32</v>
      </c>
      <c r="F8010">
        <v>3</v>
      </c>
      <c r="G8010">
        <v>0</v>
      </c>
      <c r="H8010">
        <v>49.970399999999998</v>
      </c>
      <c r="U8010">
        <v>49.970399999999998</v>
      </c>
    </row>
    <row r="8011" spans="1:21" x14ac:dyDescent="0.35">
      <c r="A8011" t="s">
        <v>211</v>
      </c>
      <c r="B8011" t="s">
        <v>2469</v>
      </c>
      <c r="C8011" t="s">
        <v>35</v>
      </c>
      <c r="D8011" t="s">
        <v>2675</v>
      </c>
      <c r="E8011">
        <v>1323.9</v>
      </c>
      <c r="F8011">
        <v>5</v>
      </c>
      <c r="G8011">
        <v>0</v>
      </c>
      <c r="H8011">
        <v>383.93099999999998</v>
      </c>
      <c r="U8011">
        <v>383.93099999999998</v>
      </c>
    </row>
    <row r="8012" spans="1:21" x14ac:dyDescent="0.35">
      <c r="A8012" t="s">
        <v>1582</v>
      </c>
      <c r="B8012" t="s">
        <v>1543</v>
      </c>
      <c r="C8012" t="s">
        <v>55</v>
      </c>
      <c r="D8012" t="s">
        <v>1588</v>
      </c>
      <c r="E8012">
        <v>126.624</v>
      </c>
      <c r="F8012">
        <v>6</v>
      </c>
      <c r="G8012">
        <v>0.2</v>
      </c>
      <c r="H8012">
        <v>41.152799999999999</v>
      </c>
      <c r="U8012">
        <v>41.152799999999999</v>
      </c>
    </row>
    <row r="8013" spans="1:21" x14ac:dyDescent="0.35">
      <c r="A8013" t="s">
        <v>1345</v>
      </c>
      <c r="B8013" t="s">
        <v>2040</v>
      </c>
      <c r="C8013" t="s">
        <v>13</v>
      </c>
      <c r="D8013" t="s">
        <v>2677</v>
      </c>
      <c r="E8013">
        <v>125.944</v>
      </c>
      <c r="F8013">
        <v>7</v>
      </c>
      <c r="G8013">
        <v>0.2</v>
      </c>
      <c r="H8013">
        <v>15.743</v>
      </c>
      <c r="U8013">
        <v>15.743</v>
      </c>
    </row>
    <row r="8014" spans="1:21" x14ac:dyDescent="0.35">
      <c r="A8014" t="s">
        <v>2638</v>
      </c>
      <c r="B8014" t="s">
        <v>1992</v>
      </c>
      <c r="C8014" t="s">
        <v>55</v>
      </c>
      <c r="D8014" t="s">
        <v>1499</v>
      </c>
      <c r="E8014">
        <v>663.92</v>
      </c>
      <c r="F8014">
        <v>5</v>
      </c>
      <c r="G8014">
        <v>0.2</v>
      </c>
      <c r="H8014">
        <v>207.47499999999999</v>
      </c>
      <c r="U8014">
        <v>207.47499999999999</v>
      </c>
    </row>
    <row r="8015" spans="1:21" x14ac:dyDescent="0.35">
      <c r="A8015" t="s">
        <v>2638</v>
      </c>
      <c r="B8015" t="s">
        <v>1992</v>
      </c>
      <c r="C8015" t="s">
        <v>55</v>
      </c>
      <c r="D8015" t="s">
        <v>108</v>
      </c>
      <c r="E8015">
        <v>120</v>
      </c>
      <c r="F8015">
        <v>8</v>
      </c>
      <c r="G8015">
        <v>0</v>
      </c>
      <c r="H8015">
        <v>13.2</v>
      </c>
      <c r="U8015">
        <v>13.2</v>
      </c>
    </row>
    <row r="8016" spans="1:21" x14ac:dyDescent="0.35">
      <c r="A8016" t="s">
        <v>2638</v>
      </c>
      <c r="B8016" t="s">
        <v>1992</v>
      </c>
      <c r="C8016" t="s">
        <v>55</v>
      </c>
      <c r="D8016" t="s">
        <v>2090</v>
      </c>
      <c r="E8016">
        <v>3.29</v>
      </c>
      <c r="F8016">
        <v>1</v>
      </c>
      <c r="G8016">
        <v>0</v>
      </c>
      <c r="H8016">
        <v>1.4804999999999999</v>
      </c>
      <c r="U8016">
        <v>1.4804999999999999</v>
      </c>
    </row>
    <row r="8017" spans="1:21" x14ac:dyDescent="0.35">
      <c r="A8017" t="s">
        <v>2638</v>
      </c>
      <c r="B8017" t="s">
        <v>1992</v>
      </c>
      <c r="C8017" t="s">
        <v>55</v>
      </c>
      <c r="D8017" t="s">
        <v>991</v>
      </c>
      <c r="E8017">
        <v>18.84</v>
      </c>
      <c r="F8017">
        <v>3</v>
      </c>
      <c r="G8017">
        <v>0</v>
      </c>
      <c r="H8017">
        <v>6.0288000000000004</v>
      </c>
      <c r="U8017">
        <v>6.0288000000000004</v>
      </c>
    </row>
    <row r="8018" spans="1:21" x14ac:dyDescent="0.35">
      <c r="A8018" s="1">
        <v>41891</v>
      </c>
      <c r="B8018" t="s">
        <v>1372</v>
      </c>
      <c r="C8018" t="s">
        <v>55</v>
      </c>
      <c r="D8018" t="s">
        <v>2076</v>
      </c>
      <c r="E8018">
        <v>60.671999999999997</v>
      </c>
      <c r="F8018">
        <v>6</v>
      </c>
      <c r="G8018">
        <v>0.2</v>
      </c>
      <c r="H8018">
        <v>12.892799999999999</v>
      </c>
      <c r="U8018">
        <v>12.892799999999999</v>
      </c>
    </row>
    <row r="8019" spans="1:21" x14ac:dyDescent="0.35">
      <c r="A8019" s="1">
        <v>41891</v>
      </c>
      <c r="B8019" t="s">
        <v>1372</v>
      </c>
      <c r="C8019" t="s">
        <v>55</v>
      </c>
      <c r="D8019" t="s">
        <v>1655</v>
      </c>
      <c r="E8019">
        <v>30.815999999999999</v>
      </c>
      <c r="F8019">
        <v>9</v>
      </c>
      <c r="G8019">
        <v>0.2</v>
      </c>
      <c r="H8019">
        <v>2.6964000000000001</v>
      </c>
      <c r="U8019">
        <v>2.6964000000000001</v>
      </c>
    </row>
    <row r="8020" spans="1:21" x14ac:dyDescent="0.35">
      <c r="A8020" t="s">
        <v>498</v>
      </c>
      <c r="B8020" t="s">
        <v>1102</v>
      </c>
      <c r="C8020" t="s">
        <v>13</v>
      </c>
      <c r="D8020" t="s">
        <v>399</v>
      </c>
      <c r="E8020">
        <v>52.792000000000002</v>
      </c>
      <c r="F8020">
        <v>1</v>
      </c>
      <c r="G8020">
        <v>0.2</v>
      </c>
      <c r="H8020">
        <v>4.6193</v>
      </c>
      <c r="U8020">
        <v>4.6193</v>
      </c>
    </row>
    <row r="8021" spans="1:21" x14ac:dyDescent="0.35">
      <c r="A8021" s="1">
        <v>42777</v>
      </c>
      <c r="B8021" t="s">
        <v>304</v>
      </c>
      <c r="C8021" t="s">
        <v>35</v>
      </c>
      <c r="D8021" t="s">
        <v>2462</v>
      </c>
      <c r="E8021">
        <v>83.9</v>
      </c>
      <c r="F8021">
        <v>10</v>
      </c>
      <c r="G8021">
        <v>0</v>
      </c>
      <c r="H8021">
        <v>20.975000000000001</v>
      </c>
      <c r="U8021">
        <v>20.975000000000001</v>
      </c>
    </row>
    <row r="8022" spans="1:21" x14ac:dyDescent="0.35">
      <c r="A8022" s="1">
        <v>42777</v>
      </c>
      <c r="B8022" t="s">
        <v>304</v>
      </c>
      <c r="C8022" t="s">
        <v>35</v>
      </c>
      <c r="D8022" t="s">
        <v>1679</v>
      </c>
      <c r="E8022">
        <v>11.76</v>
      </c>
      <c r="F8022">
        <v>2</v>
      </c>
      <c r="G8022">
        <v>0</v>
      </c>
      <c r="H8022">
        <v>5.7624000000000004</v>
      </c>
      <c r="U8022">
        <v>5.7624000000000004</v>
      </c>
    </row>
    <row r="8023" spans="1:21" x14ac:dyDescent="0.35">
      <c r="A8023" t="s">
        <v>1873</v>
      </c>
      <c r="B8023" t="s">
        <v>1591</v>
      </c>
      <c r="C8023" t="s">
        <v>35</v>
      </c>
      <c r="D8023" t="s">
        <v>1988</v>
      </c>
      <c r="E8023">
        <v>4.992</v>
      </c>
      <c r="F8023">
        <v>3</v>
      </c>
      <c r="G8023">
        <v>0.8</v>
      </c>
      <c r="H8023">
        <v>-12.979200000000001</v>
      </c>
      <c r="U8023">
        <v>-12.979200000000001</v>
      </c>
    </row>
    <row r="8024" spans="1:21" x14ac:dyDescent="0.35">
      <c r="A8024" t="s">
        <v>1873</v>
      </c>
      <c r="B8024" t="s">
        <v>1591</v>
      </c>
      <c r="C8024" t="s">
        <v>35</v>
      </c>
      <c r="D8024" t="s">
        <v>2519</v>
      </c>
      <c r="E8024">
        <v>87.92</v>
      </c>
      <c r="F8024">
        <v>5</v>
      </c>
      <c r="G8024">
        <v>0.2</v>
      </c>
      <c r="H8024">
        <v>29.672999999999998</v>
      </c>
      <c r="U8024">
        <v>29.672999999999998</v>
      </c>
    </row>
    <row r="8025" spans="1:21" x14ac:dyDescent="0.35">
      <c r="A8025" t="s">
        <v>1873</v>
      </c>
      <c r="B8025" t="s">
        <v>1591</v>
      </c>
      <c r="C8025" t="s">
        <v>35</v>
      </c>
      <c r="D8025" t="s">
        <v>916</v>
      </c>
      <c r="E8025">
        <v>657.93</v>
      </c>
      <c r="F8025">
        <v>5</v>
      </c>
      <c r="G8025">
        <v>0.3</v>
      </c>
      <c r="H8025">
        <v>-93.99</v>
      </c>
      <c r="U8025">
        <v>-93.99</v>
      </c>
    </row>
    <row r="8026" spans="1:21" x14ac:dyDescent="0.35">
      <c r="A8026" t="s">
        <v>1873</v>
      </c>
      <c r="B8026" t="s">
        <v>1591</v>
      </c>
      <c r="C8026" t="s">
        <v>35</v>
      </c>
      <c r="D8026" t="s">
        <v>2428</v>
      </c>
      <c r="E8026">
        <v>1.044</v>
      </c>
      <c r="F8026">
        <v>1</v>
      </c>
      <c r="G8026">
        <v>0.8</v>
      </c>
      <c r="H8026">
        <v>-1.827</v>
      </c>
      <c r="U8026">
        <v>-1.827</v>
      </c>
    </row>
    <row r="8027" spans="1:21" x14ac:dyDescent="0.35">
      <c r="A8027" s="1">
        <v>42317</v>
      </c>
      <c r="B8027" t="s">
        <v>2597</v>
      </c>
      <c r="C8027" t="s">
        <v>55</v>
      </c>
      <c r="D8027" t="s">
        <v>2678</v>
      </c>
      <c r="E8027">
        <v>210.68</v>
      </c>
      <c r="F8027">
        <v>2</v>
      </c>
      <c r="G8027">
        <v>0</v>
      </c>
      <c r="H8027">
        <v>50.563200000000002</v>
      </c>
      <c r="U8027">
        <v>50.563200000000002</v>
      </c>
    </row>
    <row r="8028" spans="1:21" x14ac:dyDescent="0.35">
      <c r="A8028" s="1">
        <v>42317</v>
      </c>
      <c r="B8028" t="s">
        <v>2597</v>
      </c>
      <c r="C8028" t="s">
        <v>55</v>
      </c>
      <c r="D8028" t="s">
        <v>2693</v>
      </c>
      <c r="E8028">
        <v>78.8</v>
      </c>
      <c r="F8028">
        <v>1</v>
      </c>
      <c r="G8028">
        <v>0</v>
      </c>
      <c r="H8028">
        <v>1.5760000000000001</v>
      </c>
      <c r="U8028">
        <v>1.5760000000000001</v>
      </c>
    </row>
    <row r="8029" spans="1:21" x14ac:dyDescent="0.35">
      <c r="A8029" s="1">
        <v>42317</v>
      </c>
      <c r="B8029" t="s">
        <v>2597</v>
      </c>
      <c r="C8029" t="s">
        <v>55</v>
      </c>
      <c r="D8029" t="s">
        <v>179</v>
      </c>
      <c r="E8029">
        <v>19.989999999999998</v>
      </c>
      <c r="F8029">
        <v>1</v>
      </c>
      <c r="G8029">
        <v>0</v>
      </c>
      <c r="H8029">
        <v>6.7965999999999998</v>
      </c>
      <c r="U8029">
        <v>6.7965999999999998</v>
      </c>
    </row>
    <row r="8030" spans="1:21" x14ac:dyDescent="0.35">
      <c r="A8030" s="1">
        <v>42317</v>
      </c>
      <c r="B8030" t="s">
        <v>2597</v>
      </c>
      <c r="C8030" t="s">
        <v>55</v>
      </c>
      <c r="D8030" t="s">
        <v>2517</v>
      </c>
      <c r="E8030">
        <v>772.68</v>
      </c>
      <c r="F8030">
        <v>4</v>
      </c>
      <c r="G8030">
        <v>0</v>
      </c>
      <c r="H8030">
        <v>108.1752</v>
      </c>
      <c r="U8030">
        <v>108.1752</v>
      </c>
    </row>
    <row r="8031" spans="1:21" x14ac:dyDescent="0.35">
      <c r="A8031" t="s">
        <v>622</v>
      </c>
      <c r="B8031" t="s">
        <v>1836</v>
      </c>
      <c r="C8031" t="s">
        <v>35</v>
      </c>
      <c r="D8031" t="s">
        <v>361</v>
      </c>
      <c r="E8031">
        <v>106.08</v>
      </c>
      <c r="F8031">
        <v>6</v>
      </c>
      <c r="G8031">
        <v>0.2</v>
      </c>
      <c r="H8031">
        <v>-9.282</v>
      </c>
      <c r="U8031">
        <v>-9.282</v>
      </c>
    </row>
    <row r="8032" spans="1:21" x14ac:dyDescent="0.35">
      <c r="A8032" s="1">
        <v>42552</v>
      </c>
      <c r="B8032" t="s">
        <v>1414</v>
      </c>
      <c r="C8032" t="s">
        <v>35</v>
      </c>
      <c r="D8032" t="s">
        <v>2187</v>
      </c>
      <c r="E8032">
        <v>23.076000000000001</v>
      </c>
      <c r="F8032">
        <v>3</v>
      </c>
      <c r="G8032">
        <v>0.6</v>
      </c>
      <c r="H8032">
        <v>-10.9611</v>
      </c>
      <c r="U8032">
        <v>-10.9611</v>
      </c>
    </row>
    <row r="8033" spans="1:21" x14ac:dyDescent="0.35">
      <c r="A8033" s="1">
        <v>42552</v>
      </c>
      <c r="B8033" t="s">
        <v>1414</v>
      </c>
      <c r="C8033" t="s">
        <v>35</v>
      </c>
      <c r="D8033" t="s">
        <v>1295</v>
      </c>
      <c r="E8033">
        <v>25.92</v>
      </c>
      <c r="F8033">
        <v>5</v>
      </c>
      <c r="G8033">
        <v>0.2</v>
      </c>
      <c r="H8033">
        <v>9.0719999999999992</v>
      </c>
      <c r="U8033">
        <v>9.0719999999999992</v>
      </c>
    </row>
    <row r="8034" spans="1:21" x14ac:dyDescent="0.35">
      <c r="A8034" t="s">
        <v>1735</v>
      </c>
      <c r="B8034" t="s">
        <v>2047</v>
      </c>
      <c r="C8034" t="s">
        <v>35</v>
      </c>
      <c r="D8034" t="s">
        <v>1204</v>
      </c>
      <c r="E8034">
        <v>47.951999999999998</v>
      </c>
      <c r="F8034">
        <v>3</v>
      </c>
      <c r="G8034">
        <v>0.2</v>
      </c>
      <c r="H8034">
        <v>16.183800000000002</v>
      </c>
      <c r="U8034">
        <v>16.183800000000002</v>
      </c>
    </row>
    <row r="8035" spans="1:21" x14ac:dyDescent="0.35">
      <c r="A8035" t="s">
        <v>1735</v>
      </c>
      <c r="B8035" t="s">
        <v>2047</v>
      </c>
      <c r="C8035" t="s">
        <v>35</v>
      </c>
      <c r="D8035" t="s">
        <v>2555</v>
      </c>
      <c r="E8035">
        <v>0.98399999999999999</v>
      </c>
      <c r="F8035">
        <v>2</v>
      </c>
      <c r="G8035">
        <v>0.8</v>
      </c>
      <c r="H8035">
        <v>-1.476</v>
      </c>
      <c r="U8035">
        <v>-1.476</v>
      </c>
    </row>
    <row r="8036" spans="1:21" x14ac:dyDescent="0.35">
      <c r="A8036" t="s">
        <v>1735</v>
      </c>
      <c r="B8036" t="s">
        <v>2047</v>
      </c>
      <c r="C8036" t="s">
        <v>35</v>
      </c>
      <c r="D8036" t="s">
        <v>2163</v>
      </c>
      <c r="E8036">
        <v>75.384</v>
      </c>
      <c r="F8036">
        <v>9</v>
      </c>
      <c r="G8036">
        <v>0.6</v>
      </c>
      <c r="H8036">
        <v>-20.730599999999999</v>
      </c>
      <c r="U8036">
        <v>-20.730599999999999</v>
      </c>
    </row>
    <row r="8037" spans="1:21" x14ac:dyDescent="0.35">
      <c r="A8037" t="s">
        <v>1735</v>
      </c>
      <c r="B8037" t="s">
        <v>2047</v>
      </c>
      <c r="C8037" t="s">
        <v>35</v>
      </c>
      <c r="D8037" t="s">
        <v>1294</v>
      </c>
      <c r="E8037">
        <v>4.6079999999999997</v>
      </c>
      <c r="F8037">
        <v>2</v>
      </c>
      <c r="G8037">
        <v>0.2</v>
      </c>
      <c r="H8037">
        <v>1.6704000000000001</v>
      </c>
      <c r="U8037">
        <v>1.6704000000000001</v>
      </c>
    </row>
    <row r="8038" spans="1:21" x14ac:dyDescent="0.35">
      <c r="A8038" t="s">
        <v>2472</v>
      </c>
      <c r="B8038" t="s">
        <v>42</v>
      </c>
      <c r="C8038" t="s">
        <v>55</v>
      </c>
      <c r="D8038" t="s">
        <v>2161</v>
      </c>
      <c r="E8038">
        <v>37.68</v>
      </c>
      <c r="F8038">
        <v>6</v>
      </c>
      <c r="G8038">
        <v>0</v>
      </c>
      <c r="H8038">
        <v>16.956</v>
      </c>
      <c r="U8038">
        <v>16.956</v>
      </c>
    </row>
    <row r="8039" spans="1:21" x14ac:dyDescent="0.35">
      <c r="A8039" s="1">
        <v>43015</v>
      </c>
      <c r="B8039" t="s">
        <v>2253</v>
      </c>
      <c r="C8039" t="s">
        <v>8</v>
      </c>
      <c r="D8039" t="s">
        <v>2676</v>
      </c>
      <c r="E8039">
        <v>41.91</v>
      </c>
      <c r="F8039">
        <v>3</v>
      </c>
      <c r="G8039">
        <v>0</v>
      </c>
      <c r="H8039">
        <v>10.896599999999999</v>
      </c>
      <c r="U8039">
        <v>10.896599999999999</v>
      </c>
    </row>
    <row r="8040" spans="1:21" x14ac:dyDescent="0.35">
      <c r="A8040" t="s">
        <v>672</v>
      </c>
      <c r="B8040" t="s">
        <v>1877</v>
      </c>
      <c r="C8040" t="s">
        <v>13</v>
      </c>
      <c r="D8040" t="s">
        <v>1799</v>
      </c>
      <c r="E8040">
        <v>435.99900000000002</v>
      </c>
      <c r="F8040">
        <v>3</v>
      </c>
      <c r="G8040">
        <v>0.15</v>
      </c>
      <c r="H8040">
        <v>5.1294000000000004</v>
      </c>
      <c r="U8040">
        <v>5.1294000000000004</v>
      </c>
    </row>
    <row r="8041" spans="1:21" x14ac:dyDescent="0.35">
      <c r="A8041" t="s">
        <v>717</v>
      </c>
      <c r="B8041" t="s">
        <v>2343</v>
      </c>
      <c r="C8041" t="s">
        <v>13</v>
      </c>
      <c r="D8041" t="s">
        <v>340</v>
      </c>
      <c r="E8041">
        <v>388.70400000000001</v>
      </c>
      <c r="F8041">
        <v>6</v>
      </c>
      <c r="G8041">
        <v>0.2</v>
      </c>
      <c r="H8041">
        <v>38.870399999999997</v>
      </c>
      <c r="U8041">
        <v>38.870399999999997</v>
      </c>
    </row>
    <row r="8042" spans="1:21" x14ac:dyDescent="0.35">
      <c r="A8042" t="s">
        <v>717</v>
      </c>
      <c r="B8042" t="s">
        <v>2343</v>
      </c>
      <c r="C8042" t="s">
        <v>13</v>
      </c>
      <c r="D8042" t="s">
        <v>1107</v>
      </c>
      <c r="E8042">
        <v>572.58000000000004</v>
      </c>
      <c r="F8042">
        <v>6</v>
      </c>
      <c r="G8042">
        <v>0</v>
      </c>
      <c r="H8042">
        <v>34.354799999999997</v>
      </c>
      <c r="U8042">
        <v>34.354799999999997</v>
      </c>
    </row>
    <row r="8043" spans="1:21" x14ac:dyDescent="0.35">
      <c r="A8043" t="s">
        <v>717</v>
      </c>
      <c r="B8043" t="s">
        <v>2343</v>
      </c>
      <c r="C8043" t="s">
        <v>13</v>
      </c>
      <c r="D8043" t="s">
        <v>2130</v>
      </c>
      <c r="E8043">
        <v>33.18</v>
      </c>
      <c r="F8043">
        <v>2</v>
      </c>
      <c r="G8043">
        <v>0</v>
      </c>
      <c r="H8043">
        <v>11.613</v>
      </c>
      <c r="U8043">
        <v>11.613</v>
      </c>
    </row>
    <row r="8044" spans="1:21" x14ac:dyDescent="0.35">
      <c r="A8044" s="1">
        <v>43042</v>
      </c>
      <c r="B8044" t="s">
        <v>1409</v>
      </c>
      <c r="C8044" t="s">
        <v>55</v>
      </c>
      <c r="D8044" t="s">
        <v>765</v>
      </c>
      <c r="E8044">
        <v>63.88</v>
      </c>
      <c r="F8044">
        <v>4</v>
      </c>
      <c r="G8044">
        <v>0</v>
      </c>
      <c r="H8044">
        <v>24.9132</v>
      </c>
      <c r="U8044">
        <v>24.9132</v>
      </c>
    </row>
    <row r="8045" spans="1:21" x14ac:dyDescent="0.35">
      <c r="A8045" s="1">
        <v>43042</v>
      </c>
      <c r="B8045" t="s">
        <v>1409</v>
      </c>
      <c r="C8045" t="s">
        <v>55</v>
      </c>
      <c r="D8045" t="s">
        <v>2708</v>
      </c>
      <c r="E8045">
        <v>26.72</v>
      </c>
      <c r="F8045">
        <v>1</v>
      </c>
      <c r="G8045">
        <v>0</v>
      </c>
      <c r="H8045">
        <v>11.7568</v>
      </c>
      <c r="U8045">
        <v>11.7568</v>
      </c>
    </row>
    <row r="8046" spans="1:21" x14ac:dyDescent="0.35">
      <c r="A8046" t="s">
        <v>86</v>
      </c>
      <c r="B8046" t="s">
        <v>2631</v>
      </c>
      <c r="C8046" t="s">
        <v>13</v>
      </c>
      <c r="D8046" t="s">
        <v>215</v>
      </c>
      <c r="E8046">
        <v>295.05599999999998</v>
      </c>
      <c r="F8046">
        <v>9</v>
      </c>
      <c r="G8046">
        <v>0.2</v>
      </c>
      <c r="H8046">
        <v>106.95780000000001</v>
      </c>
      <c r="U8046">
        <v>106.95780000000001</v>
      </c>
    </row>
    <row r="8047" spans="1:21" x14ac:dyDescent="0.35">
      <c r="A8047" t="s">
        <v>1263</v>
      </c>
      <c r="B8047" t="s">
        <v>1620</v>
      </c>
      <c r="C8047" t="s">
        <v>55</v>
      </c>
      <c r="D8047" t="s">
        <v>1858</v>
      </c>
      <c r="E8047">
        <v>393.25</v>
      </c>
      <c r="F8047">
        <v>5</v>
      </c>
      <c r="G8047">
        <v>0</v>
      </c>
      <c r="H8047">
        <v>129.77250000000001</v>
      </c>
      <c r="U8047">
        <v>129.77250000000001</v>
      </c>
    </row>
    <row r="8048" spans="1:21" x14ac:dyDescent="0.35">
      <c r="A8048" t="s">
        <v>449</v>
      </c>
      <c r="B8048" t="s">
        <v>542</v>
      </c>
      <c r="C8048" t="s">
        <v>55</v>
      </c>
      <c r="D8048" t="s">
        <v>2555</v>
      </c>
      <c r="E8048">
        <v>2.214</v>
      </c>
      <c r="F8048">
        <v>3</v>
      </c>
      <c r="G8048">
        <v>0.7</v>
      </c>
      <c r="H8048">
        <v>-1.476</v>
      </c>
      <c r="U8048">
        <v>-1.476</v>
      </c>
    </row>
    <row r="8049" spans="1:21" x14ac:dyDescent="0.35">
      <c r="A8049" s="1">
        <v>42805</v>
      </c>
      <c r="B8049" t="s">
        <v>2040</v>
      </c>
      <c r="C8049" t="s">
        <v>8</v>
      </c>
      <c r="D8049" t="s">
        <v>1629</v>
      </c>
      <c r="E8049">
        <v>16.271999999999998</v>
      </c>
      <c r="F8049">
        <v>3</v>
      </c>
      <c r="G8049">
        <v>0.2</v>
      </c>
      <c r="H8049">
        <v>5.2884000000000002</v>
      </c>
      <c r="U8049">
        <v>5.2884000000000002</v>
      </c>
    </row>
    <row r="8050" spans="1:21" x14ac:dyDescent="0.35">
      <c r="A8050" s="1">
        <v>42436</v>
      </c>
      <c r="B8050" t="s">
        <v>658</v>
      </c>
      <c r="C8050" t="s">
        <v>55</v>
      </c>
      <c r="D8050" t="s">
        <v>2586</v>
      </c>
      <c r="E8050">
        <v>706.86</v>
      </c>
      <c r="F8050">
        <v>7</v>
      </c>
      <c r="G8050">
        <v>0</v>
      </c>
      <c r="H8050">
        <v>197.92080000000001</v>
      </c>
      <c r="U8050">
        <v>197.92080000000001</v>
      </c>
    </row>
    <row r="8051" spans="1:21" x14ac:dyDescent="0.35">
      <c r="A8051" t="s">
        <v>1134</v>
      </c>
      <c r="B8051" t="s">
        <v>2694</v>
      </c>
      <c r="C8051" t="s">
        <v>55</v>
      </c>
      <c r="D8051" t="s">
        <v>255</v>
      </c>
      <c r="E8051">
        <v>5.97</v>
      </c>
      <c r="F8051">
        <v>5</v>
      </c>
      <c r="G8051">
        <v>0.7</v>
      </c>
      <c r="H8051">
        <v>-4.577</v>
      </c>
      <c r="U8051">
        <v>-4.577</v>
      </c>
    </row>
    <row r="8052" spans="1:21" x14ac:dyDescent="0.35">
      <c r="A8052" t="s">
        <v>1134</v>
      </c>
      <c r="B8052" t="s">
        <v>2694</v>
      </c>
      <c r="C8052" t="s">
        <v>55</v>
      </c>
      <c r="D8052" t="s">
        <v>1296</v>
      </c>
      <c r="E8052">
        <v>21.184000000000001</v>
      </c>
      <c r="F8052">
        <v>1</v>
      </c>
      <c r="G8052">
        <v>0.2</v>
      </c>
      <c r="H8052">
        <v>4.7664</v>
      </c>
      <c r="U8052">
        <v>4.7664</v>
      </c>
    </row>
    <row r="8053" spans="1:21" x14ac:dyDescent="0.35">
      <c r="A8053" t="s">
        <v>1134</v>
      </c>
      <c r="B8053" t="s">
        <v>2694</v>
      </c>
      <c r="C8053" t="s">
        <v>55</v>
      </c>
      <c r="D8053" t="s">
        <v>52</v>
      </c>
      <c r="E8053">
        <v>41.375999999999998</v>
      </c>
      <c r="F8053">
        <v>6</v>
      </c>
      <c r="G8053">
        <v>0.2</v>
      </c>
      <c r="H8053">
        <v>3.1032000000000002</v>
      </c>
      <c r="U8053">
        <v>3.1032000000000002</v>
      </c>
    </row>
    <row r="8054" spans="1:21" x14ac:dyDescent="0.35">
      <c r="A8054" t="s">
        <v>2012</v>
      </c>
      <c r="B8054" t="s">
        <v>1857</v>
      </c>
      <c r="C8054" t="s">
        <v>55</v>
      </c>
      <c r="D8054" t="s">
        <v>1481</v>
      </c>
      <c r="E8054">
        <v>17.940000000000001</v>
      </c>
      <c r="F8054">
        <v>3</v>
      </c>
      <c r="G8054">
        <v>0</v>
      </c>
      <c r="H8054">
        <v>4.4850000000000003</v>
      </c>
      <c r="U8054">
        <v>4.4850000000000003</v>
      </c>
    </row>
    <row r="8055" spans="1:21" x14ac:dyDescent="0.35">
      <c r="A8055" t="s">
        <v>1383</v>
      </c>
      <c r="B8055" t="s">
        <v>966</v>
      </c>
      <c r="C8055" t="s">
        <v>55</v>
      </c>
      <c r="D8055" t="s">
        <v>1087</v>
      </c>
      <c r="E8055">
        <v>2.6549999999999998</v>
      </c>
      <c r="F8055">
        <v>1</v>
      </c>
      <c r="G8055">
        <v>0.7</v>
      </c>
      <c r="H8055">
        <v>-1.8585</v>
      </c>
      <c r="U8055">
        <v>-1.8585</v>
      </c>
    </row>
    <row r="8056" spans="1:21" x14ac:dyDescent="0.35">
      <c r="A8056" t="s">
        <v>1013</v>
      </c>
      <c r="B8056" t="s">
        <v>374</v>
      </c>
      <c r="C8056" t="s">
        <v>13</v>
      </c>
      <c r="D8056" t="s">
        <v>947</v>
      </c>
      <c r="E8056">
        <v>892.35</v>
      </c>
      <c r="F8056">
        <v>5</v>
      </c>
      <c r="G8056">
        <v>0</v>
      </c>
      <c r="H8056">
        <v>267.70499999999998</v>
      </c>
      <c r="U8056">
        <v>267.70499999999998</v>
      </c>
    </row>
    <row r="8057" spans="1:21" x14ac:dyDescent="0.35">
      <c r="A8057" t="s">
        <v>1013</v>
      </c>
      <c r="B8057" t="s">
        <v>374</v>
      </c>
      <c r="C8057" t="s">
        <v>13</v>
      </c>
      <c r="D8057" t="s">
        <v>406</v>
      </c>
      <c r="E8057">
        <v>307.666</v>
      </c>
      <c r="F8057">
        <v>2</v>
      </c>
      <c r="G8057">
        <v>0.15</v>
      </c>
      <c r="H8057">
        <v>28.956800000000001</v>
      </c>
      <c r="U8057">
        <v>28.956800000000001</v>
      </c>
    </row>
    <row r="8058" spans="1:21" x14ac:dyDescent="0.35">
      <c r="A8058" t="s">
        <v>1013</v>
      </c>
      <c r="B8058" t="s">
        <v>374</v>
      </c>
      <c r="C8058" t="s">
        <v>13</v>
      </c>
      <c r="D8058" t="s">
        <v>863</v>
      </c>
      <c r="E8058">
        <v>728.82</v>
      </c>
      <c r="F8058">
        <v>9</v>
      </c>
      <c r="G8058">
        <v>0</v>
      </c>
      <c r="H8058">
        <v>29.152799999999999</v>
      </c>
      <c r="U8058">
        <v>29.152799999999999</v>
      </c>
    </row>
    <row r="8059" spans="1:21" x14ac:dyDescent="0.35">
      <c r="A8059" t="s">
        <v>1013</v>
      </c>
      <c r="B8059" t="s">
        <v>374</v>
      </c>
      <c r="C8059" t="s">
        <v>13</v>
      </c>
      <c r="D8059" t="s">
        <v>2111</v>
      </c>
      <c r="E8059">
        <v>41.36</v>
      </c>
      <c r="F8059">
        <v>5</v>
      </c>
      <c r="G8059">
        <v>0.2</v>
      </c>
      <c r="H8059">
        <v>13.959</v>
      </c>
      <c r="U8059">
        <v>13.959</v>
      </c>
    </row>
    <row r="8060" spans="1:21" x14ac:dyDescent="0.35">
      <c r="A8060" t="s">
        <v>1013</v>
      </c>
      <c r="B8060" t="s">
        <v>374</v>
      </c>
      <c r="C8060" t="s">
        <v>13</v>
      </c>
      <c r="D8060" t="s">
        <v>1416</v>
      </c>
      <c r="E8060">
        <v>43.176000000000002</v>
      </c>
      <c r="F8060">
        <v>3</v>
      </c>
      <c r="G8060">
        <v>0.2</v>
      </c>
      <c r="H8060">
        <v>15.111599999999999</v>
      </c>
      <c r="U8060">
        <v>15.111599999999999</v>
      </c>
    </row>
    <row r="8061" spans="1:21" x14ac:dyDescent="0.35">
      <c r="A8061" t="s">
        <v>1013</v>
      </c>
      <c r="B8061" t="s">
        <v>374</v>
      </c>
      <c r="C8061" t="s">
        <v>13</v>
      </c>
      <c r="D8061" t="s">
        <v>619</v>
      </c>
      <c r="E8061">
        <v>4.16</v>
      </c>
      <c r="F8061">
        <v>2</v>
      </c>
      <c r="G8061">
        <v>0</v>
      </c>
      <c r="H8061">
        <v>1.7472000000000001</v>
      </c>
      <c r="U8061">
        <v>1.7472000000000001</v>
      </c>
    </row>
    <row r="8062" spans="1:21" x14ac:dyDescent="0.35">
      <c r="A8062" t="s">
        <v>2472</v>
      </c>
      <c r="B8062" t="s">
        <v>1963</v>
      </c>
      <c r="C8062" t="s">
        <v>55</v>
      </c>
      <c r="D8062" t="s">
        <v>602</v>
      </c>
      <c r="E8062">
        <v>61.4</v>
      </c>
      <c r="F8062">
        <v>5</v>
      </c>
      <c r="G8062">
        <v>0</v>
      </c>
      <c r="H8062">
        <v>28.858000000000001</v>
      </c>
      <c r="U8062">
        <v>28.858000000000001</v>
      </c>
    </row>
    <row r="8063" spans="1:21" x14ac:dyDescent="0.35">
      <c r="A8063" t="s">
        <v>2472</v>
      </c>
      <c r="B8063" t="s">
        <v>1963</v>
      </c>
      <c r="C8063" t="s">
        <v>55</v>
      </c>
      <c r="D8063" t="s">
        <v>2098</v>
      </c>
      <c r="E8063">
        <v>24.448</v>
      </c>
      <c r="F8063">
        <v>2</v>
      </c>
      <c r="G8063">
        <v>0.2</v>
      </c>
      <c r="H8063">
        <v>8.8623999999999992</v>
      </c>
      <c r="U8063">
        <v>8.8623999999999992</v>
      </c>
    </row>
    <row r="8064" spans="1:21" x14ac:dyDescent="0.35">
      <c r="A8064" s="1">
        <v>42562</v>
      </c>
      <c r="B8064" t="s">
        <v>1937</v>
      </c>
      <c r="C8064" t="s">
        <v>55</v>
      </c>
      <c r="D8064" t="s">
        <v>929</v>
      </c>
      <c r="E8064">
        <v>263.95999999999998</v>
      </c>
      <c r="F8064">
        <v>4</v>
      </c>
      <c r="G8064">
        <v>0</v>
      </c>
      <c r="H8064">
        <v>71.269199999999998</v>
      </c>
      <c r="U8064">
        <v>71.269199999999998</v>
      </c>
    </row>
    <row r="8065" spans="1:21" x14ac:dyDescent="0.35">
      <c r="A8065" s="1">
        <v>42562</v>
      </c>
      <c r="B8065" t="s">
        <v>1937</v>
      </c>
      <c r="C8065" t="s">
        <v>55</v>
      </c>
      <c r="D8065" t="s">
        <v>1927</v>
      </c>
      <c r="E8065">
        <v>359.97</v>
      </c>
      <c r="F8065">
        <v>3</v>
      </c>
      <c r="G8065">
        <v>0</v>
      </c>
      <c r="H8065">
        <v>100.7916</v>
      </c>
      <c r="U8065">
        <v>100.7916</v>
      </c>
    </row>
    <row r="8066" spans="1:21" x14ac:dyDescent="0.35">
      <c r="A8066" s="1">
        <v>42562</v>
      </c>
      <c r="B8066" t="s">
        <v>1937</v>
      </c>
      <c r="C8066" t="s">
        <v>55</v>
      </c>
      <c r="D8066" t="s">
        <v>2125</v>
      </c>
      <c r="E8066">
        <v>12.96</v>
      </c>
      <c r="F8066">
        <v>2</v>
      </c>
      <c r="G8066">
        <v>0</v>
      </c>
      <c r="H8066">
        <v>6.2207999999999997</v>
      </c>
      <c r="U8066">
        <v>6.2207999999999997</v>
      </c>
    </row>
    <row r="8067" spans="1:21" x14ac:dyDescent="0.35">
      <c r="A8067" s="1">
        <v>42562</v>
      </c>
      <c r="B8067" t="s">
        <v>1937</v>
      </c>
      <c r="C8067" t="s">
        <v>55</v>
      </c>
      <c r="D8067" t="s">
        <v>92</v>
      </c>
      <c r="E8067">
        <v>116.82</v>
      </c>
      <c r="F8067">
        <v>3</v>
      </c>
      <c r="G8067">
        <v>0</v>
      </c>
      <c r="H8067">
        <v>5.8410000000000002</v>
      </c>
      <c r="U8067">
        <v>5.8410000000000002</v>
      </c>
    </row>
    <row r="8068" spans="1:21" x14ac:dyDescent="0.35">
      <c r="A8068" s="1">
        <v>42562</v>
      </c>
      <c r="B8068" t="s">
        <v>1937</v>
      </c>
      <c r="C8068" t="s">
        <v>55</v>
      </c>
      <c r="D8068" t="s">
        <v>2440</v>
      </c>
      <c r="E8068">
        <v>276.78399999999999</v>
      </c>
      <c r="F8068">
        <v>2</v>
      </c>
      <c r="G8068">
        <v>0.2</v>
      </c>
      <c r="H8068">
        <v>89.954800000000006</v>
      </c>
      <c r="U8068">
        <v>89.954800000000006</v>
      </c>
    </row>
    <row r="8069" spans="1:21" x14ac:dyDescent="0.35">
      <c r="A8069" t="s">
        <v>223</v>
      </c>
      <c r="B8069" t="s">
        <v>1366</v>
      </c>
      <c r="C8069" t="s">
        <v>13</v>
      </c>
      <c r="D8069" t="s">
        <v>809</v>
      </c>
      <c r="E8069">
        <v>239.97</v>
      </c>
      <c r="F8069">
        <v>3</v>
      </c>
      <c r="G8069">
        <v>0</v>
      </c>
      <c r="H8069">
        <v>86.389200000000002</v>
      </c>
      <c r="U8069">
        <v>86.389200000000002</v>
      </c>
    </row>
    <row r="8070" spans="1:21" x14ac:dyDescent="0.35">
      <c r="A8070" t="s">
        <v>223</v>
      </c>
      <c r="B8070" t="s">
        <v>1366</v>
      </c>
      <c r="C8070" t="s">
        <v>13</v>
      </c>
      <c r="D8070" t="s">
        <v>2411</v>
      </c>
      <c r="E8070">
        <v>16.02</v>
      </c>
      <c r="F8070">
        <v>6</v>
      </c>
      <c r="G8070">
        <v>0</v>
      </c>
      <c r="H8070">
        <v>6.0876000000000001</v>
      </c>
      <c r="U8070">
        <v>6.0876000000000001</v>
      </c>
    </row>
    <row r="8071" spans="1:21" x14ac:dyDescent="0.35">
      <c r="A8071" s="1">
        <v>42736</v>
      </c>
      <c r="B8071" t="s">
        <v>218</v>
      </c>
      <c r="C8071" t="s">
        <v>35</v>
      </c>
      <c r="D8071" t="s">
        <v>791</v>
      </c>
      <c r="E8071">
        <v>454.56</v>
      </c>
      <c r="F8071">
        <v>5</v>
      </c>
      <c r="G8071">
        <v>0.2</v>
      </c>
      <c r="H8071">
        <v>-107.958</v>
      </c>
      <c r="U8071">
        <v>-107.958</v>
      </c>
    </row>
    <row r="8072" spans="1:21" x14ac:dyDescent="0.35">
      <c r="A8072" s="1">
        <v>42736</v>
      </c>
      <c r="B8072" t="s">
        <v>218</v>
      </c>
      <c r="C8072" t="s">
        <v>35</v>
      </c>
      <c r="D8072" t="s">
        <v>2263</v>
      </c>
      <c r="E8072">
        <v>141.41999999999999</v>
      </c>
      <c r="F8072">
        <v>5</v>
      </c>
      <c r="G8072">
        <v>0.6</v>
      </c>
      <c r="H8072">
        <v>-187.38149999999999</v>
      </c>
      <c r="U8072">
        <v>-187.38149999999999</v>
      </c>
    </row>
    <row r="8073" spans="1:21" x14ac:dyDescent="0.35">
      <c r="A8073" s="1">
        <v>42736</v>
      </c>
      <c r="B8073" t="s">
        <v>218</v>
      </c>
      <c r="C8073" t="s">
        <v>35</v>
      </c>
      <c r="D8073" t="s">
        <v>1131</v>
      </c>
      <c r="E8073">
        <v>310.74400000000003</v>
      </c>
      <c r="F8073">
        <v>4</v>
      </c>
      <c r="G8073">
        <v>0.3</v>
      </c>
      <c r="H8073">
        <v>-26.635200000000001</v>
      </c>
      <c r="U8073">
        <v>-26.635200000000001</v>
      </c>
    </row>
    <row r="8074" spans="1:21" x14ac:dyDescent="0.35">
      <c r="A8074" s="1">
        <v>42736</v>
      </c>
      <c r="B8074" t="s">
        <v>218</v>
      </c>
      <c r="C8074" t="s">
        <v>35</v>
      </c>
      <c r="D8074" t="s">
        <v>1239</v>
      </c>
      <c r="E8074">
        <v>12.736000000000001</v>
      </c>
      <c r="F8074">
        <v>4</v>
      </c>
      <c r="G8074">
        <v>0.2</v>
      </c>
      <c r="H8074">
        <v>2.2288000000000001</v>
      </c>
      <c r="U8074">
        <v>2.2288000000000001</v>
      </c>
    </row>
    <row r="8075" spans="1:21" x14ac:dyDescent="0.35">
      <c r="A8075" s="1">
        <v>42736</v>
      </c>
      <c r="B8075" t="s">
        <v>218</v>
      </c>
      <c r="C8075" t="s">
        <v>35</v>
      </c>
      <c r="D8075" t="s">
        <v>1115</v>
      </c>
      <c r="E8075">
        <v>6.47</v>
      </c>
      <c r="F8075">
        <v>5</v>
      </c>
      <c r="G8075">
        <v>0.8</v>
      </c>
      <c r="H8075">
        <v>-9.7050000000000001</v>
      </c>
      <c r="U8075">
        <v>-9.7050000000000001</v>
      </c>
    </row>
    <row r="8076" spans="1:21" x14ac:dyDescent="0.35">
      <c r="A8076" s="1">
        <v>42736</v>
      </c>
      <c r="B8076" t="s">
        <v>218</v>
      </c>
      <c r="C8076" t="s">
        <v>35</v>
      </c>
      <c r="D8076" t="s">
        <v>380</v>
      </c>
      <c r="E8076">
        <v>13.747999999999999</v>
      </c>
      <c r="F8076">
        <v>14</v>
      </c>
      <c r="G8076">
        <v>0.8</v>
      </c>
      <c r="H8076">
        <v>-22.684200000000001</v>
      </c>
      <c r="U8076">
        <v>-22.684200000000001</v>
      </c>
    </row>
    <row r="8077" spans="1:21" x14ac:dyDescent="0.35">
      <c r="A8077" s="1">
        <v>42736</v>
      </c>
      <c r="B8077" t="s">
        <v>218</v>
      </c>
      <c r="C8077" t="s">
        <v>35</v>
      </c>
      <c r="D8077" t="s">
        <v>942</v>
      </c>
      <c r="E8077">
        <v>15.224</v>
      </c>
      <c r="F8077">
        <v>2</v>
      </c>
      <c r="G8077">
        <v>0.8</v>
      </c>
      <c r="H8077">
        <v>-38.821199999999997</v>
      </c>
      <c r="U8077">
        <v>-38.821199999999997</v>
      </c>
    </row>
    <row r="8078" spans="1:21" x14ac:dyDescent="0.35">
      <c r="A8078" t="s">
        <v>1734</v>
      </c>
      <c r="B8078" t="s">
        <v>1987</v>
      </c>
      <c r="C8078" t="s">
        <v>8</v>
      </c>
      <c r="D8078" t="s">
        <v>1151</v>
      </c>
      <c r="E8078">
        <v>27.42</v>
      </c>
      <c r="F8078">
        <v>3</v>
      </c>
      <c r="G8078">
        <v>0</v>
      </c>
      <c r="H8078">
        <v>9.3228000000000009</v>
      </c>
      <c r="U8078">
        <v>9.3228000000000009</v>
      </c>
    </row>
    <row r="8079" spans="1:21" x14ac:dyDescent="0.35">
      <c r="A8079" t="s">
        <v>1734</v>
      </c>
      <c r="B8079" t="s">
        <v>1987</v>
      </c>
      <c r="C8079" t="s">
        <v>8</v>
      </c>
      <c r="D8079" t="s">
        <v>1499</v>
      </c>
      <c r="E8079">
        <v>165.98</v>
      </c>
      <c r="F8079">
        <v>1</v>
      </c>
      <c r="G8079">
        <v>0</v>
      </c>
      <c r="H8079">
        <v>74.691000000000003</v>
      </c>
      <c r="U8079">
        <v>74.691000000000003</v>
      </c>
    </row>
    <row r="8080" spans="1:21" x14ac:dyDescent="0.35">
      <c r="A8080" t="s">
        <v>1734</v>
      </c>
      <c r="B8080" t="s">
        <v>1987</v>
      </c>
      <c r="C8080" t="s">
        <v>8</v>
      </c>
      <c r="D8080" t="s">
        <v>2157</v>
      </c>
      <c r="E8080">
        <v>75</v>
      </c>
      <c r="F8080">
        <v>3</v>
      </c>
      <c r="G8080">
        <v>0</v>
      </c>
      <c r="H8080">
        <v>18</v>
      </c>
      <c r="U8080">
        <v>18</v>
      </c>
    </row>
    <row r="8081" spans="1:21" x14ac:dyDescent="0.35">
      <c r="A8081" t="s">
        <v>1354</v>
      </c>
      <c r="B8081" t="s">
        <v>1461</v>
      </c>
      <c r="C8081" t="s">
        <v>55</v>
      </c>
      <c r="D8081" t="s">
        <v>576</v>
      </c>
      <c r="E8081">
        <v>134.27199999999999</v>
      </c>
      <c r="F8081">
        <v>8</v>
      </c>
      <c r="G8081">
        <v>0.2</v>
      </c>
      <c r="H8081">
        <v>46.995199999999997</v>
      </c>
      <c r="U8081">
        <v>46.995199999999997</v>
      </c>
    </row>
    <row r="8082" spans="1:21" x14ac:dyDescent="0.35">
      <c r="A8082" t="s">
        <v>1457</v>
      </c>
      <c r="B8082" t="s">
        <v>486</v>
      </c>
      <c r="C8082" t="s">
        <v>13</v>
      </c>
      <c r="D8082" t="s">
        <v>1552</v>
      </c>
      <c r="E8082">
        <v>146.54400000000001</v>
      </c>
      <c r="F8082">
        <v>6</v>
      </c>
      <c r="G8082">
        <v>0.2</v>
      </c>
      <c r="H8082">
        <v>47.626800000000003</v>
      </c>
      <c r="U8082">
        <v>47.626800000000003</v>
      </c>
    </row>
    <row r="8083" spans="1:21" x14ac:dyDescent="0.35">
      <c r="A8083" t="s">
        <v>1457</v>
      </c>
      <c r="B8083" t="s">
        <v>486</v>
      </c>
      <c r="C8083" t="s">
        <v>13</v>
      </c>
      <c r="D8083" t="s">
        <v>2635</v>
      </c>
      <c r="E8083">
        <v>131.904</v>
      </c>
      <c r="F8083">
        <v>3</v>
      </c>
      <c r="G8083">
        <v>0.2</v>
      </c>
      <c r="H8083">
        <v>47.815199999999997</v>
      </c>
      <c r="U8083">
        <v>47.815199999999997</v>
      </c>
    </row>
    <row r="8084" spans="1:21" x14ac:dyDescent="0.35">
      <c r="A8084" t="s">
        <v>1457</v>
      </c>
      <c r="B8084" t="s">
        <v>486</v>
      </c>
      <c r="C8084" t="s">
        <v>13</v>
      </c>
      <c r="D8084" t="s">
        <v>987</v>
      </c>
      <c r="E8084">
        <v>203.88</v>
      </c>
      <c r="F8084">
        <v>5</v>
      </c>
      <c r="G8084">
        <v>0.2</v>
      </c>
      <c r="H8084">
        <v>20.388000000000002</v>
      </c>
      <c r="U8084">
        <v>20.388000000000002</v>
      </c>
    </row>
    <row r="8085" spans="1:21" x14ac:dyDescent="0.35">
      <c r="A8085" t="s">
        <v>1457</v>
      </c>
      <c r="B8085" t="s">
        <v>486</v>
      </c>
      <c r="C8085" t="s">
        <v>13</v>
      </c>
      <c r="D8085" t="s">
        <v>2038</v>
      </c>
      <c r="E8085">
        <v>14.301</v>
      </c>
      <c r="F8085">
        <v>7</v>
      </c>
      <c r="G8085">
        <v>0.7</v>
      </c>
      <c r="H8085">
        <v>-10.487399999999999</v>
      </c>
      <c r="U8085">
        <v>-10.487399999999999</v>
      </c>
    </row>
    <row r="8086" spans="1:21" x14ac:dyDescent="0.35">
      <c r="A8086" t="s">
        <v>1457</v>
      </c>
      <c r="B8086" t="s">
        <v>486</v>
      </c>
      <c r="C8086" t="s">
        <v>13</v>
      </c>
      <c r="D8086" t="s">
        <v>823</v>
      </c>
      <c r="E8086">
        <v>718.64</v>
      </c>
      <c r="F8086">
        <v>10</v>
      </c>
      <c r="G8086">
        <v>0.2</v>
      </c>
      <c r="H8086">
        <v>-161.69399999999999</v>
      </c>
      <c r="U8086">
        <v>-161.69399999999999</v>
      </c>
    </row>
    <row r="8087" spans="1:21" x14ac:dyDescent="0.35">
      <c r="A8087" t="s">
        <v>853</v>
      </c>
      <c r="B8087" t="s">
        <v>2709</v>
      </c>
      <c r="C8087" t="s">
        <v>8</v>
      </c>
      <c r="D8087" t="s">
        <v>745</v>
      </c>
      <c r="E8087">
        <v>61.1</v>
      </c>
      <c r="F8087">
        <v>5</v>
      </c>
      <c r="G8087">
        <v>0</v>
      </c>
      <c r="H8087">
        <v>18.329999999999998</v>
      </c>
      <c r="U8087">
        <v>18.329999999999998</v>
      </c>
    </row>
    <row r="8088" spans="1:21" x14ac:dyDescent="0.35">
      <c r="A8088" t="s">
        <v>2609</v>
      </c>
      <c r="B8088" t="s">
        <v>2328</v>
      </c>
      <c r="C8088" t="s">
        <v>8</v>
      </c>
      <c r="D8088" t="s">
        <v>2007</v>
      </c>
      <c r="E8088">
        <v>28.08</v>
      </c>
      <c r="F8088">
        <v>3</v>
      </c>
      <c r="G8088">
        <v>0.2</v>
      </c>
      <c r="H8088">
        <v>5.2649999999999997</v>
      </c>
      <c r="U8088">
        <v>5.2649999999999997</v>
      </c>
    </row>
    <row r="8089" spans="1:21" x14ac:dyDescent="0.35">
      <c r="A8089" t="s">
        <v>1212</v>
      </c>
      <c r="B8089" t="s">
        <v>2287</v>
      </c>
      <c r="C8089" t="s">
        <v>13</v>
      </c>
      <c r="D8089" t="s">
        <v>1424</v>
      </c>
      <c r="E8089">
        <v>10.496</v>
      </c>
      <c r="F8089">
        <v>4</v>
      </c>
      <c r="G8089">
        <v>0.2</v>
      </c>
      <c r="H8089">
        <v>1.1808000000000001</v>
      </c>
      <c r="U8089">
        <v>1.1808000000000001</v>
      </c>
    </row>
    <row r="8090" spans="1:21" x14ac:dyDescent="0.35">
      <c r="A8090" s="1">
        <v>42284</v>
      </c>
      <c r="B8090" t="s">
        <v>664</v>
      </c>
      <c r="C8090" t="s">
        <v>13</v>
      </c>
      <c r="D8090" t="s">
        <v>1214</v>
      </c>
      <c r="E8090">
        <v>39.92</v>
      </c>
      <c r="F8090">
        <v>2</v>
      </c>
      <c r="G8090">
        <v>0.2</v>
      </c>
      <c r="H8090">
        <v>12.974</v>
      </c>
      <c r="U8090">
        <v>12.974</v>
      </c>
    </row>
    <row r="8091" spans="1:21" x14ac:dyDescent="0.35">
      <c r="A8091" s="1">
        <v>42193</v>
      </c>
      <c r="B8091" t="s">
        <v>1366</v>
      </c>
      <c r="C8091" t="s">
        <v>55</v>
      </c>
      <c r="D8091" t="s">
        <v>52</v>
      </c>
      <c r="E8091">
        <v>77.58</v>
      </c>
      <c r="F8091">
        <v>9</v>
      </c>
      <c r="G8091">
        <v>0</v>
      </c>
      <c r="H8091">
        <v>20.1708</v>
      </c>
      <c r="U8091">
        <v>20.1708</v>
      </c>
    </row>
    <row r="8092" spans="1:21" x14ac:dyDescent="0.35">
      <c r="A8092" s="1">
        <v>41832</v>
      </c>
      <c r="B8092" t="s">
        <v>1305</v>
      </c>
      <c r="C8092" t="s">
        <v>13</v>
      </c>
      <c r="D8092" t="s">
        <v>2222</v>
      </c>
      <c r="E8092">
        <v>269.36</v>
      </c>
      <c r="F8092">
        <v>7</v>
      </c>
      <c r="G8092">
        <v>0</v>
      </c>
      <c r="H8092">
        <v>70.033600000000007</v>
      </c>
      <c r="U8092">
        <v>70.033600000000007</v>
      </c>
    </row>
    <row r="8093" spans="1:21" x14ac:dyDescent="0.35">
      <c r="A8093" s="1">
        <v>42289</v>
      </c>
      <c r="B8093" t="s">
        <v>1328</v>
      </c>
      <c r="C8093" t="s">
        <v>13</v>
      </c>
      <c r="D8093" t="s">
        <v>1294</v>
      </c>
      <c r="E8093">
        <v>5.76</v>
      </c>
      <c r="F8093">
        <v>2</v>
      </c>
      <c r="G8093">
        <v>0</v>
      </c>
      <c r="H8093">
        <v>2.8224</v>
      </c>
      <c r="U8093">
        <v>2.8224</v>
      </c>
    </row>
    <row r="8094" spans="1:21" x14ac:dyDescent="0.35">
      <c r="A8094" s="1">
        <v>42958</v>
      </c>
      <c r="B8094" t="s">
        <v>2284</v>
      </c>
      <c r="C8094" t="s">
        <v>55</v>
      </c>
      <c r="D8094" t="s">
        <v>1569</v>
      </c>
      <c r="E8094">
        <v>109.9</v>
      </c>
      <c r="F8094">
        <v>5</v>
      </c>
      <c r="G8094">
        <v>0</v>
      </c>
      <c r="H8094">
        <v>32.97</v>
      </c>
      <c r="U8094">
        <v>32.97</v>
      </c>
    </row>
    <row r="8095" spans="1:21" x14ac:dyDescent="0.35">
      <c r="A8095" t="s">
        <v>2478</v>
      </c>
      <c r="B8095" t="s">
        <v>2024</v>
      </c>
      <c r="C8095" t="s">
        <v>13</v>
      </c>
      <c r="D8095" t="s">
        <v>441</v>
      </c>
      <c r="E8095">
        <v>23.88</v>
      </c>
      <c r="F8095">
        <v>3</v>
      </c>
      <c r="G8095">
        <v>0</v>
      </c>
      <c r="H8095">
        <v>10.507199999999999</v>
      </c>
      <c r="U8095">
        <v>10.507199999999999</v>
      </c>
    </row>
    <row r="8096" spans="1:21" x14ac:dyDescent="0.35">
      <c r="A8096" t="s">
        <v>2478</v>
      </c>
      <c r="B8096" t="s">
        <v>2024</v>
      </c>
      <c r="C8096" t="s">
        <v>13</v>
      </c>
      <c r="D8096" t="s">
        <v>1989</v>
      </c>
      <c r="E8096">
        <v>26.2</v>
      </c>
      <c r="F8096">
        <v>4</v>
      </c>
      <c r="G8096">
        <v>0</v>
      </c>
      <c r="H8096">
        <v>12.052</v>
      </c>
      <c r="U8096">
        <v>12.052</v>
      </c>
    </row>
    <row r="8097" spans="1:21" x14ac:dyDescent="0.35">
      <c r="A8097" t="s">
        <v>2478</v>
      </c>
      <c r="B8097" t="s">
        <v>2024</v>
      </c>
      <c r="C8097" t="s">
        <v>13</v>
      </c>
      <c r="D8097" t="s">
        <v>2052</v>
      </c>
      <c r="E8097">
        <v>12.96</v>
      </c>
      <c r="F8097">
        <v>2</v>
      </c>
      <c r="G8097">
        <v>0</v>
      </c>
      <c r="H8097">
        <v>6.2207999999999997</v>
      </c>
      <c r="U8097">
        <v>6.2207999999999997</v>
      </c>
    </row>
    <row r="8098" spans="1:21" x14ac:dyDescent="0.35">
      <c r="A8098" t="s">
        <v>2478</v>
      </c>
      <c r="B8098" t="s">
        <v>2024</v>
      </c>
      <c r="C8098" t="s">
        <v>13</v>
      </c>
      <c r="D8098" t="s">
        <v>827</v>
      </c>
      <c r="E8098">
        <v>234.95</v>
      </c>
      <c r="F8098">
        <v>5</v>
      </c>
      <c r="G8098">
        <v>0</v>
      </c>
      <c r="H8098">
        <v>32.893000000000001</v>
      </c>
      <c r="U8098">
        <v>32.893000000000001</v>
      </c>
    </row>
    <row r="8099" spans="1:21" x14ac:dyDescent="0.35">
      <c r="A8099" t="s">
        <v>485</v>
      </c>
      <c r="B8099" t="s">
        <v>2063</v>
      </c>
      <c r="C8099" t="s">
        <v>13</v>
      </c>
      <c r="D8099" t="s">
        <v>747</v>
      </c>
      <c r="E8099">
        <v>118.25</v>
      </c>
      <c r="F8099">
        <v>5</v>
      </c>
      <c r="G8099">
        <v>0</v>
      </c>
      <c r="H8099">
        <v>34.292499999999997</v>
      </c>
      <c r="U8099">
        <v>34.292499999999997</v>
      </c>
    </row>
    <row r="8100" spans="1:21" x14ac:dyDescent="0.35">
      <c r="A8100" t="s">
        <v>485</v>
      </c>
      <c r="B8100" t="s">
        <v>2063</v>
      </c>
      <c r="C8100" t="s">
        <v>13</v>
      </c>
      <c r="D8100" t="s">
        <v>2234</v>
      </c>
      <c r="E8100">
        <v>4.28</v>
      </c>
      <c r="F8100">
        <v>1</v>
      </c>
      <c r="G8100">
        <v>0</v>
      </c>
      <c r="H8100">
        <v>1.9259999999999999</v>
      </c>
      <c r="U8100">
        <v>1.9259999999999999</v>
      </c>
    </row>
    <row r="8101" spans="1:21" x14ac:dyDescent="0.35">
      <c r="A8101" s="1">
        <v>42646</v>
      </c>
      <c r="B8101" t="s">
        <v>1943</v>
      </c>
      <c r="C8101" t="s">
        <v>13</v>
      </c>
      <c r="D8101" t="s">
        <v>1718</v>
      </c>
      <c r="E8101">
        <v>26.85</v>
      </c>
      <c r="F8101">
        <v>3</v>
      </c>
      <c r="G8101">
        <v>0</v>
      </c>
      <c r="H8101">
        <v>5.1014999999999997</v>
      </c>
      <c r="U8101">
        <v>5.1014999999999997</v>
      </c>
    </row>
    <row r="8102" spans="1:21" x14ac:dyDescent="0.35">
      <c r="A8102" s="1">
        <v>42646</v>
      </c>
      <c r="B8102" t="s">
        <v>1943</v>
      </c>
      <c r="C8102" t="s">
        <v>13</v>
      </c>
      <c r="D8102" t="s">
        <v>2710</v>
      </c>
      <c r="E8102">
        <v>3357.6</v>
      </c>
      <c r="F8102">
        <v>3</v>
      </c>
      <c r="G8102">
        <v>0.2</v>
      </c>
      <c r="H8102">
        <v>377.73</v>
      </c>
      <c r="U8102">
        <v>377.73</v>
      </c>
    </row>
    <row r="8103" spans="1:21" x14ac:dyDescent="0.35">
      <c r="A8103" t="s">
        <v>2711</v>
      </c>
      <c r="B8103" t="s">
        <v>2617</v>
      </c>
      <c r="C8103" t="s">
        <v>13</v>
      </c>
      <c r="D8103" t="s">
        <v>1104</v>
      </c>
      <c r="E8103">
        <v>8.26</v>
      </c>
      <c r="F8103">
        <v>2</v>
      </c>
      <c r="G8103">
        <v>0</v>
      </c>
      <c r="H8103">
        <v>3.7995999999999999</v>
      </c>
      <c r="U8103">
        <v>3.7995999999999999</v>
      </c>
    </row>
    <row r="8104" spans="1:21" x14ac:dyDescent="0.35">
      <c r="A8104" t="s">
        <v>2711</v>
      </c>
      <c r="B8104" t="s">
        <v>2617</v>
      </c>
      <c r="C8104" t="s">
        <v>13</v>
      </c>
      <c r="D8104" t="s">
        <v>1183</v>
      </c>
      <c r="E8104">
        <v>2973.32</v>
      </c>
      <c r="F8104">
        <v>7</v>
      </c>
      <c r="G8104">
        <v>0.2</v>
      </c>
      <c r="H8104">
        <v>334.49849999999998</v>
      </c>
      <c r="U8104">
        <v>334.49849999999998</v>
      </c>
    </row>
    <row r="8105" spans="1:21" x14ac:dyDescent="0.35">
      <c r="A8105" t="s">
        <v>2711</v>
      </c>
      <c r="B8105" t="s">
        <v>2617</v>
      </c>
      <c r="C8105" t="s">
        <v>13</v>
      </c>
      <c r="D8105" t="s">
        <v>626</v>
      </c>
      <c r="E8105">
        <v>104.79</v>
      </c>
      <c r="F8105">
        <v>7</v>
      </c>
      <c r="G8105">
        <v>0</v>
      </c>
      <c r="H8105">
        <v>29.341200000000001</v>
      </c>
      <c r="U8105">
        <v>29.341200000000001</v>
      </c>
    </row>
    <row r="8106" spans="1:21" x14ac:dyDescent="0.35">
      <c r="A8106" t="s">
        <v>2711</v>
      </c>
      <c r="B8106" t="s">
        <v>2617</v>
      </c>
      <c r="C8106" t="s">
        <v>13</v>
      </c>
      <c r="D8106" t="s">
        <v>572</v>
      </c>
      <c r="E8106">
        <v>775.72799999999995</v>
      </c>
      <c r="F8106">
        <v>6</v>
      </c>
      <c r="G8106">
        <v>0.2</v>
      </c>
      <c r="H8106">
        <v>58.179600000000001</v>
      </c>
      <c r="U8106">
        <v>58.179600000000001</v>
      </c>
    </row>
    <row r="8107" spans="1:21" x14ac:dyDescent="0.35">
      <c r="A8107" t="s">
        <v>2444</v>
      </c>
      <c r="B8107" t="s">
        <v>2486</v>
      </c>
      <c r="C8107" t="s">
        <v>35</v>
      </c>
      <c r="D8107" t="s">
        <v>792</v>
      </c>
      <c r="E8107">
        <v>89.066400000000002</v>
      </c>
      <c r="F8107">
        <v>1</v>
      </c>
      <c r="G8107">
        <v>0.32</v>
      </c>
      <c r="H8107">
        <v>-17.0274</v>
      </c>
      <c r="U8107">
        <v>-17.0274</v>
      </c>
    </row>
    <row r="8108" spans="1:21" x14ac:dyDescent="0.35">
      <c r="A8108" t="s">
        <v>2444</v>
      </c>
      <c r="B8108" t="s">
        <v>2486</v>
      </c>
      <c r="C8108" t="s">
        <v>35</v>
      </c>
      <c r="D8108" t="s">
        <v>2712</v>
      </c>
      <c r="E8108">
        <v>175.44</v>
      </c>
      <c r="F8108">
        <v>6</v>
      </c>
      <c r="G8108">
        <v>0.2</v>
      </c>
      <c r="H8108">
        <v>52.631999999999998</v>
      </c>
      <c r="U8108">
        <v>52.631999999999998</v>
      </c>
    </row>
    <row r="8109" spans="1:21" x14ac:dyDescent="0.35">
      <c r="A8109" t="s">
        <v>2444</v>
      </c>
      <c r="B8109" t="s">
        <v>2486</v>
      </c>
      <c r="C8109" t="s">
        <v>35</v>
      </c>
      <c r="D8109" t="s">
        <v>1759</v>
      </c>
      <c r="E8109">
        <v>438.33600000000001</v>
      </c>
      <c r="F8109">
        <v>4</v>
      </c>
      <c r="G8109">
        <v>0.2</v>
      </c>
      <c r="H8109">
        <v>-87.667199999999994</v>
      </c>
      <c r="U8109">
        <v>-87.667199999999994</v>
      </c>
    </row>
    <row r="8110" spans="1:21" x14ac:dyDescent="0.35">
      <c r="A8110" s="1">
        <v>42959</v>
      </c>
      <c r="B8110" t="s">
        <v>1076</v>
      </c>
      <c r="C8110" t="s">
        <v>55</v>
      </c>
      <c r="D8110" t="s">
        <v>744</v>
      </c>
      <c r="E8110">
        <v>215.54400000000001</v>
      </c>
      <c r="F8110">
        <v>4</v>
      </c>
      <c r="G8110">
        <v>0.3</v>
      </c>
      <c r="H8110">
        <v>-58.504800000000003</v>
      </c>
      <c r="U8110">
        <v>-58.504800000000003</v>
      </c>
    </row>
    <row r="8111" spans="1:21" x14ac:dyDescent="0.35">
      <c r="A8111" t="s">
        <v>1684</v>
      </c>
      <c r="B8111" t="s">
        <v>2386</v>
      </c>
      <c r="C8111" t="s">
        <v>35</v>
      </c>
      <c r="D8111" t="s">
        <v>2585</v>
      </c>
      <c r="E8111">
        <v>55.584000000000003</v>
      </c>
      <c r="F8111">
        <v>6</v>
      </c>
      <c r="G8111">
        <v>0.2</v>
      </c>
      <c r="H8111">
        <v>20.844000000000001</v>
      </c>
      <c r="U8111">
        <v>20.844000000000001</v>
      </c>
    </row>
    <row r="8112" spans="1:21" x14ac:dyDescent="0.35">
      <c r="A8112" t="s">
        <v>1684</v>
      </c>
      <c r="B8112" t="s">
        <v>2386</v>
      </c>
      <c r="C8112" t="s">
        <v>35</v>
      </c>
      <c r="D8112" t="s">
        <v>2265</v>
      </c>
      <c r="E8112">
        <v>127.386</v>
      </c>
      <c r="F8112">
        <v>2</v>
      </c>
      <c r="G8112">
        <v>0.3</v>
      </c>
      <c r="H8112">
        <v>-25.4772</v>
      </c>
      <c r="U8112">
        <v>-25.4772</v>
      </c>
    </row>
    <row r="8113" spans="1:21" x14ac:dyDescent="0.35">
      <c r="A8113" s="1">
        <v>42381</v>
      </c>
      <c r="B8113" t="s">
        <v>2139</v>
      </c>
      <c r="C8113" t="s">
        <v>35</v>
      </c>
      <c r="D8113" t="s">
        <v>882</v>
      </c>
      <c r="E8113">
        <v>248.43</v>
      </c>
      <c r="F8113">
        <v>5</v>
      </c>
      <c r="G8113">
        <v>0.3</v>
      </c>
      <c r="H8113">
        <v>-17.745000000000001</v>
      </c>
      <c r="U8113">
        <v>-17.745000000000001</v>
      </c>
    </row>
    <row r="8114" spans="1:21" x14ac:dyDescent="0.35">
      <c r="A8114" s="1">
        <v>42381</v>
      </c>
      <c r="B8114" t="s">
        <v>2139</v>
      </c>
      <c r="C8114" t="s">
        <v>35</v>
      </c>
      <c r="D8114" t="s">
        <v>1558</v>
      </c>
      <c r="E8114">
        <v>11.648</v>
      </c>
      <c r="F8114">
        <v>4</v>
      </c>
      <c r="G8114">
        <v>0.8</v>
      </c>
      <c r="H8114">
        <v>-30.8672</v>
      </c>
      <c r="U8114">
        <v>-30.8672</v>
      </c>
    </row>
    <row r="8115" spans="1:21" x14ac:dyDescent="0.35">
      <c r="A8115" s="1">
        <v>42381</v>
      </c>
      <c r="B8115" t="s">
        <v>2139</v>
      </c>
      <c r="C8115" t="s">
        <v>35</v>
      </c>
      <c r="D8115" t="s">
        <v>427</v>
      </c>
      <c r="E8115">
        <v>85.245999999999995</v>
      </c>
      <c r="F8115">
        <v>2</v>
      </c>
      <c r="G8115">
        <v>0.3</v>
      </c>
      <c r="H8115">
        <v>-1.2178</v>
      </c>
      <c r="U8115">
        <v>-1.2178</v>
      </c>
    </row>
    <row r="8116" spans="1:21" x14ac:dyDescent="0.35">
      <c r="A8116" s="1">
        <v>42804</v>
      </c>
      <c r="B8116" t="s">
        <v>1556</v>
      </c>
      <c r="C8116" t="s">
        <v>35</v>
      </c>
      <c r="D8116" t="s">
        <v>1535</v>
      </c>
      <c r="E8116">
        <v>20.64</v>
      </c>
      <c r="F8116">
        <v>5</v>
      </c>
      <c r="G8116">
        <v>0.2</v>
      </c>
      <c r="H8116">
        <v>2.3220000000000001</v>
      </c>
      <c r="U8116">
        <v>2.3220000000000001</v>
      </c>
    </row>
    <row r="8117" spans="1:21" x14ac:dyDescent="0.35">
      <c r="A8117" t="s">
        <v>1221</v>
      </c>
      <c r="B8117" t="s">
        <v>1624</v>
      </c>
      <c r="C8117" t="s">
        <v>13</v>
      </c>
      <c r="D8117" t="s">
        <v>2690</v>
      </c>
      <c r="E8117">
        <v>148.02000000000001</v>
      </c>
      <c r="F8117">
        <v>3</v>
      </c>
      <c r="G8117">
        <v>0</v>
      </c>
      <c r="H8117">
        <v>41.445599999999999</v>
      </c>
      <c r="U8117">
        <v>41.445599999999999</v>
      </c>
    </row>
    <row r="8118" spans="1:21" x14ac:dyDescent="0.35">
      <c r="A8118" t="s">
        <v>895</v>
      </c>
      <c r="B8118" t="s">
        <v>1491</v>
      </c>
      <c r="C8118" t="s">
        <v>35</v>
      </c>
      <c r="D8118" t="s">
        <v>2053</v>
      </c>
      <c r="E8118">
        <v>33.29</v>
      </c>
      <c r="F8118">
        <v>1</v>
      </c>
      <c r="G8118">
        <v>0</v>
      </c>
      <c r="H8118">
        <v>7.9896000000000003</v>
      </c>
      <c r="U8118">
        <v>7.9896000000000003</v>
      </c>
    </row>
    <row r="8119" spans="1:21" x14ac:dyDescent="0.35">
      <c r="A8119" t="s">
        <v>672</v>
      </c>
      <c r="B8119" t="s">
        <v>2149</v>
      </c>
      <c r="C8119" t="s">
        <v>13</v>
      </c>
      <c r="D8119" t="s">
        <v>1824</v>
      </c>
      <c r="E8119">
        <v>204.95</v>
      </c>
      <c r="F8119">
        <v>5</v>
      </c>
      <c r="G8119">
        <v>0</v>
      </c>
      <c r="H8119">
        <v>100.4255</v>
      </c>
      <c r="U8119">
        <v>100.4255</v>
      </c>
    </row>
    <row r="8120" spans="1:21" x14ac:dyDescent="0.35">
      <c r="A8120" t="s">
        <v>2120</v>
      </c>
      <c r="B8120" t="s">
        <v>1781</v>
      </c>
      <c r="C8120" t="s">
        <v>35</v>
      </c>
      <c r="D8120" t="s">
        <v>916</v>
      </c>
      <c r="E8120">
        <v>526.34400000000005</v>
      </c>
      <c r="F8120">
        <v>4</v>
      </c>
      <c r="G8120">
        <v>0.3</v>
      </c>
      <c r="H8120">
        <v>-75.191999999999993</v>
      </c>
      <c r="U8120">
        <v>-75.191999999999993</v>
      </c>
    </row>
    <row r="8121" spans="1:21" x14ac:dyDescent="0.35">
      <c r="A8121" s="1">
        <v>42685</v>
      </c>
      <c r="B8121" t="s">
        <v>906</v>
      </c>
      <c r="C8121" t="s">
        <v>13</v>
      </c>
      <c r="D8121" t="s">
        <v>228</v>
      </c>
      <c r="E8121">
        <v>41.96</v>
      </c>
      <c r="F8121">
        <v>2</v>
      </c>
      <c r="G8121">
        <v>0</v>
      </c>
      <c r="H8121">
        <v>10.909599999999999</v>
      </c>
      <c r="U8121">
        <v>10.909599999999999</v>
      </c>
    </row>
    <row r="8122" spans="1:21" x14ac:dyDescent="0.35">
      <c r="A8122" s="1">
        <v>42685</v>
      </c>
      <c r="B8122" t="s">
        <v>906</v>
      </c>
      <c r="C8122" t="s">
        <v>13</v>
      </c>
      <c r="D8122" t="s">
        <v>916</v>
      </c>
      <c r="E8122">
        <v>451.15199999999999</v>
      </c>
      <c r="F8122">
        <v>3</v>
      </c>
      <c r="G8122">
        <v>0.2</v>
      </c>
      <c r="H8122">
        <v>0</v>
      </c>
      <c r="U8122">
        <v>0</v>
      </c>
    </row>
    <row r="8123" spans="1:21" x14ac:dyDescent="0.35">
      <c r="A8123" s="1">
        <v>42685</v>
      </c>
      <c r="B8123" t="s">
        <v>906</v>
      </c>
      <c r="C8123" t="s">
        <v>13</v>
      </c>
      <c r="D8123" t="s">
        <v>357</v>
      </c>
      <c r="E8123">
        <v>31.504000000000001</v>
      </c>
      <c r="F8123">
        <v>11</v>
      </c>
      <c r="G8123">
        <v>0.2</v>
      </c>
      <c r="H8123">
        <v>11.026400000000001</v>
      </c>
      <c r="U8123">
        <v>11.026400000000001</v>
      </c>
    </row>
    <row r="8124" spans="1:21" x14ac:dyDescent="0.35">
      <c r="A8124" s="1">
        <v>41894</v>
      </c>
      <c r="B8124" t="s">
        <v>911</v>
      </c>
      <c r="C8124" t="s">
        <v>55</v>
      </c>
      <c r="D8124" t="s">
        <v>245</v>
      </c>
      <c r="E8124">
        <v>30.672000000000001</v>
      </c>
      <c r="F8124">
        <v>3</v>
      </c>
      <c r="G8124">
        <v>0.2</v>
      </c>
      <c r="H8124">
        <v>9.5850000000000009</v>
      </c>
      <c r="U8124">
        <v>9.5850000000000009</v>
      </c>
    </row>
    <row r="8125" spans="1:21" x14ac:dyDescent="0.35">
      <c r="A8125" s="1">
        <v>41894</v>
      </c>
      <c r="B8125" t="s">
        <v>911</v>
      </c>
      <c r="C8125" t="s">
        <v>55</v>
      </c>
      <c r="D8125" t="s">
        <v>1763</v>
      </c>
      <c r="E8125">
        <v>1079.9760000000001</v>
      </c>
      <c r="F8125">
        <v>4</v>
      </c>
      <c r="G8125">
        <v>0.4</v>
      </c>
      <c r="H8125">
        <v>125.99720000000001</v>
      </c>
      <c r="U8125">
        <v>125.99720000000001</v>
      </c>
    </row>
    <row r="8126" spans="1:21" x14ac:dyDescent="0.35">
      <c r="A8126" s="1">
        <v>42925</v>
      </c>
      <c r="B8126" t="s">
        <v>1287</v>
      </c>
      <c r="C8126" t="s">
        <v>13</v>
      </c>
      <c r="D8126" t="s">
        <v>426</v>
      </c>
      <c r="E8126">
        <v>161.56800000000001</v>
      </c>
      <c r="F8126">
        <v>2</v>
      </c>
      <c r="G8126">
        <v>0.2</v>
      </c>
      <c r="H8126">
        <v>-28.2744</v>
      </c>
      <c r="U8126">
        <v>-28.2744</v>
      </c>
    </row>
    <row r="8127" spans="1:21" x14ac:dyDescent="0.35">
      <c r="A8127" s="1">
        <v>42157</v>
      </c>
      <c r="B8127" t="s">
        <v>2641</v>
      </c>
      <c r="C8127" t="s">
        <v>35</v>
      </c>
      <c r="D8127" t="s">
        <v>1329</v>
      </c>
      <c r="E8127">
        <v>2.9340000000000002</v>
      </c>
      <c r="F8127">
        <v>3</v>
      </c>
      <c r="G8127">
        <v>0.8</v>
      </c>
      <c r="H8127">
        <v>-4.9878</v>
      </c>
      <c r="U8127">
        <v>-4.9878</v>
      </c>
    </row>
    <row r="8128" spans="1:21" x14ac:dyDescent="0.35">
      <c r="A8128" s="1">
        <v>42157</v>
      </c>
      <c r="B8128" t="s">
        <v>2641</v>
      </c>
      <c r="C8128" t="s">
        <v>35</v>
      </c>
      <c r="D8128" t="s">
        <v>219</v>
      </c>
      <c r="E8128">
        <v>18.527999999999999</v>
      </c>
      <c r="F8128">
        <v>2</v>
      </c>
      <c r="G8128">
        <v>0.2</v>
      </c>
      <c r="H8128">
        <v>4.4004000000000003</v>
      </c>
      <c r="U8128">
        <v>4.4004000000000003</v>
      </c>
    </row>
    <row r="8129" spans="1:21" x14ac:dyDescent="0.35">
      <c r="A8129" s="1">
        <v>42157</v>
      </c>
      <c r="B8129" t="s">
        <v>2641</v>
      </c>
      <c r="C8129" t="s">
        <v>35</v>
      </c>
      <c r="D8129" t="s">
        <v>2146</v>
      </c>
      <c r="E8129">
        <v>670.75199999999995</v>
      </c>
      <c r="F8129">
        <v>3</v>
      </c>
      <c r="G8129">
        <v>0.2</v>
      </c>
      <c r="H8129">
        <v>-125.76600000000001</v>
      </c>
      <c r="U8129">
        <v>-125.76600000000001</v>
      </c>
    </row>
    <row r="8130" spans="1:21" x14ac:dyDescent="0.35">
      <c r="A8130" t="s">
        <v>2213</v>
      </c>
      <c r="B8130" t="s">
        <v>111</v>
      </c>
      <c r="C8130" t="s">
        <v>35</v>
      </c>
      <c r="D8130" t="s">
        <v>1071</v>
      </c>
      <c r="E8130">
        <v>64.959999999999994</v>
      </c>
      <c r="F8130">
        <v>5</v>
      </c>
      <c r="G8130">
        <v>0.6</v>
      </c>
      <c r="H8130">
        <v>-43.847999999999999</v>
      </c>
      <c r="U8130">
        <v>-43.847999999999999</v>
      </c>
    </row>
    <row r="8131" spans="1:21" x14ac:dyDescent="0.35">
      <c r="A8131" t="s">
        <v>2013</v>
      </c>
      <c r="B8131" t="s">
        <v>272</v>
      </c>
      <c r="C8131" t="s">
        <v>13</v>
      </c>
      <c r="D8131" t="s">
        <v>1529</v>
      </c>
      <c r="E8131">
        <v>41.94</v>
      </c>
      <c r="F8131">
        <v>2</v>
      </c>
      <c r="G8131">
        <v>0</v>
      </c>
      <c r="H8131">
        <v>15.0984</v>
      </c>
      <c r="U8131">
        <v>15.0984</v>
      </c>
    </row>
    <row r="8132" spans="1:21" x14ac:dyDescent="0.35">
      <c r="A8132" t="s">
        <v>2013</v>
      </c>
      <c r="B8132" t="s">
        <v>272</v>
      </c>
      <c r="C8132" t="s">
        <v>13</v>
      </c>
      <c r="D8132" t="s">
        <v>2058</v>
      </c>
      <c r="E8132">
        <v>11.96</v>
      </c>
      <c r="F8132">
        <v>2</v>
      </c>
      <c r="G8132">
        <v>0</v>
      </c>
      <c r="H8132">
        <v>5.8604000000000003</v>
      </c>
      <c r="U8132">
        <v>5.8604000000000003</v>
      </c>
    </row>
    <row r="8133" spans="1:21" x14ac:dyDescent="0.35">
      <c r="A8133" t="s">
        <v>2013</v>
      </c>
      <c r="B8133" t="s">
        <v>272</v>
      </c>
      <c r="C8133" t="s">
        <v>13</v>
      </c>
      <c r="D8133" t="s">
        <v>2459</v>
      </c>
      <c r="E8133">
        <v>13.12</v>
      </c>
      <c r="F8133">
        <v>4</v>
      </c>
      <c r="G8133">
        <v>0</v>
      </c>
      <c r="H8133">
        <v>3.8048000000000002</v>
      </c>
      <c r="U8133">
        <v>3.8048000000000002</v>
      </c>
    </row>
    <row r="8134" spans="1:21" x14ac:dyDescent="0.35">
      <c r="A8134" t="s">
        <v>2013</v>
      </c>
      <c r="B8134" t="s">
        <v>272</v>
      </c>
      <c r="C8134" t="s">
        <v>13</v>
      </c>
      <c r="D8134" t="s">
        <v>947</v>
      </c>
      <c r="E8134">
        <v>535.41</v>
      </c>
      <c r="F8134">
        <v>3</v>
      </c>
      <c r="G8134">
        <v>0</v>
      </c>
      <c r="H8134">
        <v>160.62299999999999</v>
      </c>
      <c r="U8134">
        <v>160.62299999999999</v>
      </c>
    </row>
    <row r="8135" spans="1:21" x14ac:dyDescent="0.35">
      <c r="A8135" s="1">
        <v>42226</v>
      </c>
      <c r="B8135" t="s">
        <v>76</v>
      </c>
      <c r="C8135" t="s">
        <v>35</v>
      </c>
      <c r="D8135" t="s">
        <v>154</v>
      </c>
      <c r="E8135">
        <v>72.78</v>
      </c>
      <c r="F8135">
        <v>3</v>
      </c>
      <c r="G8135">
        <v>0.6</v>
      </c>
      <c r="H8135">
        <v>-70.960499999999996</v>
      </c>
      <c r="U8135">
        <v>-70.960499999999996</v>
      </c>
    </row>
    <row r="8136" spans="1:21" x14ac:dyDescent="0.35">
      <c r="A8136" t="s">
        <v>2347</v>
      </c>
      <c r="B8136" t="s">
        <v>1318</v>
      </c>
      <c r="C8136" t="s">
        <v>13</v>
      </c>
      <c r="D8136" t="s">
        <v>602</v>
      </c>
      <c r="E8136">
        <v>36.840000000000003</v>
      </c>
      <c r="F8136">
        <v>3</v>
      </c>
      <c r="G8136">
        <v>0</v>
      </c>
      <c r="H8136">
        <v>17.314800000000002</v>
      </c>
      <c r="U8136">
        <v>17.314800000000002</v>
      </c>
    </row>
    <row r="8137" spans="1:21" x14ac:dyDescent="0.35">
      <c r="A8137" t="s">
        <v>2347</v>
      </c>
      <c r="B8137" t="s">
        <v>1318</v>
      </c>
      <c r="C8137" t="s">
        <v>13</v>
      </c>
      <c r="D8137" t="s">
        <v>113</v>
      </c>
      <c r="E8137">
        <v>87.71</v>
      </c>
      <c r="F8137">
        <v>7</v>
      </c>
      <c r="G8137">
        <v>0</v>
      </c>
      <c r="H8137">
        <v>41.223700000000001</v>
      </c>
      <c r="U8137">
        <v>41.223700000000001</v>
      </c>
    </row>
    <row r="8138" spans="1:21" x14ac:dyDescent="0.35">
      <c r="A8138" s="1">
        <v>42712</v>
      </c>
      <c r="B8138" t="s">
        <v>2365</v>
      </c>
      <c r="C8138" t="s">
        <v>8</v>
      </c>
      <c r="D8138" t="s">
        <v>533</v>
      </c>
      <c r="E8138">
        <v>562.29250000000002</v>
      </c>
      <c r="F8138">
        <v>7</v>
      </c>
      <c r="G8138">
        <v>0.45</v>
      </c>
      <c r="H8138">
        <v>-255.58750000000001</v>
      </c>
      <c r="U8138">
        <v>-255.58750000000001</v>
      </c>
    </row>
    <row r="8139" spans="1:21" x14ac:dyDescent="0.35">
      <c r="A8139" s="1">
        <v>41893</v>
      </c>
      <c r="B8139" t="s">
        <v>2297</v>
      </c>
      <c r="C8139" t="s">
        <v>55</v>
      </c>
      <c r="D8139" t="s">
        <v>1607</v>
      </c>
      <c r="E8139">
        <v>56.52</v>
      </c>
      <c r="F8139">
        <v>9</v>
      </c>
      <c r="G8139">
        <v>0</v>
      </c>
      <c r="H8139">
        <v>21.477599999999999</v>
      </c>
      <c r="U8139">
        <v>21.477599999999999</v>
      </c>
    </row>
    <row r="8140" spans="1:21" x14ac:dyDescent="0.35">
      <c r="A8140" t="s">
        <v>1478</v>
      </c>
      <c r="B8140" t="s">
        <v>299</v>
      </c>
      <c r="C8140" t="s">
        <v>55</v>
      </c>
      <c r="D8140" t="s">
        <v>1410</v>
      </c>
      <c r="E8140">
        <v>11.263999999999999</v>
      </c>
      <c r="F8140">
        <v>8</v>
      </c>
      <c r="G8140">
        <v>0.2</v>
      </c>
      <c r="H8140">
        <v>1.2672000000000001</v>
      </c>
      <c r="U8140">
        <v>1.2672000000000001</v>
      </c>
    </row>
    <row r="8141" spans="1:21" x14ac:dyDescent="0.35">
      <c r="A8141" t="s">
        <v>1478</v>
      </c>
      <c r="B8141" t="s">
        <v>299</v>
      </c>
      <c r="C8141" t="s">
        <v>55</v>
      </c>
      <c r="D8141" t="s">
        <v>1428</v>
      </c>
      <c r="E8141">
        <v>284.08</v>
      </c>
      <c r="F8141">
        <v>10</v>
      </c>
      <c r="G8141">
        <v>0.2</v>
      </c>
      <c r="H8141">
        <v>24.856999999999999</v>
      </c>
      <c r="U8141">
        <v>24.856999999999999</v>
      </c>
    </row>
    <row r="8142" spans="1:21" x14ac:dyDescent="0.35">
      <c r="A8142" t="s">
        <v>1478</v>
      </c>
      <c r="B8142" t="s">
        <v>299</v>
      </c>
      <c r="C8142" t="s">
        <v>55</v>
      </c>
      <c r="D8142" t="s">
        <v>1089</v>
      </c>
      <c r="E8142">
        <v>18.495999999999999</v>
      </c>
      <c r="F8142">
        <v>4</v>
      </c>
      <c r="G8142">
        <v>0.2</v>
      </c>
      <c r="H8142">
        <v>6.7047999999999996</v>
      </c>
      <c r="U8142">
        <v>6.7047999999999996</v>
      </c>
    </row>
    <row r="8143" spans="1:21" x14ac:dyDescent="0.35">
      <c r="A8143" s="1">
        <v>42492</v>
      </c>
      <c r="B8143" t="s">
        <v>2114</v>
      </c>
      <c r="C8143" t="s">
        <v>13</v>
      </c>
      <c r="D8143" t="s">
        <v>1086</v>
      </c>
      <c r="E8143">
        <v>14.73</v>
      </c>
      <c r="F8143">
        <v>3</v>
      </c>
      <c r="G8143">
        <v>0</v>
      </c>
      <c r="H8143">
        <v>7.2176999999999998</v>
      </c>
      <c r="U8143">
        <v>7.2176999999999998</v>
      </c>
    </row>
    <row r="8144" spans="1:21" x14ac:dyDescent="0.35">
      <c r="A8144" s="1">
        <v>42492</v>
      </c>
      <c r="B8144" t="s">
        <v>2114</v>
      </c>
      <c r="C8144" t="s">
        <v>13</v>
      </c>
      <c r="D8144" t="s">
        <v>1406</v>
      </c>
      <c r="E8144">
        <v>186.54</v>
      </c>
      <c r="F8144">
        <v>3</v>
      </c>
      <c r="G8144">
        <v>0</v>
      </c>
      <c r="H8144">
        <v>50.3658</v>
      </c>
      <c r="U8144">
        <v>50.3658</v>
      </c>
    </row>
    <row r="8145" spans="1:21" x14ac:dyDescent="0.35">
      <c r="A8145" s="1">
        <v>42492</v>
      </c>
      <c r="B8145" t="s">
        <v>2114</v>
      </c>
      <c r="C8145" t="s">
        <v>13</v>
      </c>
      <c r="D8145" t="s">
        <v>1096</v>
      </c>
      <c r="E8145">
        <v>557.72799999999995</v>
      </c>
      <c r="F8145">
        <v>4</v>
      </c>
      <c r="G8145">
        <v>0.2</v>
      </c>
      <c r="H8145">
        <v>6.9715999999999996</v>
      </c>
      <c r="U8145">
        <v>6.9715999999999996</v>
      </c>
    </row>
    <row r="8146" spans="1:21" x14ac:dyDescent="0.35">
      <c r="A8146" s="1">
        <v>42492</v>
      </c>
      <c r="B8146" t="s">
        <v>2114</v>
      </c>
      <c r="C8146" t="s">
        <v>13</v>
      </c>
      <c r="D8146" t="s">
        <v>288</v>
      </c>
      <c r="E8146">
        <v>159.96799999999999</v>
      </c>
      <c r="F8146">
        <v>4</v>
      </c>
      <c r="G8146">
        <v>0.2</v>
      </c>
      <c r="H8146">
        <v>-31.993600000000001</v>
      </c>
      <c r="U8146">
        <v>-31.993600000000001</v>
      </c>
    </row>
    <row r="8147" spans="1:21" x14ac:dyDescent="0.35">
      <c r="A8147" t="s">
        <v>2387</v>
      </c>
      <c r="B8147" t="s">
        <v>1677</v>
      </c>
      <c r="C8147" t="s">
        <v>35</v>
      </c>
      <c r="D8147" t="s">
        <v>1858</v>
      </c>
      <c r="E8147">
        <v>471.9</v>
      </c>
      <c r="F8147">
        <v>6</v>
      </c>
      <c r="G8147">
        <v>0</v>
      </c>
      <c r="H8147">
        <v>155.727</v>
      </c>
      <c r="U8147">
        <v>155.727</v>
      </c>
    </row>
    <row r="8148" spans="1:21" x14ac:dyDescent="0.35">
      <c r="A8148" t="s">
        <v>2387</v>
      </c>
      <c r="B8148" t="s">
        <v>1677</v>
      </c>
      <c r="C8148" t="s">
        <v>35</v>
      </c>
      <c r="D8148" t="s">
        <v>2022</v>
      </c>
      <c r="E8148">
        <v>3.52</v>
      </c>
      <c r="F8148">
        <v>2</v>
      </c>
      <c r="G8148">
        <v>0</v>
      </c>
      <c r="H8148">
        <v>1.6896</v>
      </c>
      <c r="U8148">
        <v>1.6896</v>
      </c>
    </row>
    <row r="8149" spans="1:21" x14ac:dyDescent="0.35">
      <c r="A8149" s="1">
        <v>42984</v>
      </c>
      <c r="B8149" t="s">
        <v>679</v>
      </c>
      <c r="C8149" t="s">
        <v>8</v>
      </c>
      <c r="D8149" t="s">
        <v>75</v>
      </c>
      <c r="E8149">
        <v>49.12</v>
      </c>
      <c r="F8149">
        <v>4</v>
      </c>
      <c r="G8149">
        <v>0</v>
      </c>
      <c r="H8149">
        <v>23.086400000000001</v>
      </c>
      <c r="U8149">
        <v>23.086400000000001</v>
      </c>
    </row>
    <row r="8150" spans="1:21" x14ac:dyDescent="0.35">
      <c r="A8150" t="s">
        <v>2246</v>
      </c>
      <c r="B8150" t="s">
        <v>2268</v>
      </c>
      <c r="C8150" t="s">
        <v>13</v>
      </c>
      <c r="D8150" t="s">
        <v>1294</v>
      </c>
      <c r="E8150">
        <v>20.16</v>
      </c>
      <c r="F8150">
        <v>7</v>
      </c>
      <c r="G8150">
        <v>0</v>
      </c>
      <c r="H8150">
        <v>9.8783999999999992</v>
      </c>
      <c r="U8150">
        <v>9.8783999999999992</v>
      </c>
    </row>
    <row r="8151" spans="1:21" x14ac:dyDescent="0.35">
      <c r="A8151" t="s">
        <v>1422</v>
      </c>
      <c r="B8151" t="s">
        <v>2242</v>
      </c>
      <c r="C8151" t="s">
        <v>35</v>
      </c>
      <c r="D8151" t="s">
        <v>1585</v>
      </c>
      <c r="E8151">
        <v>10.68</v>
      </c>
      <c r="F8151">
        <v>2</v>
      </c>
      <c r="G8151">
        <v>0</v>
      </c>
      <c r="H8151">
        <v>5.0195999999999996</v>
      </c>
      <c r="U8151">
        <v>5.0195999999999996</v>
      </c>
    </row>
    <row r="8152" spans="1:21" x14ac:dyDescent="0.35">
      <c r="A8152" t="s">
        <v>1422</v>
      </c>
      <c r="B8152" t="s">
        <v>2242</v>
      </c>
      <c r="C8152" t="s">
        <v>35</v>
      </c>
      <c r="D8152" t="s">
        <v>1122</v>
      </c>
      <c r="E8152">
        <v>141.96</v>
      </c>
      <c r="F8152">
        <v>2</v>
      </c>
      <c r="G8152">
        <v>0</v>
      </c>
      <c r="H8152">
        <v>39.748800000000003</v>
      </c>
      <c r="U8152">
        <v>39.748800000000003</v>
      </c>
    </row>
    <row r="8153" spans="1:21" x14ac:dyDescent="0.35">
      <c r="A8153" t="s">
        <v>1028</v>
      </c>
      <c r="B8153" t="s">
        <v>754</v>
      </c>
      <c r="C8153" t="s">
        <v>13</v>
      </c>
      <c r="D8153" t="s">
        <v>1258</v>
      </c>
      <c r="E8153">
        <v>32.479999999999997</v>
      </c>
      <c r="F8153">
        <v>2</v>
      </c>
      <c r="G8153">
        <v>0</v>
      </c>
      <c r="H8153">
        <v>4.8719999999999999</v>
      </c>
      <c r="U8153">
        <v>4.8719999999999999</v>
      </c>
    </row>
    <row r="8154" spans="1:21" x14ac:dyDescent="0.35">
      <c r="A8154" t="s">
        <v>1028</v>
      </c>
      <c r="B8154" t="s">
        <v>754</v>
      </c>
      <c r="C8154" t="s">
        <v>13</v>
      </c>
      <c r="D8154" t="s">
        <v>891</v>
      </c>
      <c r="E8154">
        <v>20.04</v>
      </c>
      <c r="F8154">
        <v>3</v>
      </c>
      <c r="G8154">
        <v>0</v>
      </c>
      <c r="H8154">
        <v>9.6191999999999993</v>
      </c>
      <c r="U8154">
        <v>9.6191999999999993</v>
      </c>
    </row>
    <row r="8155" spans="1:21" x14ac:dyDescent="0.35">
      <c r="A8155" t="s">
        <v>1028</v>
      </c>
      <c r="B8155" t="s">
        <v>754</v>
      </c>
      <c r="C8155" t="s">
        <v>13</v>
      </c>
      <c r="D8155" t="s">
        <v>2179</v>
      </c>
      <c r="E8155">
        <v>13999.96</v>
      </c>
      <c r="F8155">
        <v>4</v>
      </c>
      <c r="G8155">
        <v>0</v>
      </c>
      <c r="H8155">
        <v>6719.9808000000003</v>
      </c>
      <c r="U8155">
        <v>6719.9808000000003</v>
      </c>
    </row>
    <row r="8156" spans="1:21" x14ac:dyDescent="0.35">
      <c r="A8156" t="s">
        <v>751</v>
      </c>
      <c r="B8156" t="s">
        <v>2504</v>
      </c>
      <c r="C8156" t="s">
        <v>55</v>
      </c>
      <c r="D8156" t="s">
        <v>1916</v>
      </c>
      <c r="E8156">
        <v>238</v>
      </c>
      <c r="F8156">
        <v>2</v>
      </c>
      <c r="G8156">
        <v>0</v>
      </c>
      <c r="H8156">
        <v>38.08</v>
      </c>
      <c r="U8156">
        <v>38.08</v>
      </c>
    </row>
    <row r="8157" spans="1:21" x14ac:dyDescent="0.35">
      <c r="A8157" t="s">
        <v>751</v>
      </c>
      <c r="B8157" t="s">
        <v>2504</v>
      </c>
      <c r="C8157" t="s">
        <v>55</v>
      </c>
      <c r="D8157" t="s">
        <v>1697</v>
      </c>
      <c r="E8157">
        <v>61.96</v>
      </c>
      <c r="F8157">
        <v>2</v>
      </c>
      <c r="G8157">
        <v>0</v>
      </c>
      <c r="H8157">
        <v>27.882000000000001</v>
      </c>
      <c r="U8157">
        <v>27.882000000000001</v>
      </c>
    </row>
    <row r="8158" spans="1:21" x14ac:dyDescent="0.35">
      <c r="A8158" s="1">
        <v>42470</v>
      </c>
      <c r="B8158" t="s">
        <v>938</v>
      </c>
      <c r="C8158" t="s">
        <v>55</v>
      </c>
      <c r="D8158" t="s">
        <v>1614</v>
      </c>
      <c r="E8158">
        <v>239.37200000000001</v>
      </c>
      <c r="F8158">
        <v>2</v>
      </c>
      <c r="G8158">
        <v>0.3</v>
      </c>
      <c r="H8158">
        <v>-23.937200000000001</v>
      </c>
      <c r="U8158">
        <v>-23.937200000000001</v>
      </c>
    </row>
    <row r="8159" spans="1:21" x14ac:dyDescent="0.35">
      <c r="A8159" t="s">
        <v>2145</v>
      </c>
      <c r="B8159" t="s">
        <v>1171</v>
      </c>
      <c r="C8159" t="s">
        <v>13</v>
      </c>
      <c r="D8159" t="s">
        <v>1916</v>
      </c>
      <c r="E8159">
        <v>595</v>
      </c>
      <c r="F8159">
        <v>5</v>
      </c>
      <c r="G8159">
        <v>0</v>
      </c>
      <c r="H8159">
        <v>95.2</v>
      </c>
      <c r="U8159">
        <v>95.2</v>
      </c>
    </row>
    <row r="8160" spans="1:21" x14ac:dyDescent="0.35">
      <c r="A8160" t="s">
        <v>1330</v>
      </c>
      <c r="B8160" t="s">
        <v>873</v>
      </c>
      <c r="C8160" t="s">
        <v>35</v>
      </c>
      <c r="D8160" t="s">
        <v>2041</v>
      </c>
      <c r="E8160">
        <v>16.032</v>
      </c>
      <c r="F8160">
        <v>3</v>
      </c>
      <c r="G8160">
        <v>0.2</v>
      </c>
      <c r="H8160">
        <v>5.6112000000000002</v>
      </c>
      <c r="U8160">
        <v>5.6112000000000002</v>
      </c>
    </row>
    <row r="8161" spans="1:21" x14ac:dyDescent="0.35">
      <c r="A8161" s="1">
        <v>42616</v>
      </c>
      <c r="B8161" t="s">
        <v>204</v>
      </c>
      <c r="C8161" t="s">
        <v>55</v>
      </c>
      <c r="D8161" t="s">
        <v>474</v>
      </c>
      <c r="E8161">
        <v>199.75</v>
      </c>
      <c r="F8161">
        <v>5</v>
      </c>
      <c r="G8161">
        <v>0</v>
      </c>
      <c r="H8161">
        <v>87.89</v>
      </c>
      <c r="U8161">
        <v>87.89</v>
      </c>
    </row>
    <row r="8162" spans="1:21" x14ac:dyDescent="0.35">
      <c r="A8162" t="s">
        <v>1845</v>
      </c>
      <c r="B8162" t="s">
        <v>1681</v>
      </c>
      <c r="C8162" t="s">
        <v>55</v>
      </c>
      <c r="D8162" t="s">
        <v>2620</v>
      </c>
      <c r="E8162">
        <v>227.96</v>
      </c>
      <c r="F8162">
        <v>2</v>
      </c>
      <c r="G8162">
        <v>0</v>
      </c>
      <c r="H8162">
        <v>36.473599999999998</v>
      </c>
      <c r="U8162">
        <v>36.473599999999998</v>
      </c>
    </row>
    <row r="8163" spans="1:21" x14ac:dyDescent="0.35">
      <c r="A8163" t="s">
        <v>505</v>
      </c>
      <c r="B8163" t="s">
        <v>1358</v>
      </c>
      <c r="C8163" t="s">
        <v>55</v>
      </c>
      <c r="D8163" t="s">
        <v>780</v>
      </c>
      <c r="E8163">
        <v>293.52</v>
      </c>
      <c r="F8163">
        <v>6</v>
      </c>
      <c r="G8163">
        <v>0</v>
      </c>
      <c r="H8163">
        <v>76.315200000000004</v>
      </c>
      <c r="U8163">
        <v>76.315200000000004</v>
      </c>
    </row>
    <row r="8164" spans="1:21" x14ac:dyDescent="0.35">
      <c r="A8164" t="s">
        <v>505</v>
      </c>
      <c r="B8164" t="s">
        <v>1358</v>
      </c>
      <c r="C8164" t="s">
        <v>55</v>
      </c>
      <c r="D8164" t="s">
        <v>668</v>
      </c>
      <c r="E8164">
        <v>307.98</v>
      </c>
      <c r="F8164">
        <v>2</v>
      </c>
      <c r="G8164">
        <v>0</v>
      </c>
      <c r="H8164">
        <v>89.3142</v>
      </c>
      <c r="U8164">
        <v>89.3142</v>
      </c>
    </row>
    <row r="8165" spans="1:21" x14ac:dyDescent="0.35">
      <c r="A8165" s="1">
        <v>42046</v>
      </c>
      <c r="B8165" t="s">
        <v>1129</v>
      </c>
      <c r="C8165" t="s">
        <v>13</v>
      </c>
      <c r="D8165" t="s">
        <v>2158</v>
      </c>
      <c r="E8165">
        <v>96.96</v>
      </c>
      <c r="F8165">
        <v>6</v>
      </c>
      <c r="G8165">
        <v>0</v>
      </c>
      <c r="H8165">
        <v>33.936</v>
      </c>
      <c r="U8165">
        <v>33.936</v>
      </c>
    </row>
    <row r="8166" spans="1:21" x14ac:dyDescent="0.35">
      <c r="A8166" s="1">
        <v>42046</v>
      </c>
      <c r="B8166" t="s">
        <v>1129</v>
      </c>
      <c r="C8166" t="s">
        <v>13</v>
      </c>
      <c r="D8166" t="s">
        <v>576</v>
      </c>
      <c r="E8166">
        <v>117.488</v>
      </c>
      <c r="F8166">
        <v>7</v>
      </c>
      <c r="G8166">
        <v>0.2</v>
      </c>
      <c r="H8166">
        <v>41.120800000000003</v>
      </c>
      <c r="U8166">
        <v>41.120800000000003</v>
      </c>
    </row>
    <row r="8167" spans="1:21" x14ac:dyDescent="0.35">
      <c r="A8167" s="1">
        <v>42046</v>
      </c>
      <c r="B8167" t="s">
        <v>1129</v>
      </c>
      <c r="C8167" t="s">
        <v>13</v>
      </c>
      <c r="D8167" t="s">
        <v>1060</v>
      </c>
      <c r="E8167">
        <v>11.952</v>
      </c>
      <c r="F8167">
        <v>3</v>
      </c>
      <c r="G8167">
        <v>0.2</v>
      </c>
      <c r="H8167">
        <v>4.1832000000000003</v>
      </c>
      <c r="U8167">
        <v>4.1832000000000003</v>
      </c>
    </row>
    <row r="8168" spans="1:21" x14ac:dyDescent="0.35">
      <c r="A8168" s="1">
        <v>42046</v>
      </c>
      <c r="B8168" t="s">
        <v>1129</v>
      </c>
      <c r="C8168" t="s">
        <v>13</v>
      </c>
      <c r="D8168" t="s">
        <v>2159</v>
      </c>
      <c r="E8168">
        <v>512.49900000000002</v>
      </c>
      <c r="F8168">
        <v>3</v>
      </c>
      <c r="G8168">
        <v>0.15</v>
      </c>
      <c r="H8168">
        <v>-30.146999999999998</v>
      </c>
      <c r="U8168">
        <v>-30.146999999999998</v>
      </c>
    </row>
    <row r="8169" spans="1:21" x14ac:dyDescent="0.35">
      <c r="A8169" t="s">
        <v>834</v>
      </c>
      <c r="B8169" t="s">
        <v>2377</v>
      </c>
      <c r="C8169" t="s">
        <v>13</v>
      </c>
      <c r="D8169" t="s">
        <v>1051</v>
      </c>
      <c r="E8169">
        <v>863.12800000000004</v>
      </c>
      <c r="F8169">
        <v>7</v>
      </c>
      <c r="G8169">
        <v>0.2</v>
      </c>
      <c r="H8169">
        <v>-32.3673</v>
      </c>
      <c r="U8169">
        <v>-32.3673</v>
      </c>
    </row>
    <row r="8170" spans="1:21" x14ac:dyDescent="0.35">
      <c r="A8170" s="1">
        <v>42897</v>
      </c>
      <c r="B8170" t="s">
        <v>601</v>
      </c>
      <c r="C8170" t="s">
        <v>13</v>
      </c>
      <c r="D8170" t="s">
        <v>588</v>
      </c>
      <c r="E8170">
        <v>2036.86</v>
      </c>
      <c r="F8170">
        <v>7</v>
      </c>
      <c r="G8170">
        <v>0</v>
      </c>
      <c r="H8170">
        <v>366.63479999999998</v>
      </c>
      <c r="U8170">
        <v>366.63479999999998</v>
      </c>
    </row>
    <row r="8171" spans="1:21" x14ac:dyDescent="0.35">
      <c r="A8171" s="1">
        <v>42897</v>
      </c>
      <c r="B8171" t="s">
        <v>601</v>
      </c>
      <c r="C8171" t="s">
        <v>13</v>
      </c>
      <c r="D8171" t="s">
        <v>574</v>
      </c>
      <c r="E8171">
        <v>449.56799999999998</v>
      </c>
      <c r="F8171">
        <v>2</v>
      </c>
      <c r="G8171">
        <v>0.2</v>
      </c>
      <c r="H8171">
        <v>-73.0548</v>
      </c>
      <c r="U8171">
        <v>-73.0548</v>
      </c>
    </row>
    <row r="8172" spans="1:21" x14ac:dyDescent="0.35">
      <c r="A8172" s="1">
        <v>42897</v>
      </c>
      <c r="B8172" t="s">
        <v>601</v>
      </c>
      <c r="C8172" t="s">
        <v>13</v>
      </c>
      <c r="D8172" t="s">
        <v>888</v>
      </c>
      <c r="E8172">
        <v>108.96</v>
      </c>
      <c r="F8172">
        <v>3</v>
      </c>
      <c r="G8172">
        <v>0</v>
      </c>
      <c r="H8172">
        <v>32.688000000000002</v>
      </c>
      <c r="U8172">
        <v>32.688000000000002</v>
      </c>
    </row>
    <row r="8173" spans="1:21" x14ac:dyDescent="0.35">
      <c r="A8173" t="s">
        <v>2685</v>
      </c>
      <c r="B8173" t="s">
        <v>975</v>
      </c>
      <c r="C8173" t="s">
        <v>8</v>
      </c>
      <c r="D8173" t="s">
        <v>1616</v>
      </c>
      <c r="E8173">
        <v>264.18</v>
      </c>
      <c r="F8173">
        <v>7</v>
      </c>
      <c r="G8173">
        <v>0</v>
      </c>
      <c r="H8173">
        <v>68.686800000000005</v>
      </c>
      <c r="U8173">
        <v>68.686800000000005</v>
      </c>
    </row>
    <row r="8174" spans="1:21" x14ac:dyDescent="0.35">
      <c r="A8174" s="1">
        <v>41889</v>
      </c>
      <c r="B8174" t="s">
        <v>2319</v>
      </c>
      <c r="C8174" t="s">
        <v>13</v>
      </c>
      <c r="D8174" t="s">
        <v>2148</v>
      </c>
      <c r="E8174">
        <v>2.88</v>
      </c>
      <c r="F8174">
        <v>1</v>
      </c>
      <c r="G8174">
        <v>0</v>
      </c>
      <c r="H8174">
        <v>1.4112</v>
      </c>
      <c r="U8174">
        <v>1.4112</v>
      </c>
    </row>
    <row r="8175" spans="1:21" x14ac:dyDescent="0.35">
      <c r="A8175" s="1">
        <v>41889</v>
      </c>
      <c r="B8175" t="s">
        <v>2319</v>
      </c>
      <c r="C8175" t="s">
        <v>13</v>
      </c>
      <c r="D8175" t="s">
        <v>100</v>
      </c>
      <c r="E8175">
        <v>41.904000000000003</v>
      </c>
      <c r="F8175">
        <v>6</v>
      </c>
      <c r="G8175">
        <v>0.2</v>
      </c>
      <c r="H8175">
        <v>14.1426</v>
      </c>
      <c r="U8175">
        <v>14.1426</v>
      </c>
    </row>
    <row r="8176" spans="1:21" x14ac:dyDescent="0.35">
      <c r="A8176" s="1">
        <v>41889</v>
      </c>
      <c r="B8176" t="s">
        <v>2319</v>
      </c>
      <c r="C8176" t="s">
        <v>13</v>
      </c>
      <c r="D8176" t="s">
        <v>1914</v>
      </c>
      <c r="E8176">
        <v>23.92</v>
      </c>
      <c r="F8176">
        <v>4</v>
      </c>
      <c r="G8176">
        <v>0</v>
      </c>
      <c r="H8176">
        <v>4.0663999999999998</v>
      </c>
      <c r="U8176">
        <v>4.0663999999999998</v>
      </c>
    </row>
    <row r="8177" spans="1:21" x14ac:dyDescent="0.35">
      <c r="A8177" t="s">
        <v>2255</v>
      </c>
      <c r="B8177" t="s">
        <v>2713</v>
      </c>
      <c r="C8177" t="s">
        <v>35</v>
      </c>
      <c r="D8177" t="s">
        <v>134</v>
      </c>
      <c r="E8177">
        <v>156.512</v>
      </c>
      <c r="F8177">
        <v>4</v>
      </c>
      <c r="G8177">
        <v>0.2</v>
      </c>
      <c r="H8177">
        <v>52.822800000000001</v>
      </c>
      <c r="U8177">
        <v>52.822800000000001</v>
      </c>
    </row>
    <row r="8178" spans="1:21" x14ac:dyDescent="0.35">
      <c r="A8178" t="s">
        <v>184</v>
      </c>
      <c r="B8178" t="s">
        <v>1596</v>
      </c>
      <c r="C8178" t="s">
        <v>55</v>
      </c>
      <c r="D8178" t="s">
        <v>167</v>
      </c>
      <c r="E8178">
        <v>128.34</v>
      </c>
      <c r="F8178">
        <v>6</v>
      </c>
      <c r="G8178">
        <v>0</v>
      </c>
      <c r="H8178">
        <v>37.218600000000002</v>
      </c>
      <c r="U8178">
        <v>37.218600000000002</v>
      </c>
    </row>
    <row r="8179" spans="1:21" x14ac:dyDescent="0.35">
      <c r="A8179" t="s">
        <v>278</v>
      </c>
      <c r="B8179" t="s">
        <v>1577</v>
      </c>
      <c r="C8179" t="s">
        <v>13</v>
      </c>
      <c r="D8179" t="s">
        <v>2356</v>
      </c>
      <c r="E8179">
        <v>474.95</v>
      </c>
      <c r="F8179">
        <v>5</v>
      </c>
      <c r="G8179">
        <v>0</v>
      </c>
      <c r="H8179">
        <v>142.48500000000001</v>
      </c>
      <c r="U8179">
        <v>142.48500000000001</v>
      </c>
    </row>
    <row r="8180" spans="1:21" x14ac:dyDescent="0.35">
      <c r="A8180" s="1">
        <v>42409</v>
      </c>
      <c r="B8180" t="s">
        <v>2037</v>
      </c>
      <c r="C8180" t="s">
        <v>13</v>
      </c>
      <c r="D8180" t="s">
        <v>1095</v>
      </c>
      <c r="E8180">
        <v>999.98</v>
      </c>
      <c r="F8180">
        <v>2</v>
      </c>
      <c r="G8180">
        <v>0</v>
      </c>
      <c r="H8180">
        <v>449.99099999999999</v>
      </c>
      <c r="U8180">
        <v>449.99099999999999</v>
      </c>
    </row>
    <row r="8181" spans="1:21" x14ac:dyDescent="0.35">
      <c r="A8181" s="1">
        <v>42043</v>
      </c>
      <c r="B8181" t="s">
        <v>880</v>
      </c>
      <c r="C8181" t="s">
        <v>13</v>
      </c>
      <c r="D8181" t="s">
        <v>2431</v>
      </c>
      <c r="E8181">
        <v>277.5</v>
      </c>
      <c r="F8181">
        <v>4</v>
      </c>
      <c r="G8181">
        <v>0.5</v>
      </c>
      <c r="H8181">
        <v>-188.7</v>
      </c>
      <c r="U8181">
        <v>-188.7</v>
      </c>
    </row>
    <row r="8182" spans="1:21" x14ac:dyDescent="0.35">
      <c r="A8182" t="s">
        <v>338</v>
      </c>
      <c r="B8182" t="s">
        <v>2579</v>
      </c>
      <c r="C8182" t="s">
        <v>55</v>
      </c>
      <c r="D8182" t="s">
        <v>1609</v>
      </c>
      <c r="E8182">
        <v>1252.704</v>
      </c>
      <c r="F8182">
        <v>8</v>
      </c>
      <c r="G8182">
        <v>0.4</v>
      </c>
      <c r="H8182">
        <v>-480.20319999999998</v>
      </c>
      <c r="U8182">
        <v>-480.20319999999998</v>
      </c>
    </row>
    <row r="8183" spans="1:21" x14ac:dyDescent="0.35">
      <c r="A8183" t="s">
        <v>338</v>
      </c>
      <c r="B8183" t="s">
        <v>2579</v>
      </c>
      <c r="C8183" t="s">
        <v>55</v>
      </c>
      <c r="D8183" t="s">
        <v>1210</v>
      </c>
      <c r="E8183">
        <v>110.97</v>
      </c>
      <c r="F8183">
        <v>5</v>
      </c>
      <c r="G8183">
        <v>0.4</v>
      </c>
      <c r="H8183">
        <v>-24.043500000000002</v>
      </c>
      <c r="U8183">
        <v>-24.043500000000002</v>
      </c>
    </row>
    <row r="8184" spans="1:21" x14ac:dyDescent="0.35">
      <c r="A8184" t="s">
        <v>1286</v>
      </c>
      <c r="B8184" t="s">
        <v>2068</v>
      </c>
      <c r="C8184" t="s">
        <v>35</v>
      </c>
      <c r="D8184" t="s">
        <v>1862</v>
      </c>
      <c r="E8184">
        <v>22.608000000000001</v>
      </c>
      <c r="F8184">
        <v>3</v>
      </c>
      <c r="G8184">
        <v>0.6</v>
      </c>
      <c r="H8184">
        <v>-10.1736</v>
      </c>
      <c r="U8184">
        <v>-10.1736</v>
      </c>
    </row>
    <row r="8185" spans="1:21" x14ac:dyDescent="0.35">
      <c r="A8185" t="s">
        <v>1286</v>
      </c>
      <c r="B8185" t="s">
        <v>2068</v>
      </c>
      <c r="C8185" t="s">
        <v>35</v>
      </c>
      <c r="D8185" t="s">
        <v>546</v>
      </c>
      <c r="E8185">
        <v>1.8919999999999999</v>
      </c>
      <c r="F8185">
        <v>1</v>
      </c>
      <c r="G8185">
        <v>0.6</v>
      </c>
      <c r="H8185">
        <v>-0.99329999999999996</v>
      </c>
      <c r="U8185">
        <v>-0.99329999999999996</v>
      </c>
    </row>
    <row r="8186" spans="1:21" x14ac:dyDescent="0.35">
      <c r="A8186" t="s">
        <v>1099</v>
      </c>
      <c r="B8186" t="s">
        <v>839</v>
      </c>
      <c r="C8186" t="s">
        <v>35</v>
      </c>
      <c r="D8186" t="s">
        <v>1588</v>
      </c>
      <c r="E8186">
        <v>63.311999999999998</v>
      </c>
      <c r="F8186">
        <v>3</v>
      </c>
      <c r="G8186">
        <v>0.2</v>
      </c>
      <c r="H8186">
        <v>20.5764</v>
      </c>
      <c r="U8186">
        <v>20.5764</v>
      </c>
    </row>
    <row r="8187" spans="1:21" x14ac:dyDescent="0.35">
      <c r="A8187" t="s">
        <v>2373</v>
      </c>
      <c r="B8187" t="s">
        <v>633</v>
      </c>
      <c r="C8187" t="s">
        <v>35</v>
      </c>
      <c r="D8187" t="s">
        <v>314</v>
      </c>
      <c r="E8187">
        <v>7.8239999999999998</v>
      </c>
      <c r="F8187">
        <v>1</v>
      </c>
      <c r="G8187">
        <v>0.2</v>
      </c>
      <c r="H8187">
        <v>2.9340000000000002</v>
      </c>
      <c r="U8187">
        <v>2.9340000000000002</v>
      </c>
    </row>
    <row r="8188" spans="1:21" x14ac:dyDescent="0.35">
      <c r="A8188" t="s">
        <v>2373</v>
      </c>
      <c r="B8188" t="s">
        <v>633</v>
      </c>
      <c r="C8188" t="s">
        <v>35</v>
      </c>
      <c r="D8188" t="s">
        <v>328</v>
      </c>
      <c r="E8188">
        <v>170.072</v>
      </c>
      <c r="F8188">
        <v>4</v>
      </c>
      <c r="G8188">
        <v>0.3</v>
      </c>
      <c r="H8188">
        <v>-12.148</v>
      </c>
      <c r="U8188">
        <v>-12.148</v>
      </c>
    </row>
    <row r="8189" spans="1:21" x14ac:dyDescent="0.35">
      <c r="A8189" s="1">
        <v>42655</v>
      </c>
      <c r="B8189" t="s">
        <v>1161</v>
      </c>
      <c r="C8189" t="s">
        <v>55</v>
      </c>
      <c r="D8189" t="s">
        <v>326</v>
      </c>
      <c r="E8189">
        <v>62.82</v>
      </c>
      <c r="F8189">
        <v>9</v>
      </c>
      <c r="G8189">
        <v>0</v>
      </c>
      <c r="H8189">
        <v>29.525400000000001</v>
      </c>
      <c r="U8189">
        <v>29.525400000000001</v>
      </c>
    </row>
    <row r="8190" spans="1:21" x14ac:dyDescent="0.35">
      <c r="A8190" s="1">
        <v>42045</v>
      </c>
      <c r="B8190" t="s">
        <v>1714</v>
      </c>
      <c r="C8190" t="s">
        <v>55</v>
      </c>
      <c r="D8190" t="s">
        <v>1200</v>
      </c>
      <c r="E8190">
        <v>19.440000000000001</v>
      </c>
      <c r="F8190">
        <v>3</v>
      </c>
      <c r="G8190">
        <v>0</v>
      </c>
      <c r="H8190">
        <v>9.3312000000000008</v>
      </c>
      <c r="U8190">
        <v>9.3312000000000008</v>
      </c>
    </row>
    <row r="8191" spans="1:21" x14ac:dyDescent="0.35">
      <c r="A8191" s="1">
        <v>42045</v>
      </c>
      <c r="B8191" t="s">
        <v>1714</v>
      </c>
      <c r="C8191" t="s">
        <v>55</v>
      </c>
      <c r="D8191" t="s">
        <v>1348</v>
      </c>
      <c r="E8191">
        <v>7.38</v>
      </c>
      <c r="F8191">
        <v>1</v>
      </c>
      <c r="G8191">
        <v>0</v>
      </c>
      <c r="H8191">
        <v>3.6162000000000001</v>
      </c>
      <c r="U8191">
        <v>3.6162000000000001</v>
      </c>
    </row>
    <row r="8192" spans="1:21" x14ac:dyDescent="0.35">
      <c r="A8192" t="s">
        <v>955</v>
      </c>
      <c r="B8192" t="s">
        <v>2250</v>
      </c>
      <c r="C8192" t="s">
        <v>55</v>
      </c>
      <c r="D8192" t="s">
        <v>1417</v>
      </c>
      <c r="E8192">
        <v>38.880000000000003</v>
      </c>
      <c r="F8192">
        <v>6</v>
      </c>
      <c r="G8192">
        <v>0</v>
      </c>
      <c r="H8192">
        <v>18.662400000000002</v>
      </c>
      <c r="U8192">
        <v>18.662400000000002</v>
      </c>
    </row>
    <row r="8193" spans="1:21" x14ac:dyDescent="0.35">
      <c r="A8193" t="s">
        <v>955</v>
      </c>
      <c r="B8193" t="s">
        <v>2250</v>
      </c>
      <c r="C8193" t="s">
        <v>55</v>
      </c>
      <c r="D8193" t="s">
        <v>522</v>
      </c>
      <c r="E8193">
        <v>187.76</v>
      </c>
      <c r="F8193">
        <v>4</v>
      </c>
      <c r="G8193">
        <v>0</v>
      </c>
      <c r="H8193">
        <v>76.9816</v>
      </c>
      <c r="U8193">
        <v>76.9816</v>
      </c>
    </row>
    <row r="8194" spans="1:21" x14ac:dyDescent="0.35">
      <c r="A8194" t="s">
        <v>130</v>
      </c>
      <c r="B8194" t="s">
        <v>941</v>
      </c>
      <c r="C8194" t="s">
        <v>8</v>
      </c>
      <c r="D8194" t="s">
        <v>1094</v>
      </c>
      <c r="E8194">
        <v>6.048</v>
      </c>
      <c r="F8194">
        <v>7</v>
      </c>
      <c r="G8194">
        <v>0.7</v>
      </c>
      <c r="H8194">
        <v>-4.2336</v>
      </c>
      <c r="U8194">
        <v>-4.2336</v>
      </c>
    </row>
    <row r="8195" spans="1:21" x14ac:dyDescent="0.35">
      <c r="A8195" t="s">
        <v>130</v>
      </c>
      <c r="B8195" t="s">
        <v>941</v>
      </c>
      <c r="C8195" t="s">
        <v>8</v>
      </c>
      <c r="D8195" t="s">
        <v>2143</v>
      </c>
      <c r="E8195">
        <v>98.352000000000004</v>
      </c>
      <c r="F8195">
        <v>3</v>
      </c>
      <c r="G8195">
        <v>0.2</v>
      </c>
      <c r="H8195">
        <v>9.8352000000000004</v>
      </c>
      <c r="U8195">
        <v>9.8352000000000004</v>
      </c>
    </row>
    <row r="8196" spans="1:21" x14ac:dyDescent="0.35">
      <c r="A8196" t="s">
        <v>130</v>
      </c>
      <c r="B8196" t="s">
        <v>941</v>
      </c>
      <c r="C8196" t="s">
        <v>8</v>
      </c>
      <c r="D8196" t="s">
        <v>440</v>
      </c>
      <c r="E8196">
        <v>335.74400000000003</v>
      </c>
      <c r="F8196">
        <v>2</v>
      </c>
      <c r="G8196">
        <v>0.2</v>
      </c>
      <c r="H8196">
        <v>25.180800000000001</v>
      </c>
      <c r="U8196">
        <v>25.180800000000001</v>
      </c>
    </row>
    <row r="8197" spans="1:21" x14ac:dyDescent="0.35">
      <c r="A8197" s="1">
        <v>42167</v>
      </c>
      <c r="B8197" t="s">
        <v>436</v>
      </c>
      <c r="C8197" t="s">
        <v>13</v>
      </c>
      <c r="D8197" t="s">
        <v>1738</v>
      </c>
      <c r="E8197">
        <v>8.9600000000000009</v>
      </c>
      <c r="F8197">
        <v>2</v>
      </c>
      <c r="G8197">
        <v>0</v>
      </c>
      <c r="H8197">
        <v>4.3903999999999996</v>
      </c>
      <c r="U8197">
        <v>4.3903999999999996</v>
      </c>
    </row>
    <row r="8198" spans="1:21" x14ac:dyDescent="0.35">
      <c r="A8198" s="1">
        <v>42864</v>
      </c>
      <c r="B8198" t="s">
        <v>1557</v>
      </c>
      <c r="C8198" t="s">
        <v>8</v>
      </c>
      <c r="D8198" t="s">
        <v>1829</v>
      </c>
      <c r="E8198">
        <v>89.567999999999998</v>
      </c>
      <c r="F8198">
        <v>4</v>
      </c>
      <c r="G8198">
        <v>0.2</v>
      </c>
      <c r="H8198">
        <v>-1.1195999999999999</v>
      </c>
      <c r="U8198">
        <v>-1.1195999999999999</v>
      </c>
    </row>
    <row r="8199" spans="1:21" x14ac:dyDescent="0.35">
      <c r="A8199" s="1">
        <v>42864</v>
      </c>
      <c r="B8199" t="s">
        <v>1557</v>
      </c>
      <c r="C8199" t="s">
        <v>8</v>
      </c>
      <c r="D8199" t="s">
        <v>1152</v>
      </c>
      <c r="E8199">
        <v>71.959999999999994</v>
      </c>
      <c r="F8199">
        <v>5</v>
      </c>
      <c r="G8199">
        <v>0.2</v>
      </c>
      <c r="H8199">
        <v>7.1959999999999997</v>
      </c>
      <c r="U8199">
        <v>7.1959999999999997</v>
      </c>
    </row>
    <row r="8200" spans="1:21" x14ac:dyDescent="0.35">
      <c r="A8200" s="1">
        <v>42864</v>
      </c>
      <c r="B8200" t="s">
        <v>1557</v>
      </c>
      <c r="C8200" t="s">
        <v>8</v>
      </c>
      <c r="D8200" t="s">
        <v>1053</v>
      </c>
      <c r="E8200">
        <v>15.552</v>
      </c>
      <c r="F8200">
        <v>3</v>
      </c>
      <c r="G8200">
        <v>0.2</v>
      </c>
      <c r="H8200">
        <v>5.4432</v>
      </c>
      <c r="U8200">
        <v>5.4432</v>
      </c>
    </row>
    <row r="8201" spans="1:21" x14ac:dyDescent="0.35">
      <c r="A8201" t="s">
        <v>1149</v>
      </c>
      <c r="B8201" t="s">
        <v>1995</v>
      </c>
      <c r="C8201" t="s">
        <v>35</v>
      </c>
      <c r="D8201" t="s">
        <v>1821</v>
      </c>
      <c r="E8201">
        <v>10.43</v>
      </c>
      <c r="F8201">
        <v>5</v>
      </c>
      <c r="G8201">
        <v>0.8</v>
      </c>
      <c r="H8201">
        <v>-18.252500000000001</v>
      </c>
      <c r="U8201">
        <v>-18.252500000000001</v>
      </c>
    </row>
    <row r="8202" spans="1:21" x14ac:dyDescent="0.35">
      <c r="A8202" t="s">
        <v>1149</v>
      </c>
      <c r="B8202" t="s">
        <v>1995</v>
      </c>
      <c r="C8202" t="s">
        <v>35</v>
      </c>
      <c r="D8202" t="s">
        <v>155</v>
      </c>
      <c r="E8202">
        <v>72.784000000000006</v>
      </c>
      <c r="F8202">
        <v>1</v>
      </c>
      <c r="G8202">
        <v>0.2</v>
      </c>
      <c r="H8202">
        <v>-18.196000000000002</v>
      </c>
      <c r="U8202">
        <v>-18.196000000000002</v>
      </c>
    </row>
    <row r="8203" spans="1:21" x14ac:dyDescent="0.35">
      <c r="A8203" s="1">
        <v>42227</v>
      </c>
      <c r="B8203" t="s">
        <v>1652</v>
      </c>
      <c r="C8203" t="s">
        <v>55</v>
      </c>
      <c r="D8203" t="s">
        <v>2532</v>
      </c>
      <c r="E8203">
        <v>67.150000000000006</v>
      </c>
      <c r="F8203">
        <v>5</v>
      </c>
      <c r="G8203">
        <v>0</v>
      </c>
      <c r="H8203">
        <v>16.787500000000001</v>
      </c>
      <c r="U8203">
        <v>16.787500000000001</v>
      </c>
    </row>
    <row r="8204" spans="1:21" x14ac:dyDescent="0.35">
      <c r="A8204" s="1">
        <v>42227</v>
      </c>
      <c r="B8204" t="s">
        <v>1652</v>
      </c>
      <c r="C8204" t="s">
        <v>55</v>
      </c>
      <c r="D8204" t="s">
        <v>1506</v>
      </c>
      <c r="E8204">
        <v>549.98</v>
      </c>
      <c r="F8204">
        <v>2</v>
      </c>
      <c r="G8204">
        <v>0</v>
      </c>
      <c r="H8204">
        <v>142.9948</v>
      </c>
      <c r="U8204">
        <v>142.9948</v>
      </c>
    </row>
    <row r="8205" spans="1:21" x14ac:dyDescent="0.35">
      <c r="A8205" s="1">
        <v>42227</v>
      </c>
      <c r="B8205" t="s">
        <v>1652</v>
      </c>
      <c r="C8205" t="s">
        <v>55</v>
      </c>
      <c r="D8205" t="s">
        <v>2673</v>
      </c>
      <c r="E8205">
        <v>11.82</v>
      </c>
      <c r="F8205">
        <v>3</v>
      </c>
      <c r="G8205">
        <v>0</v>
      </c>
      <c r="H8205">
        <v>4.7279999999999998</v>
      </c>
      <c r="U8205">
        <v>4.7279999999999998</v>
      </c>
    </row>
    <row r="8206" spans="1:21" x14ac:dyDescent="0.35">
      <c r="A8206" s="1">
        <v>42227</v>
      </c>
      <c r="B8206" t="s">
        <v>1652</v>
      </c>
      <c r="C8206" t="s">
        <v>55</v>
      </c>
      <c r="D8206" t="s">
        <v>2575</v>
      </c>
      <c r="E8206">
        <v>4643.8</v>
      </c>
      <c r="F8206">
        <v>4</v>
      </c>
      <c r="G8206">
        <v>0</v>
      </c>
      <c r="H8206">
        <v>2229.0239999999999</v>
      </c>
      <c r="U8206">
        <v>2229.0239999999999</v>
      </c>
    </row>
    <row r="8207" spans="1:21" x14ac:dyDescent="0.35">
      <c r="A8207" s="1">
        <v>42227</v>
      </c>
      <c r="B8207" t="s">
        <v>1652</v>
      </c>
      <c r="C8207" t="s">
        <v>55</v>
      </c>
      <c r="D8207" t="s">
        <v>1112</v>
      </c>
      <c r="E8207">
        <v>577.76400000000001</v>
      </c>
      <c r="F8207">
        <v>2</v>
      </c>
      <c r="G8207">
        <v>0.1</v>
      </c>
      <c r="H8207">
        <v>115.5528</v>
      </c>
      <c r="U8207">
        <v>115.5528</v>
      </c>
    </row>
    <row r="8208" spans="1:21" x14ac:dyDescent="0.35">
      <c r="A8208" t="s">
        <v>151</v>
      </c>
      <c r="B8208" t="s">
        <v>817</v>
      </c>
      <c r="C8208" t="s">
        <v>8</v>
      </c>
      <c r="D8208" t="s">
        <v>17</v>
      </c>
      <c r="E8208">
        <v>191.5155</v>
      </c>
      <c r="F8208">
        <v>1</v>
      </c>
      <c r="G8208">
        <v>0.45</v>
      </c>
      <c r="H8208">
        <v>-76.606200000000001</v>
      </c>
      <c r="U8208">
        <v>-76.606200000000001</v>
      </c>
    </row>
    <row r="8209" spans="1:21" x14ac:dyDescent="0.35">
      <c r="A8209" t="s">
        <v>151</v>
      </c>
      <c r="B8209" t="s">
        <v>817</v>
      </c>
      <c r="C8209" t="s">
        <v>8</v>
      </c>
      <c r="D8209" t="s">
        <v>662</v>
      </c>
      <c r="E8209">
        <v>2.6240000000000001</v>
      </c>
      <c r="F8209">
        <v>1</v>
      </c>
      <c r="G8209">
        <v>0.2</v>
      </c>
      <c r="H8209">
        <v>0.4264</v>
      </c>
      <c r="U8209">
        <v>0.4264</v>
      </c>
    </row>
    <row r="8210" spans="1:21" x14ac:dyDescent="0.35">
      <c r="A8210" t="s">
        <v>2472</v>
      </c>
      <c r="B8210" t="s">
        <v>2619</v>
      </c>
      <c r="C8210" t="s">
        <v>8</v>
      </c>
      <c r="D8210" t="s">
        <v>1215</v>
      </c>
      <c r="E8210">
        <v>1369.7639999999999</v>
      </c>
      <c r="F8210">
        <v>6</v>
      </c>
      <c r="G8210">
        <v>0.7</v>
      </c>
      <c r="H8210">
        <v>-913.17600000000004</v>
      </c>
      <c r="U8210">
        <v>-913.17600000000004</v>
      </c>
    </row>
    <row r="8211" spans="1:21" x14ac:dyDescent="0.35">
      <c r="A8211" t="s">
        <v>2472</v>
      </c>
      <c r="B8211" t="s">
        <v>2619</v>
      </c>
      <c r="C8211" t="s">
        <v>8</v>
      </c>
      <c r="D8211" t="s">
        <v>401</v>
      </c>
      <c r="E8211">
        <v>294.36799999999999</v>
      </c>
      <c r="F8211">
        <v>4</v>
      </c>
      <c r="G8211">
        <v>0.2</v>
      </c>
      <c r="H8211">
        <v>-58.873600000000003</v>
      </c>
      <c r="U8211">
        <v>-58.873600000000003</v>
      </c>
    </row>
    <row r="8212" spans="1:21" x14ac:dyDescent="0.35">
      <c r="A8212" s="1">
        <v>42925</v>
      </c>
      <c r="B8212" t="s">
        <v>2287</v>
      </c>
      <c r="C8212" t="s">
        <v>8</v>
      </c>
      <c r="D8212" t="s">
        <v>881</v>
      </c>
      <c r="E8212">
        <v>81.567999999999998</v>
      </c>
      <c r="F8212">
        <v>2</v>
      </c>
      <c r="G8212">
        <v>0.2</v>
      </c>
      <c r="H8212">
        <v>7.1372</v>
      </c>
      <c r="U8212">
        <v>7.1372</v>
      </c>
    </row>
    <row r="8213" spans="1:21" x14ac:dyDescent="0.35">
      <c r="A8213" s="1">
        <v>42562</v>
      </c>
      <c r="B8213" t="s">
        <v>1036</v>
      </c>
      <c r="C8213" t="s">
        <v>35</v>
      </c>
      <c r="D8213" t="s">
        <v>2714</v>
      </c>
      <c r="E8213">
        <v>44.46</v>
      </c>
      <c r="F8213">
        <v>5</v>
      </c>
      <c r="G8213">
        <v>0.6</v>
      </c>
      <c r="H8213">
        <v>-17.783999999999999</v>
      </c>
      <c r="U8213">
        <v>-17.783999999999999</v>
      </c>
    </row>
    <row r="8214" spans="1:21" x14ac:dyDescent="0.35">
      <c r="A8214" s="1">
        <v>42562</v>
      </c>
      <c r="B8214" t="s">
        <v>1036</v>
      </c>
      <c r="C8214" t="s">
        <v>35</v>
      </c>
      <c r="D8214" t="s">
        <v>969</v>
      </c>
      <c r="E8214">
        <v>314.08800000000002</v>
      </c>
      <c r="F8214">
        <v>3</v>
      </c>
      <c r="G8214">
        <v>0.2</v>
      </c>
      <c r="H8214">
        <v>19.630500000000001</v>
      </c>
      <c r="U8214">
        <v>19.630500000000001</v>
      </c>
    </row>
    <row r="8215" spans="1:21" x14ac:dyDescent="0.35">
      <c r="A8215" t="s">
        <v>57</v>
      </c>
      <c r="B8215" t="s">
        <v>1746</v>
      </c>
      <c r="C8215" t="s">
        <v>8</v>
      </c>
      <c r="D8215" t="s">
        <v>1769</v>
      </c>
      <c r="E8215">
        <v>6.3360000000000003</v>
      </c>
      <c r="F8215">
        <v>4</v>
      </c>
      <c r="G8215">
        <v>0.7</v>
      </c>
      <c r="H8215">
        <v>-4.6463999999999999</v>
      </c>
      <c r="U8215">
        <v>-4.6463999999999999</v>
      </c>
    </row>
    <row r="8216" spans="1:21" x14ac:dyDescent="0.35">
      <c r="A8216" t="s">
        <v>57</v>
      </c>
      <c r="B8216" t="s">
        <v>1746</v>
      </c>
      <c r="C8216" t="s">
        <v>8</v>
      </c>
      <c r="D8216" t="s">
        <v>2197</v>
      </c>
      <c r="E8216">
        <v>10.48</v>
      </c>
      <c r="F8216">
        <v>1</v>
      </c>
      <c r="G8216">
        <v>0.2</v>
      </c>
      <c r="H8216">
        <v>3.7989999999999999</v>
      </c>
      <c r="U8216">
        <v>3.7989999999999999</v>
      </c>
    </row>
    <row r="8217" spans="1:21" x14ac:dyDescent="0.35">
      <c r="A8217" t="s">
        <v>57</v>
      </c>
      <c r="B8217" t="s">
        <v>1746</v>
      </c>
      <c r="C8217" t="s">
        <v>8</v>
      </c>
      <c r="D8217" t="s">
        <v>2002</v>
      </c>
      <c r="E8217">
        <v>2.4689999999999999</v>
      </c>
      <c r="F8217">
        <v>1</v>
      </c>
      <c r="G8217">
        <v>0.7</v>
      </c>
      <c r="H8217">
        <v>-1.8106</v>
      </c>
      <c r="U8217">
        <v>-1.8106</v>
      </c>
    </row>
    <row r="8218" spans="1:21" x14ac:dyDescent="0.35">
      <c r="A8218" t="s">
        <v>57</v>
      </c>
      <c r="B8218" t="s">
        <v>1746</v>
      </c>
      <c r="C8218" t="s">
        <v>8</v>
      </c>
      <c r="D8218" t="s">
        <v>581</v>
      </c>
      <c r="E8218">
        <v>3.2639999999999998</v>
      </c>
      <c r="F8218">
        <v>2</v>
      </c>
      <c r="G8218">
        <v>0.7</v>
      </c>
      <c r="H8218">
        <v>-2.2848000000000002</v>
      </c>
      <c r="U8218">
        <v>-2.2848000000000002</v>
      </c>
    </row>
    <row r="8219" spans="1:21" x14ac:dyDescent="0.35">
      <c r="A8219" s="1">
        <v>41708</v>
      </c>
      <c r="B8219" t="s">
        <v>2386</v>
      </c>
      <c r="C8219" t="s">
        <v>35</v>
      </c>
      <c r="D8219" t="s">
        <v>1775</v>
      </c>
      <c r="E8219">
        <v>4.3440000000000003</v>
      </c>
      <c r="F8219">
        <v>3</v>
      </c>
      <c r="G8219">
        <v>0.2</v>
      </c>
      <c r="H8219">
        <v>0.86880000000000002</v>
      </c>
      <c r="U8219">
        <v>0.86880000000000002</v>
      </c>
    </row>
    <row r="8220" spans="1:21" x14ac:dyDescent="0.35">
      <c r="A8220" s="1">
        <v>41708</v>
      </c>
      <c r="B8220" t="s">
        <v>2386</v>
      </c>
      <c r="C8220" t="s">
        <v>35</v>
      </c>
      <c r="D8220" t="s">
        <v>1782</v>
      </c>
      <c r="E8220">
        <v>31.776</v>
      </c>
      <c r="F8220">
        <v>3</v>
      </c>
      <c r="G8220">
        <v>0.6</v>
      </c>
      <c r="H8220">
        <v>-19.0656</v>
      </c>
      <c r="U8220">
        <v>-19.0656</v>
      </c>
    </row>
    <row r="8221" spans="1:21" x14ac:dyDescent="0.35">
      <c r="A8221" s="1">
        <v>41708</v>
      </c>
      <c r="B8221" t="s">
        <v>2386</v>
      </c>
      <c r="C8221" t="s">
        <v>35</v>
      </c>
      <c r="D8221" t="s">
        <v>1138</v>
      </c>
      <c r="E8221">
        <v>4.9279999999999999</v>
      </c>
      <c r="F8221">
        <v>2</v>
      </c>
      <c r="G8221">
        <v>0.2</v>
      </c>
      <c r="H8221">
        <v>1.7248000000000001</v>
      </c>
      <c r="U8221">
        <v>1.7248000000000001</v>
      </c>
    </row>
    <row r="8222" spans="1:21" x14ac:dyDescent="0.35">
      <c r="A8222" s="1">
        <v>41708</v>
      </c>
      <c r="B8222" t="s">
        <v>2386</v>
      </c>
      <c r="C8222" t="s">
        <v>35</v>
      </c>
      <c r="D8222" t="s">
        <v>207</v>
      </c>
      <c r="E8222">
        <v>1.788</v>
      </c>
      <c r="F8222">
        <v>3</v>
      </c>
      <c r="G8222">
        <v>0.8</v>
      </c>
      <c r="H8222">
        <v>-3.0396000000000001</v>
      </c>
      <c r="U8222">
        <v>-3.0396000000000001</v>
      </c>
    </row>
    <row r="8223" spans="1:21" x14ac:dyDescent="0.35">
      <c r="A8223" s="1">
        <v>41708</v>
      </c>
      <c r="B8223" t="s">
        <v>2386</v>
      </c>
      <c r="C8223" t="s">
        <v>35</v>
      </c>
      <c r="D8223" t="s">
        <v>2715</v>
      </c>
      <c r="E8223">
        <v>15.071999999999999</v>
      </c>
      <c r="F8223">
        <v>4</v>
      </c>
      <c r="G8223">
        <v>0.2</v>
      </c>
      <c r="H8223">
        <v>-3.7679999999999998</v>
      </c>
      <c r="U8223">
        <v>-3.7679999999999998</v>
      </c>
    </row>
    <row r="8224" spans="1:21" x14ac:dyDescent="0.35">
      <c r="A8224" t="s">
        <v>766</v>
      </c>
      <c r="B8224" t="s">
        <v>2571</v>
      </c>
      <c r="C8224" t="s">
        <v>35</v>
      </c>
      <c r="D8224" t="s">
        <v>2399</v>
      </c>
      <c r="E8224">
        <v>12.624000000000001</v>
      </c>
      <c r="F8224">
        <v>2</v>
      </c>
      <c r="G8224">
        <v>0.2</v>
      </c>
      <c r="H8224">
        <v>-2.5247999999999999</v>
      </c>
      <c r="U8224">
        <v>-2.5247999999999999</v>
      </c>
    </row>
    <row r="8225" spans="1:21" x14ac:dyDescent="0.35">
      <c r="A8225" s="1">
        <v>42710</v>
      </c>
      <c r="B8225" t="s">
        <v>430</v>
      </c>
      <c r="C8225" t="s">
        <v>13</v>
      </c>
      <c r="D8225" t="s">
        <v>1883</v>
      </c>
      <c r="E8225">
        <v>185.88</v>
      </c>
      <c r="F8225">
        <v>6</v>
      </c>
      <c r="G8225">
        <v>0</v>
      </c>
      <c r="H8225">
        <v>83.646000000000001</v>
      </c>
      <c r="U8225">
        <v>83.646000000000001</v>
      </c>
    </row>
    <row r="8226" spans="1:21" x14ac:dyDescent="0.35">
      <c r="A8226" s="1">
        <v>42710</v>
      </c>
      <c r="B8226" t="s">
        <v>430</v>
      </c>
      <c r="C8226" t="s">
        <v>13</v>
      </c>
      <c r="D8226" t="s">
        <v>2236</v>
      </c>
      <c r="E8226">
        <v>12.96</v>
      </c>
      <c r="F8226">
        <v>2</v>
      </c>
      <c r="G8226">
        <v>0</v>
      </c>
      <c r="H8226">
        <v>6.2207999999999997</v>
      </c>
      <c r="U8226">
        <v>6.2207999999999997</v>
      </c>
    </row>
    <row r="8227" spans="1:21" x14ac:dyDescent="0.35">
      <c r="A8227" s="1">
        <v>42746</v>
      </c>
      <c r="B8227" t="s">
        <v>54</v>
      </c>
      <c r="C8227" t="s">
        <v>55</v>
      </c>
      <c r="D8227" t="s">
        <v>529</v>
      </c>
      <c r="E8227">
        <v>189.7</v>
      </c>
      <c r="F8227">
        <v>10</v>
      </c>
      <c r="G8227">
        <v>0</v>
      </c>
      <c r="H8227">
        <v>91.055999999999997</v>
      </c>
      <c r="U8227">
        <v>91.055999999999997</v>
      </c>
    </row>
    <row r="8228" spans="1:21" x14ac:dyDescent="0.35">
      <c r="A8228" s="1">
        <v>42746</v>
      </c>
      <c r="B8228" t="s">
        <v>54</v>
      </c>
      <c r="C8228" t="s">
        <v>55</v>
      </c>
      <c r="D8228" t="s">
        <v>2355</v>
      </c>
      <c r="E8228">
        <v>40.99</v>
      </c>
      <c r="F8228">
        <v>1</v>
      </c>
      <c r="G8228">
        <v>0</v>
      </c>
      <c r="H8228">
        <v>20.085100000000001</v>
      </c>
      <c r="U8228">
        <v>20.085100000000001</v>
      </c>
    </row>
    <row r="8229" spans="1:21" x14ac:dyDescent="0.35">
      <c r="A8229" s="1">
        <v>42464</v>
      </c>
      <c r="B8229" t="s">
        <v>2064</v>
      </c>
      <c r="C8229" t="s">
        <v>55</v>
      </c>
      <c r="D8229" t="s">
        <v>889</v>
      </c>
      <c r="E8229">
        <v>82.64</v>
      </c>
      <c r="F8229">
        <v>2</v>
      </c>
      <c r="G8229">
        <v>0</v>
      </c>
      <c r="H8229">
        <v>7.4375999999999998</v>
      </c>
      <c r="U8229">
        <v>7.4375999999999998</v>
      </c>
    </row>
    <row r="8230" spans="1:21" x14ac:dyDescent="0.35">
      <c r="A8230" s="1">
        <v>42464</v>
      </c>
      <c r="B8230" t="s">
        <v>2064</v>
      </c>
      <c r="C8230" t="s">
        <v>55</v>
      </c>
      <c r="D8230" t="s">
        <v>347</v>
      </c>
      <c r="E8230">
        <v>31.02</v>
      </c>
      <c r="F8230">
        <v>2</v>
      </c>
      <c r="G8230">
        <v>0</v>
      </c>
      <c r="H8230">
        <v>8.0652000000000008</v>
      </c>
      <c r="U8230">
        <v>8.0652000000000008</v>
      </c>
    </row>
    <row r="8231" spans="1:21" x14ac:dyDescent="0.35">
      <c r="A8231" s="1">
        <v>42464</v>
      </c>
      <c r="B8231" t="s">
        <v>2064</v>
      </c>
      <c r="C8231" t="s">
        <v>55</v>
      </c>
      <c r="D8231" t="s">
        <v>1675</v>
      </c>
      <c r="E8231">
        <v>89.97</v>
      </c>
      <c r="F8231">
        <v>3</v>
      </c>
      <c r="G8231">
        <v>0</v>
      </c>
      <c r="H8231">
        <v>37.787399999999998</v>
      </c>
      <c r="U8231">
        <v>37.787399999999998</v>
      </c>
    </row>
    <row r="8232" spans="1:21" x14ac:dyDescent="0.35">
      <c r="A8232" t="s">
        <v>2457</v>
      </c>
      <c r="B8232" t="s">
        <v>252</v>
      </c>
      <c r="C8232" t="s">
        <v>8</v>
      </c>
      <c r="D8232" t="s">
        <v>704</v>
      </c>
      <c r="E8232">
        <v>35.97</v>
      </c>
      <c r="F8232">
        <v>3</v>
      </c>
      <c r="G8232">
        <v>0</v>
      </c>
      <c r="H8232">
        <v>9.7119</v>
      </c>
      <c r="U8232">
        <v>9.7119</v>
      </c>
    </row>
    <row r="8233" spans="1:21" x14ac:dyDescent="0.35">
      <c r="A8233" t="s">
        <v>2457</v>
      </c>
      <c r="B8233" t="s">
        <v>252</v>
      </c>
      <c r="C8233" t="s">
        <v>8</v>
      </c>
      <c r="D8233" t="s">
        <v>406</v>
      </c>
      <c r="E8233">
        <v>1266.8599999999999</v>
      </c>
      <c r="F8233">
        <v>7</v>
      </c>
      <c r="G8233">
        <v>0</v>
      </c>
      <c r="H8233">
        <v>291.37779999999998</v>
      </c>
      <c r="U8233">
        <v>291.37779999999998</v>
      </c>
    </row>
    <row r="8234" spans="1:21" x14ac:dyDescent="0.35">
      <c r="A8234" t="s">
        <v>1293</v>
      </c>
      <c r="B8234" t="s">
        <v>1259</v>
      </c>
      <c r="C8234" t="s">
        <v>13</v>
      </c>
      <c r="D8234" t="s">
        <v>573</v>
      </c>
      <c r="E8234">
        <v>169.45</v>
      </c>
      <c r="F8234">
        <v>5</v>
      </c>
      <c r="G8234">
        <v>0</v>
      </c>
      <c r="H8234">
        <v>42.362499999999997</v>
      </c>
      <c r="U8234">
        <v>42.362499999999997</v>
      </c>
    </row>
    <row r="8235" spans="1:21" x14ac:dyDescent="0.35">
      <c r="A8235" t="s">
        <v>1293</v>
      </c>
      <c r="B8235" t="s">
        <v>1259</v>
      </c>
      <c r="C8235" t="s">
        <v>13</v>
      </c>
      <c r="D8235" t="s">
        <v>2335</v>
      </c>
      <c r="E8235">
        <v>40.68</v>
      </c>
      <c r="F8235">
        <v>2</v>
      </c>
      <c r="G8235">
        <v>0</v>
      </c>
      <c r="H8235">
        <v>0.40679999999999999</v>
      </c>
      <c r="U8235">
        <v>0.40679999999999999</v>
      </c>
    </row>
    <row r="8236" spans="1:21" x14ac:dyDescent="0.35">
      <c r="A8236" s="1">
        <v>42740</v>
      </c>
      <c r="B8236" t="s">
        <v>703</v>
      </c>
      <c r="C8236" t="s">
        <v>8</v>
      </c>
      <c r="D8236" t="s">
        <v>2554</v>
      </c>
      <c r="E8236">
        <v>3.3279999999999998</v>
      </c>
      <c r="F8236">
        <v>2</v>
      </c>
      <c r="G8236">
        <v>0.2</v>
      </c>
      <c r="H8236">
        <v>0.41599999999999998</v>
      </c>
      <c r="U8236">
        <v>0.41599999999999998</v>
      </c>
    </row>
    <row r="8237" spans="1:21" x14ac:dyDescent="0.35">
      <c r="A8237" s="1">
        <v>42740</v>
      </c>
      <c r="B8237" t="s">
        <v>703</v>
      </c>
      <c r="C8237" t="s">
        <v>8</v>
      </c>
      <c r="D8237" t="s">
        <v>777</v>
      </c>
      <c r="E8237">
        <v>933.26199999999994</v>
      </c>
      <c r="F8237">
        <v>4</v>
      </c>
      <c r="G8237">
        <v>0.45</v>
      </c>
      <c r="H8237">
        <v>-458.14679999999998</v>
      </c>
      <c r="U8237">
        <v>-458.14679999999998</v>
      </c>
    </row>
    <row r="8238" spans="1:21" x14ac:dyDescent="0.35">
      <c r="A8238" s="1">
        <v>42740</v>
      </c>
      <c r="B8238" t="s">
        <v>703</v>
      </c>
      <c r="C8238" t="s">
        <v>8</v>
      </c>
      <c r="D8238" t="s">
        <v>893</v>
      </c>
      <c r="E8238">
        <v>2803.92</v>
      </c>
      <c r="F8238">
        <v>5</v>
      </c>
      <c r="G8238">
        <v>0.2</v>
      </c>
      <c r="H8238">
        <v>0</v>
      </c>
      <c r="U8238">
        <v>0</v>
      </c>
    </row>
    <row r="8239" spans="1:21" x14ac:dyDescent="0.35">
      <c r="A8239" t="s">
        <v>761</v>
      </c>
      <c r="B8239" t="s">
        <v>2321</v>
      </c>
      <c r="C8239" t="s">
        <v>8</v>
      </c>
      <c r="D8239" t="s">
        <v>731</v>
      </c>
      <c r="E8239">
        <v>4.7679999999999998</v>
      </c>
      <c r="F8239">
        <v>2</v>
      </c>
      <c r="G8239">
        <v>0.2</v>
      </c>
      <c r="H8239">
        <v>-0.77480000000000004</v>
      </c>
      <c r="U8239">
        <v>-0.77480000000000004</v>
      </c>
    </row>
    <row r="8240" spans="1:21" x14ac:dyDescent="0.35">
      <c r="A8240" t="s">
        <v>761</v>
      </c>
      <c r="B8240" t="s">
        <v>2321</v>
      </c>
      <c r="C8240" t="s">
        <v>8</v>
      </c>
      <c r="D8240" t="s">
        <v>2071</v>
      </c>
      <c r="E8240">
        <v>6.6719999999999997</v>
      </c>
      <c r="F8240">
        <v>1</v>
      </c>
      <c r="G8240">
        <v>0.2</v>
      </c>
      <c r="H8240">
        <v>2.5019999999999998</v>
      </c>
      <c r="U8240">
        <v>2.5019999999999998</v>
      </c>
    </row>
    <row r="8241" spans="1:21" x14ac:dyDescent="0.35">
      <c r="A8241" t="s">
        <v>761</v>
      </c>
      <c r="B8241" t="s">
        <v>2321</v>
      </c>
      <c r="C8241" t="s">
        <v>8</v>
      </c>
      <c r="D8241" t="s">
        <v>1743</v>
      </c>
      <c r="E8241">
        <v>4.4480000000000004</v>
      </c>
      <c r="F8241">
        <v>2</v>
      </c>
      <c r="G8241">
        <v>0.2</v>
      </c>
      <c r="H8241">
        <v>1.1120000000000001</v>
      </c>
      <c r="U8241">
        <v>1.1120000000000001</v>
      </c>
    </row>
    <row r="8242" spans="1:21" x14ac:dyDescent="0.35">
      <c r="A8242" t="s">
        <v>761</v>
      </c>
      <c r="B8242" t="s">
        <v>2321</v>
      </c>
      <c r="C8242" t="s">
        <v>8</v>
      </c>
      <c r="D8242" t="s">
        <v>2500</v>
      </c>
      <c r="E8242">
        <v>43.936</v>
      </c>
      <c r="F8242">
        <v>4</v>
      </c>
      <c r="G8242">
        <v>0.2</v>
      </c>
      <c r="H8242">
        <v>6.0411999999999999</v>
      </c>
      <c r="U8242">
        <v>6.0411999999999999</v>
      </c>
    </row>
    <row r="8243" spans="1:21" x14ac:dyDescent="0.35">
      <c r="A8243" s="1">
        <v>41648</v>
      </c>
      <c r="B8243" t="s">
        <v>107</v>
      </c>
      <c r="C8243" t="s">
        <v>55</v>
      </c>
      <c r="D8243" t="s">
        <v>1247</v>
      </c>
      <c r="E8243">
        <v>23.744</v>
      </c>
      <c r="F8243">
        <v>2</v>
      </c>
      <c r="G8243">
        <v>0.2</v>
      </c>
      <c r="H8243">
        <v>8.3103999999999996</v>
      </c>
      <c r="U8243">
        <v>8.3103999999999996</v>
      </c>
    </row>
    <row r="8244" spans="1:21" x14ac:dyDescent="0.35">
      <c r="A8244" s="1">
        <v>41648</v>
      </c>
      <c r="B8244" t="s">
        <v>107</v>
      </c>
      <c r="C8244" t="s">
        <v>55</v>
      </c>
      <c r="D8244" t="s">
        <v>1916</v>
      </c>
      <c r="E8244">
        <v>357</v>
      </c>
      <c r="F8244">
        <v>3</v>
      </c>
      <c r="G8244">
        <v>0</v>
      </c>
      <c r="H8244">
        <v>57.12</v>
      </c>
      <c r="U8244">
        <v>57.12</v>
      </c>
    </row>
    <row r="8245" spans="1:21" x14ac:dyDescent="0.35">
      <c r="A8245" s="1">
        <v>41981</v>
      </c>
      <c r="B8245" t="s">
        <v>1978</v>
      </c>
      <c r="C8245" t="s">
        <v>13</v>
      </c>
      <c r="D8245" t="s">
        <v>2218</v>
      </c>
      <c r="E8245">
        <v>806.33600000000001</v>
      </c>
      <c r="F8245">
        <v>8</v>
      </c>
      <c r="G8245">
        <v>0.2</v>
      </c>
      <c r="H8245">
        <v>50.396000000000001</v>
      </c>
      <c r="U8245">
        <v>50.396000000000001</v>
      </c>
    </row>
    <row r="8246" spans="1:21" x14ac:dyDescent="0.35">
      <c r="A8246" s="1">
        <v>41981</v>
      </c>
      <c r="B8246" t="s">
        <v>1978</v>
      </c>
      <c r="C8246" t="s">
        <v>13</v>
      </c>
      <c r="D8246" t="s">
        <v>1849</v>
      </c>
      <c r="E8246">
        <v>85.44</v>
      </c>
      <c r="F8246">
        <v>3</v>
      </c>
      <c r="G8246">
        <v>0</v>
      </c>
      <c r="H8246">
        <v>31.6128</v>
      </c>
      <c r="U8246">
        <v>31.6128</v>
      </c>
    </row>
    <row r="8247" spans="1:21" x14ac:dyDescent="0.35">
      <c r="A8247" t="s">
        <v>2075</v>
      </c>
      <c r="B8247" t="s">
        <v>2496</v>
      </c>
      <c r="C8247" t="s">
        <v>8</v>
      </c>
      <c r="D8247" t="s">
        <v>320</v>
      </c>
      <c r="E8247">
        <v>344.91</v>
      </c>
      <c r="F8247">
        <v>3</v>
      </c>
      <c r="G8247">
        <v>0</v>
      </c>
      <c r="H8247">
        <v>10.347300000000001</v>
      </c>
      <c r="U8247">
        <v>10.347300000000001</v>
      </c>
    </row>
    <row r="8248" spans="1:21" x14ac:dyDescent="0.35">
      <c r="A8248" s="1">
        <v>42282</v>
      </c>
      <c r="B8248" t="s">
        <v>1740</v>
      </c>
      <c r="C8248" t="s">
        <v>35</v>
      </c>
      <c r="D8248" t="s">
        <v>1008</v>
      </c>
      <c r="E8248">
        <v>70.97</v>
      </c>
      <c r="F8248">
        <v>5</v>
      </c>
      <c r="G8248">
        <v>0.8</v>
      </c>
      <c r="H8248">
        <v>-191.619</v>
      </c>
      <c r="U8248">
        <v>-191.619</v>
      </c>
    </row>
    <row r="8249" spans="1:21" x14ac:dyDescent="0.35">
      <c r="A8249" s="1">
        <v>42282</v>
      </c>
      <c r="B8249" t="s">
        <v>1740</v>
      </c>
      <c r="C8249" t="s">
        <v>35</v>
      </c>
      <c r="D8249" t="s">
        <v>1973</v>
      </c>
      <c r="E8249">
        <v>36.783999999999999</v>
      </c>
      <c r="F8249">
        <v>2</v>
      </c>
      <c r="G8249">
        <v>0.2</v>
      </c>
      <c r="H8249">
        <v>3.6783999999999999</v>
      </c>
      <c r="U8249">
        <v>3.6783999999999999</v>
      </c>
    </row>
    <row r="8250" spans="1:21" x14ac:dyDescent="0.35">
      <c r="A8250" s="1">
        <v>42648</v>
      </c>
      <c r="B8250" t="s">
        <v>172</v>
      </c>
      <c r="C8250" t="s">
        <v>55</v>
      </c>
      <c r="D8250" t="s">
        <v>1153</v>
      </c>
      <c r="E8250">
        <v>743.98800000000006</v>
      </c>
      <c r="F8250">
        <v>2</v>
      </c>
      <c r="G8250">
        <v>0.4</v>
      </c>
      <c r="H8250">
        <v>-123.998</v>
      </c>
      <c r="U8250">
        <v>-123.998</v>
      </c>
    </row>
    <row r="8251" spans="1:21" x14ac:dyDescent="0.35">
      <c r="A8251" s="1">
        <v>42127</v>
      </c>
      <c r="B8251" t="s">
        <v>1242</v>
      </c>
      <c r="C8251" t="s">
        <v>35</v>
      </c>
      <c r="D8251" t="s">
        <v>1523</v>
      </c>
      <c r="E8251">
        <v>11.212</v>
      </c>
      <c r="F8251">
        <v>2</v>
      </c>
      <c r="G8251">
        <v>0.8</v>
      </c>
      <c r="H8251">
        <v>-16.818000000000001</v>
      </c>
      <c r="U8251">
        <v>-16.818000000000001</v>
      </c>
    </row>
    <row r="8252" spans="1:21" x14ac:dyDescent="0.35">
      <c r="A8252" s="1">
        <v>42127</v>
      </c>
      <c r="B8252" t="s">
        <v>1242</v>
      </c>
      <c r="C8252" t="s">
        <v>35</v>
      </c>
      <c r="D8252" t="s">
        <v>619</v>
      </c>
      <c r="E8252">
        <v>4.7119999999999997</v>
      </c>
      <c r="F8252">
        <v>2</v>
      </c>
      <c r="G8252">
        <v>0.6</v>
      </c>
      <c r="H8252">
        <v>-1.8848</v>
      </c>
      <c r="U8252">
        <v>-1.8848</v>
      </c>
    </row>
    <row r="8253" spans="1:21" x14ac:dyDescent="0.35">
      <c r="A8253" s="1">
        <v>42127</v>
      </c>
      <c r="B8253" t="s">
        <v>1242</v>
      </c>
      <c r="C8253" t="s">
        <v>35</v>
      </c>
      <c r="D8253" t="s">
        <v>1800</v>
      </c>
      <c r="E8253">
        <v>180.98</v>
      </c>
      <c r="F8253">
        <v>5</v>
      </c>
      <c r="G8253">
        <v>0.8</v>
      </c>
      <c r="H8253">
        <v>-470.548</v>
      </c>
      <c r="U8253">
        <v>-470.548</v>
      </c>
    </row>
    <row r="8254" spans="1:21" x14ac:dyDescent="0.35">
      <c r="A8254" s="1">
        <v>42127</v>
      </c>
      <c r="B8254" t="s">
        <v>1242</v>
      </c>
      <c r="C8254" t="s">
        <v>35</v>
      </c>
      <c r="D8254" t="s">
        <v>244</v>
      </c>
      <c r="E8254">
        <v>60.415999999999997</v>
      </c>
      <c r="F8254">
        <v>2</v>
      </c>
      <c r="G8254">
        <v>0.2</v>
      </c>
      <c r="H8254">
        <v>6.0415999999999999</v>
      </c>
      <c r="U8254">
        <v>6.0415999999999999</v>
      </c>
    </row>
    <row r="8255" spans="1:21" x14ac:dyDescent="0.35">
      <c r="A8255" s="1">
        <v>43077</v>
      </c>
      <c r="B8255" t="s">
        <v>2464</v>
      </c>
      <c r="C8255" t="s">
        <v>13</v>
      </c>
      <c r="D8255" t="s">
        <v>2097</v>
      </c>
      <c r="E8255">
        <v>299.99</v>
      </c>
      <c r="F8255">
        <v>1</v>
      </c>
      <c r="G8255">
        <v>0</v>
      </c>
      <c r="H8255">
        <v>89.997</v>
      </c>
      <c r="U8255">
        <v>89.997</v>
      </c>
    </row>
    <row r="8256" spans="1:21" x14ac:dyDescent="0.35">
      <c r="A8256" s="1">
        <v>43077</v>
      </c>
      <c r="B8256" t="s">
        <v>2464</v>
      </c>
      <c r="C8256" t="s">
        <v>13</v>
      </c>
      <c r="D8256" t="s">
        <v>2537</v>
      </c>
      <c r="E8256">
        <v>192.16</v>
      </c>
      <c r="F8256">
        <v>4</v>
      </c>
      <c r="G8256">
        <v>0</v>
      </c>
      <c r="H8256">
        <v>92.236800000000002</v>
      </c>
      <c r="U8256">
        <v>92.236800000000002</v>
      </c>
    </row>
    <row r="8257" spans="1:21" x14ac:dyDescent="0.35">
      <c r="A8257" s="1">
        <v>43077</v>
      </c>
      <c r="B8257" t="s">
        <v>2464</v>
      </c>
      <c r="C8257" t="s">
        <v>13</v>
      </c>
      <c r="D8257" t="s">
        <v>962</v>
      </c>
      <c r="E8257">
        <v>242.624</v>
      </c>
      <c r="F8257">
        <v>8</v>
      </c>
      <c r="G8257">
        <v>0.2</v>
      </c>
      <c r="H8257">
        <v>27.295200000000001</v>
      </c>
      <c r="U8257">
        <v>27.295200000000001</v>
      </c>
    </row>
    <row r="8258" spans="1:21" x14ac:dyDescent="0.35">
      <c r="A8258" s="1">
        <v>43077</v>
      </c>
      <c r="B8258" t="s">
        <v>2464</v>
      </c>
      <c r="C8258" t="s">
        <v>13</v>
      </c>
      <c r="D8258" t="s">
        <v>848</v>
      </c>
      <c r="E8258">
        <v>46.74</v>
      </c>
      <c r="F8258">
        <v>3</v>
      </c>
      <c r="G8258">
        <v>0</v>
      </c>
      <c r="H8258">
        <v>11.685</v>
      </c>
      <c r="U8258">
        <v>11.685</v>
      </c>
    </row>
    <row r="8259" spans="1:21" x14ac:dyDescent="0.35">
      <c r="A8259" s="1">
        <v>43077</v>
      </c>
      <c r="B8259" t="s">
        <v>2464</v>
      </c>
      <c r="C8259" t="s">
        <v>13</v>
      </c>
      <c r="D8259" t="s">
        <v>2296</v>
      </c>
      <c r="E8259">
        <v>174.95</v>
      </c>
      <c r="F8259">
        <v>5</v>
      </c>
      <c r="G8259">
        <v>0</v>
      </c>
      <c r="H8259">
        <v>12.246499999999999</v>
      </c>
      <c r="U8259">
        <v>12.246499999999999</v>
      </c>
    </row>
    <row r="8260" spans="1:21" x14ac:dyDescent="0.35">
      <c r="A8260" s="1">
        <v>43077</v>
      </c>
      <c r="B8260" t="s">
        <v>2464</v>
      </c>
      <c r="C8260" t="s">
        <v>13</v>
      </c>
      <c r="D8260" t="s">
        <v>2656</v>
      </c>
      <c r="E8260">
        <v>100.70399999999999</v>
      </c>
      <c r="F8260">
        <v>6</v>
      </c>
      <c r="G8260">
        <v>0.2</v>
      </c>
      <c r="H8260">
        <v>37.764000000000003</v>
      </c>
      <c r="U8260">
        <v>37.764000000000003</v>
      </c>
    </row>
    <row r="8261" spans="1:21" x14ac:dyDescent="0.35">
      <c r="A8261" t="s">
        <v>801</v>
      </c>
      <c r="B8261" t="s">
        <v>1386</v>
      </c>
      <c r="C8261" t="s">
        <v>35</v>
      </c>
      <c r="D8261" t="s">
        <v>842</v>
      </c>
      <c r="E8261">
        <v>368.91</v>
      </c>
      <c r="F8261">
        <v>9</v>
      </c>
      <c r="G8261">
        <v>0</v>
      </c>
      <c r="H8261">
        <v>180.76589999999999</v>
      </c>
      <c r="U8261">
        <v>180.76589999999999</v>
      </c>
    </row>
    <row r="8262" spans="1:21" x14ac:dyDescent="0.35">
      <c r="A8262" t="s">
        <v>801</v>
      </c>
      <c r="B8262" t="s">
        <v>1386</v>
      </c>
      <c r="C8262" t="s">
        <v>35</v>
      </c>
      <c r="D8262" t="s">
        <v>735</v>
      </c>
      <c r="E8262">
        <v>8.02</v>
      </c>
      <c r="F8262">
        <v>1</v>
      </c>
      <c r="G8262">
        <v>0</v>
      </c>
      <c r="H8262">
        <v>3.7694000000000001</v>
      </c>
      <c r="U8262">
        <v>3.7694000000000001</v>
      </c>
    </row>
    <row r="8263" spans="1:21" x14ac:dyDescent="0.35">
      <c r="A8263" t="s">
        <v>801</v>
      </c>
      <c r="B8263" t="s">
        <v>1386</v>
      </c>
      <c r="C8263" t="s">
        <v>35</v>
      </c>
      <c r="D8263" t="s">
        <v>2134</v>
      </c>
      <c r="E8263">
        <v>171.04</v>
      </c>
      <c r="F8263">
        <v>4</v>
      </c>
      <c r="G8263">
        <v>0</v>
      </c>
      <c r="H8263">
        <v>44.470399999999998</v>
      </c>
      <c r="U8263">
        <v>44.470399999999998</v>
      </c>
    </row>
    <row r="8264" spans="1:21" x14ac:dyDescent="0.35">
      <c r="A8264" t="s">
        <v>449</v>
      </c>
      <c r="B8264" t="s">
        <v>2292</v>
      </c>
      <c r="C8264" t="s">
        <v>8</v>
      </c>
      <c r="D8264" t="s">
        <v>677</v>
      </c>
      <c r="E8264">
        <v>19.440000000000001</v>
      </c>
      <c r="F8264">
        <v>3</v>
      </c>
      <c r="G8264">
        <v>0</v>
      </c>
      <c r="H8264">
        <v>9.3312000000000008</v>
      </c>
      <c r="U8264">
        <v>9.3312000000000008</v>
      </c>
    </row>
    <row r="8265" spans="1:21" x14ac:dyDescent="0.35">
      <c r="A8265" t="s">
        <v>2373</v>
      </c>
      <c r="B8265" t="s">
        <v>1941</v>
      </c>
      <c r="C8265" t="s">
        <v>8</v>
      </c>
      <c r="D8265" t="s">
        <v>1128</v>
      </c>
      <c r="E8265">
        <v>13.092000000000001</v>
      </c>
      <c r="F8265">
        <v>4</v>
      </c>
      <c r="G8265">
        <v>0.7</v>
      </c>
      <c r="H8265">
        <v>-10.0372</v>
      </c>
      <c r="U8265">
        <v>-10.0372</v>
      </c>
    </row>
    <row r="8266" spans="1:21" x14ac:dyDescent="0.35">
      <c r="A8266" t="s">
        <v>536</v>
      </c>
      <c r="B8266" t="s">
        <v>822</v>
      </c>
      <c r="C8266" t="s">
        <v>55</v>
      </c>
      <c r="D8266" t="s">
        <v>2716</v>
      </c>
      <c r="E8266">
        <v>122.94</v>
      </c>
      <c r="F8266">
        <v>3</v>
      </c>
      <c r="G8266">
        <v>0</v>
      </c>
      <c r="H8266">
        <v>30.734999999999999</v>
      </c>
      <c r="U8266">
        <v>30.734999999999999</v>
      </c>
    </row>
    <row r="8267" spans="1:21" x14ac:dyDescent="0.35">
      <c r="A8267" t="s">
        <v>536</v>
      </c>
      <c r="B8267" t="s">
        <v>822</v>
      </c>
      <c r="C8267" t="s">
        <v>55</v>
      </c>
      <c r="D8267" t="s">
        <v>1450</v>
      </c>
      <c r="E8267">
        <v>35.448</v>
      </c>
      <c r="F8267">
        <v>7</v>
      </c>
      <c r="G8267">
        <v>0.2</v>
      </c>
      <c r="H8267">
        <v>12.8499</v>
      </c>
      <c r="U8267">
        <v>12.8499</v>
      </c>
    </row>
    <row r="8268" spans="1:21" x14ac:dyDescent="0.35">
      <c r="A8268" t="s">
        <v>1229</v>
      </c>
      <c r="B8268" t="s">
        <v>1284</v>
      </c>
      <c r="C8268" t="s">
        <v>55</v>
      </c>
      <c r="D8268" t="s">
        <v>820</v>
      </c>
      <c r="E8268">
        <v>19.98</v>
      </c>
      <c r="F8268">
        <v>2</v>
      </c>
      <c r="G8268">
        <v>0</v>
      </c>
      <c r="H8268">
        <v>5.1947999999999999</v>
      </c>
      <c r="U8268">
        <v>5.1947999999999999</v>
      </c>
    </row>
    <row r="8269" spans="1:21" x14ac:dyDescent="0.35">
      <c r="A8269" t="s">
        <v>1113</v>
      </c>
      <c r="B8269" t="s">
        <v>1557</v>
      </c>
      <c r="C8269" t="s">
        <v>35</v>
      </c>
      <c r="D8269" t="s">
        <v>2431</v>
      </c>
      <c r="E8269">
        <v>69.375</v>
      </c>
      <c r="F8269">
        <v>1</v>
      </c>
      <c r="G8269">
        <v>0.5</v>
      </c>
      <c r="H8269">
        <v>-47.174999999999997</v>
      </c>
      <c r="U8269">
        <v>-47.174999999999997</v>
      </c>
    </row>
    <row r="8270" spans="1:21" x14ac:dyDescent="0.35">
      <c r="A8270" t="s">
        <v>1113</v>
      </c>
      <c r="B8270" t="s">
        <v>1557</v>
      </c>
      <c r="C8270" t="s">
        <v>35</v>
      </c>
      <c r="D8270" t="s">
        <v>1018</v>
      </c>
      <c r="E8270">
        <v>31.68</v>
      </c>
      <c r="F8270">
        <v>4</v>
      </c>
      <c r="G8270">
        <v>0.2</v>
      </c>
      <c r="H8270">
        <v>2.7719999999999998</v>
      </c>
      <c r="U8270">
        <v>2.7719999999999998</v>
      </c>
    </row>
    <row r="8271" spans="1:21" x14ac:dyDescent="0.35">
      <c r="A8271" t="s">
        <v>1113</v>
      </c>
      <c r="B8271" t="s">
        <v>1557</v>
      </c>
      <c r="C8271" t="s">
        <v>35</v>
      </c>
      <c r="D8271" t="s">
        <v>2578</v>
      </c>
      <c r="E8271">
        <v>2003.1679999999999</v>
      </c>
      <c r="F8271">
        <v>4</v>
      </c>
      <c r="G8271">
        <v>0.2</v>
      </c>
      <c r="H8271">
        <v>250.39599999999999</v>
      </c>
      <c r="U8271">
        <v>250.39599999999999</v>
      </c>
    </row>
    <row r="8272" spans="1:21" x14ac:dyDescent="0.35">
      <c r="A8272" t="s">
        <v>1113</v>
      </c>
      <c r="B8272" t="s">
        <v>1557</v>
      </c>
      <c r="C8272" t="s">
        <v>35</v>
      </c>
      <c r="D8272" t="s">
        <v>477</v>
      </c>
      <c r="E8272">
        <v>9.3439999999999994</v>
      </c>
      <c r="F8272">
        <v>2</v>
      </c>
      <c r="G8272">
        <v>0.2</v>
      </c>
      <c r="H8272">
        <v>3.1536</v>
      </c>
      <c r="U8272">
        <v>3.1536</v>
      </c>
    </row>
    <row r="8273" spans="1:21" x14ac:dyDescent="0.35">
      <c r="A8273" t="s">
        <v>1545</v>
      </c>
      <c r="B8273" t="s">
        <v>1912</v>
      </c>
      <c r="C8273" t="s">
        <v>55</v>
      </c>
      <c r="D8273" t="s">
        <v>770</v>
      </c>
      <c r="E8273">
        <v>2563.056</v>
      </c>
      <c r="F8273">
        <v>8</v>
      </c>
      <c r="G8273">
        <v>0.1</v>
      </c>
      <c r="H8273">
        <v>313.26240000000001</v>
      </c>
      <c r="U8273">
        <v>313.26240000000001</v>
      </c>
    </row>
    <row r="8274" spans="1:21" x14ac:dyDescent="0.35">
      <c r="A8274" t="s">
        <v>853</v>
      </c>
      <c r="B8274" t="s">
        <v>1733</v>
      </c>
      <c r="C8274" t="s">
        <v>13</v>
      </c>
      <c r="D8274" t="s">
        <v>2567</v>
      </c>
      <c r="E8274">
        <v>387.13600000000002</v>
      </c>
      <c r="F8274">
        <v>4</v>
      </c>
      <c r="G8274">
        <v>0.2</v>
      </c>
      <c r="H8274">
        <v>4.8391999999999999</v>
      </c>
      <c r="U8274">
        <v>4.8391999999999999</v>
      </c>
    </row>
    <row r="8275" spans="1:21" x14ac:dyDescent="0.35">
      <c r="A8275" t="s">
        <v>1357</v>
      </c>
      <c r="B8275" t="s">
        <v>2604</v>
      </c>
      <c r="C8275" t="s">
        <v>55</v>
      </c>
      <c r="D8275" t="s">
        <v>1655</v>
      </c>
      <c r="E8275">
        <v>3.4239999999999999</v>
      </c>
      <c r="F8275">
        <v>1</v>
      </c>
      <c r="G8275">
        <v>0.2</v>
      </c>
      <c r="H8275">
        <v>0.29959999999999998</v>
      </c>
      <c r="U8275">
        <v>0.29959999999999998</v>
      </c>
    </row>
    <row r="8276" spans="1:21" x14ac:dyDescent="0.35">
      <c r="A8276" t="s">
        <v>672</v>
      </c>
      <c r="B8276" t="s">
        <v>1851</v>
      </c>
      <c r="C8276" t="s">
        <v>55</v>
      </c>
      <c r="D8276" t="s">
        <v>2260</v>
      </c>
      <c r="E8276">
        <v>1085.42</v>
      </c>
      <c r="F8276">
        <v>7</v>
      </c>
      <c r="G8276">
        <v>0</v>
      </c>
      <c r="H8276">
        <v>282.20920000000001</v>
      </c>
      <c r="U8276">
        <v>282.20920000000001</v>
      </c>
    </row>
    <row r="8277" spans="1:21" x14ac:dyDescent="0.35">
      <c r="A8277" t="s">
        <v>590</v>
      </c>
      <c r="B8277" t="s">
        <v>2543</v>
      </c>
      <c r="C8277" t="s">
        <v>55</v>
      </c>
      <c r="D8277" t="s">
        <v>209</v>
      </c>
      <c r="E8277">
        <v>43.055999999999997</v>
      </c>
      <c r="F8277">
        <v>9</v>
      </c>
      <c r="G8277">
        <v>0.2</v>
      </c>
      <c r="H8277">
        <v>15.607799999999999</v>
      </c>
      <c r="U8277">
        <v>15.607799999999999</v>
      </c>
    </row>
    <row r="8278" spans="1:21" x14ac:dyDescent="0.35">
      <c r="A8278" t="s">
        <v>2279</v>
      </c>
      <c r="B8278" t="s">
        <v>2709</v>
      </c>
      <c r="C8278" t="s">
        <v>8</v>
      </c>
      <c r="D8278" t="s">
        <v>1391</v>
      </c>
      <c r="E8278">
        <v>3.762</v>
      </c>
      <c r="F8278">
        <v>3</v>
      </c>
      <c r="G8278">
        <v>0.7</v>
      </c>
      <c r="H8278">
        <v>-2.7587999999999999</v>
      </c>
      <c r="U8278">
        <v>-2.7587999999999999</v>
      </c>
    </row>
    <row r="8279" spans="1:21" x14ac:dyDescent="0.35">
      <c r="A8279" t="s">
        <v>2279</v>
      </c>
      <c r="B8279" t="s">
        <v>2709</v>
      </c>
      <c r="C8279" t="s">
        <v>8</v>
      </c>
      <c r="D8279" t="s">
        <v>1531</v>
      </c>
      <c r="E8279">
        <v>34.86</v>
      </c>
      <c r="F8279">
        <v>2</v>
      </c>
      <c r="G8279">
        <v>0.7</v>
      </c>
      <c r="H8279">
        <v>-26.725999999999999</v>
      </c>
      <c r="U8279">
        <v>-26.725999999999999</v>
      </c>
    </row>
    <row r="8280" spans="1:21" x14ac:dyDescent="0.35">
      <c r="A8280" t="s">
        <v>2279</v>
      </c>
      <c r="B8280" t="s">
        <v>2709</v>
      </c>
      <c r="C8280" t="s">
        <v>8</v>
      </c>
      <c r="D8280" t="s">
        <v>1278</v>
      </c>
      <c r="E8280">
        <v>432.45600000000002</v>
      </c>
      <c r="F8280">
        <v>3</v>
      </c>
      <c r="G8280">
        <v>0.2</v>
      </c>
      <c r="H8280">
        <v>32.434199999999997</v>
      </c>
      <c r="U8280">
        <v>32.434199999999997</v>
      </c>
    </row>
    <row r="8281" spans="1:21" x14ac:dyDescent="0.35">
      <c r="A8281" t="s">
        <v>1148</v>
      </c>
      <c r="B8281" t="s">
        <v>931</v>
      </c>
      <c r="C8281" t="s">
        <v>8</v>
      </c>
      <c r="D8281" t="s">
        <v>1512</v>
      </c>
      <c r="E8281">
        <v>675.06</v>
      </c>
      <c r="F8281">
        <v>3</v>
      </c>
      <c r="G8281">
        <v>0</v>
      </c>
      <c r="H8281">
        <v>87.757800000000003</v>
      </c>
      <c r="U8281">
        <v>87.757800000000003</v>
      </c>
    </row>
    <row r="8282" spans="1:21" x14ac:dyDescent="0.35">
      <c r="A8282" s="1">
        <v>42983</v>
      </c>
      <c r="B8282" t="s">
        <v>864</v>
      </c>
      <c r="C8282" t="s">
        <v>8</v>
      </c>
      <c r="D8282" t="s">
        <v>237</v>
      </c>
      <c r="E8282">
        <v>65.231999999999999</v>
      </c>
      <c r="F8282">
        <v>3</v>
      </c>
      <c r="G8282">
        <v>0.2</v>
      </c>
      <c r="H8282">
        <v>22.015799999999999</v>
      </c>
      <c r="U8282">
        <v>22.015799999999999</v>
      </c>
    </row>
    <row r="8283" spans="1:21" x14ac:dyDescent="0.35">
      <c r="A8283" s="1">
        <v>42983</v>
      </c>
      <c r="B8283" t="s">
        <v>864</v>
      </c>
      <c r="C8283" t="s">
        <v>8</v>
      </c>
      <c r="D8283" t="s">
        <v>1460</v>
      </c>
      <c r="E8283">
        <v>207</v>
      </c>
      <c r="F8283">
        <v>3</v>
      </c>
      <c r="G8283">
        <v>0.2</v>
      </c>
      <c r="H8283">
        <v>25.875</v>
      </c>
      <c r="U8283">
        <v>25.875</v>
      </c>
    </row>
    <row r="8284" spans="1:21" x14ac:dyDescent="0.35">
      <c r="A8284" t="s">
        <v>1334</v>
      </c>
      <c r="B8284" t="s">
        <v>1596</v>
      </c>
      <c r="C8284" t="s">
        <v>35</v>
      </c>
      <c r="D8284" t="s">
        <v>1433</v>
      </c>
      <c r="E8284">
        <v>600.53</v>
      </c>
      <c r="F8284">
        <v>2</v>
      </c>
      <c r="G8284">
        <v>0.3</v>
      </c>
      <c r="H8284">
        <v>137.26400000000001</v>
      </c>
      <c r="U8284">
        <v>137.26400000000001</v>
      </c>
    </row>
    <row r="8285" spans="1:21" x14ac:dyDescent="0.35">
      <c r="A8285" t="s">
        <v>1334</v>
      </c>
      <c r="B8285" t="s">
        <v>1596</v>
      </c>
      <c r="C8285" t="s">
        <v>35</v>
      </c>
      <c r="D8285" t="s">
        <v>1266</v>
      </c>
      <c r="E8285">
        <v>59.904000000000003</v>
      </c>
      <c r="F8285">
        <v>2</v>
      </c>
      <c r="G8285">
        <v>0.2</v>
      </c>
      <c r="H8285">
        <v>14.2272</v>
      </c>
      <c r="U8285">
        <v>14.2272</v>
      </c>
    </row>
    <row r="8286" spans="1:21" x14ac:dyDescent="0.35">
      <c r="A8286" t="s">
        <v>1334</v>
      </c>
      <c r="B8286" t="s">
        <v>1596</v>
      </c>
      <c r="C8286" t="s">
        <v>35</v>
      </c>
      <c r="D8286" t="s">
        <v>1336</v>
      </c>
      <c r="E8286">
        <v>637.44000000000005</v>
      </c>
      <c r="F8286">
        <v>8</v>
      </c>
      <c r="G8286">
        <v>0.2</v>
      </c>
      <c r="H8286">
        <v>135.45599999999999</v>
      </c>
      <c r="U8286">
        <v>135.45599999999999</v>
      </c>
    </row>
    <row r="8287" spans="1:21" x14ac:dyDescent="0.35">
      <c r="A8287" t="s">
        <v>1334</v>
      </c>
      <c r="B8287" t="s">
        <v>1596</v>
      </c>
      <c r="C8287" t="s">
        <v>35</v>
      </c>
      <c r="D8287" t="s">
        <v>894</v>
      </c>
      <c r="E8287">
        <v>51.756</v>
      </c>
      <c r="F8287">
        <v>3</v>
      </c>
      <c r="G8287">
        <v>0.6</v>
      </c>
      <c r="H8287">
        <v>-33.641399999999997</v>
      </c>
      <c r="U8287">
        <v>-33.641399999999997</v>
      </c>
    </row>
    <row r="8288" spans="1:21" x14ac:dyDescent="0.35">
      <c r="A8288" s="1">
        <v>41981</v>
      </c>
      <c r="B8288" t="s">
        <v>2441</v>
      </c>
      <c r="C8288" t="s">
        <v>8</v>
      </c>
      <c r="D8288" t="s">
        <v>2670</v>
      </c>
      <c r="E8288">
        <v>31.103999999999999</v>
      </c>
      <c r="F8288">
        <v>6</v>
      </c>
      <c r="G8288">
        <v>0.2</v>
      </c>
      <c r="H8288">
        <v>10.8864</v>
      </c>
      <c r="U8288">
        <v>10.8864</v>
      </c>
    </row>
    <row r="8289" spans="1:21" x14ac:dyDescent="0.35">
      <c r="A8289" s="1">
        <v>41981</v>
      </c>
      <c r="B8289" t="s">
        <v>2441</v>
      </c>
      <c r="C8289" t="s">
        <v>8</v>
      </c>
      <c r="D8289" t="s">
        <v>704</v>
      </c>
      <c r="E8289">
        <v>47.96</v>
      </c>
      <c r="F8289">
        <v>5</v>
      </c>
      <c r="G8289">
        <v>0.2</v>
      </c>
      <c r="H8289">
        <v>4.1965000000000003</v>
      </c>
      <c r="U8289">
        <v>4.1965000000000003</v>
      </c>
    </row>
    <row r="8290" spans="1:21" x14ac:dyDescent="0.35">
      <c r="A8290" s="1">
        <v>41981</v>
      </c>
      <c r="B8290" t="s">
        <v>2441</v>
      </c>
      <c r="C8290" t="s">
        <v>8</v>
      </c>
      <c r="D8290" t="s">
        <v>1260</v>
      </c>
      <c r="E8290">
        <v>158.928</v>
      </c>
      <c r="F8290">
        <v>7</v>
      </c>
      <c r="G8290">
        <v>0.2</v>
      </c>
      <c r="H8290">
        <v>41.718600000000002</v>
      </c>
      <c r="U8290">
        <v>41.718600000000002</v>
      </c>
    </row>
    <row r="8291" spans="1:21" x14ac:dyDescent="0.35">
      <c r="A8291" s="1">
        <v>41981</v>
      </c>
      <c r="B8291" t="s">
        <v>2441</v>
      </c>
      <c r="C8291" t="s">
        <v>8</v>
      </c>
      <c r="D8291" t="s">
        <v>2095</v>
      </c>
      <c r="E8291">
        <v>211.24799999999999</v>
      </c>
      <c r="F8291">
        <v>6</v>
      </c>
      <c r="G8291">
        <v>0.2</v>
      </c>
      <c r="H8291">
        <v>15.8436</v>
      </c>
      <c r="U8291">
        <v>15.8436</v>
      </c>
    </row>
    <row r="8292" spans="1:21" x14ac:dyDescent="0.35">
      <c r="A8292" s="1">
        <v>41981</v>
      </c>
      <c r="B8292" t="s">
        <v>2441</v>
      </c>
      <c r="C8292" t="s">
        <v>8</v>
      </c>
      <c r="D8292" t="s">
        <v>2413</v>
      </c>
      <c r="E8292">
        <v>5.5519999999999996</v>
      </c>
      <c r="F8292">
        <v>2</v>
      </c>
      <c r="G8292">
        <v>0.2</v>
      </c>
      <c r="H8292">
        <v>-1.0409999999999999</v>
      </c>
      <c r="U8292">
        <v>-1.0409999999999999</v>
      </c>
    </row>
    <row r="8293" spans="1:21" x14ac:dyDescent="0.35">
      <c r="A8293" s="1">
        <v>41981</v>
      </c>
      <c r="B8293" t="s">
        <v>2441</v>
      </c>
      <c r="C8293" t="s">
        <v>8</v>
      </c>
      <c r="D8293" t="s">
        <v>1841</v>
      </c>
      <c r="E8293">
        <v>2.952</v>
      </c>
      <c r="F8293">
        <v>1</v>
      </c>
      <c r="G8293">
        <v>0.2</v>
      </c>
      <c r="H8293">
        <v>0.99629999999999996</v>
      </c>
      <c r="U8293">
        <v>0.99629999999999996</v>
      </c>
    </row>
    <row r="8294" spans="1:21" x14ac:dyDescent="0.35">
      <c r="A8294" s="1">
        <v>42320</v>
      </c>
      <c r="B8294" t="s">
        <v>265</v>
      </c>
      <c r="C8294" t="s">
        <v>55</v>
      </c>
      <c r="D8294" t="s">
        <v>2227</v>
      </c>
      <c r="E8294">
        <v>10.332000000000001</v>
      </c>
      <c r="F8294">
        <v>3</v>
      </c>
      <c r="G8294">
        <v>0.7</v>
      </c>
      <c r="H8294">
        <v>-7.5768000000000004</v>
      </c>
      <c r="U8294">
        <v>-7.5768000000000004</v>
      </c>
    </row>
    <row r="8295" spans="1:21" x14ac:dyDescent="0.35">
      <c r="A8295" s="1">
        <v>42805</v>
      </c>
      <c r="B8295" t="s">
        <v>2376</v>
      </c>
      <c r="C8295" t="s">
        <v>13</v>
      </c>
      <c r="D8295" t="s">
        <v>1929</v>
      </c>
      <c r="E8295">
        <v>18.367999999999999</v>
      </c>
      <c r="F8295">
        <v>4</v>
      </c>
      <c r="G8295">
        <v>0.2</v>
      </c>
      <c r="H8295">
        <v>5.9695999999999998</v>
      </c>
      <c r="U8295">
        <v>5.9695999999999998</v>
      </c>
    </row>
    <row r="8296" spans="1:21" x14ac:dyDescent="0.35">
      <c r="A8296" t="s">
        <v>1906</v>
      </c>
      <c r="B8296" t="s">
        <v>1328</v>
      </c>
      <c r="C8296" t="s">
        <v>55</v>
      </c>
      <c r="D8296" t="s">
        <v>1899</v>
      </c>
      <c r="E8296">
        <v>299.89999999999998</v>
      </c>
      <c r="F8296">
        <v>2</v>
      </c>
      <c r="G8296">
        <v>0</v>
      </c>
      <c r="H8296">
        <v>74.974999999999994</v>
      </c>
      <c r="U8296">
        <v>74.974999999999994</v>
      </c>
    </row>
    <row r="8297" spans="1:21" x14ac:dyDescent="0.35">
      <c r="A8297" t="s">
        <v>838</v>
      </c>
      <c r="B8297" t="s">
        <v>1712</v>
      </c>
      <c r="C8297" t="s">
        <v>8</v>
      </c>
      <c r="D8297" t="s">
        <v>235</v>
      </c>
      <c r="E8297">
        <v>26.55</v>
      </c>
      <c r="F8297">
        <v>9</v>
      </c>
      <c r="G8297">
        <v>0</v>
      </c>
      <c r="H8297">
        <v>12.744</v>
      </c>
      <c r="U8297">
        <v>12.744</v>
      </c>
    </row>
    <row r="8298" spans="1:21" x14ac:dyDescent="0.35">
      <c r="A8298" t="s">
        <v>838</v>
      </c>
      <c r="B8298" t="s">
        <v>1712</v>
      </c>
      <c r="C8298" t="s">
        <v>8</v>
      </c>
      <c r="D8298" t="s">
        <v>408</v>
      </c>
      <c r="E8298">
        <v>111.98</v>
      </c>
      <c r="F8298">
        <v>2</v>
      </c>
      <c r="G8298">
        <v>0</v>
      </c>
      <c r="H8298">
        <v>26.8752</v>
      </c>
      <c r="U8298">
        <v>26.8752</v>
      </c>
    </row>
    <row r="8299" spans="1:21" x14ac:dyDescent="0.35">
      <c r="A8299" s="1">
        <v>42131</v>
      </c>
      <c r="B8299" t="s">
        <v>1057</v>
      </c>
      <c r="C8299" t="s">
        <v>8</v>
      </c>
      <c r="D8299" t="s">
        <v>2184</v>
      </c>
      <c r="E8299">
        <v>4.9279999999999999</v>
      </c>
      <c r="F8299">
        <v>2</v>
      </c>
      <c r="G8299">
        <v>0.2</v>
      </c>
      <c r="H8299">
        <v>0.73919999999999997</v>
      </c>
      <c r="U8299">
        <v>0.73919999999999997</v>
      </c>
    </row>
    <row r="8300" spans="1:21" x14ac:dyDescent="0.35">
      <c r="A8300" s="1">
        <v>42131</v>
      </c>
      <c r="B8300" t="s">
        <v>1057</v>
      </c>
      <c r="C8300" t="s">
        <v>8</v>
      </c>
      <c r="D8300" t="s">
        <v>1086</v>
      </c>
      <c r="E8300">
        <v>11.784000000000001</v>
      </c>
      <c r="F8300">
        <v>3</v>
      </c>
      <c r="G8300">
        <v>0.2</v>
      </c>
      <c r="H8300">
        <v>4.2717000000000001</v>
      </c>
      <c r="U8300">
        <v>4.2717000000000001</v>
      </c>
    </row>
    <row r="8301" spans="1:21" x14ac:dyDescent="0.35">
      <c r="A8301" s="1">
        <v>41946</v>
      </c>
      <c r="B8301" t="s">
        <v>1996</v>
      </c>
      <c r="C8301" t="s">
        <v>13</v>
      </c>
      <c r="D8301" t="s">
        <v>2446</v>
      </c>
      <c r="E8301">
        <v>7.98</v>
      </c>
      <c r="F8301">
        <v>3</v>
      </c>
      <c r="G8301">
        <v>0</v>
      </c>
      <c r="H8301">
        <v>2.0748000000000002</v>
      </c>
      <c r="U8301">
        <v>2.0748000000000002</v>
      </c>
    </row>
    <row r="8302" spans="1:21" x14ac:dyDescent="0.35">
      <c r="A8302" t="s">
        <v>2062</v>
      </c>
      <c r="B8302" t="s">
        <v>901</v>
      </c>
      <c r="C8302" t="s">
        <v>35</v>
      </c>
      <c r="D8302" t="s">
        <v>456</v>
      </c>
      <c r="E8302">
        <v>180.96</v>
      </c>
      <c r="F8302">
        <v>2</v>
      </c>
      <c r="G8302">
        <v>0</v>
      </c>
      <c r="H8302">
        <v>81.432000000000002</v>
      </c>
      <c r="U8302">
        <v>81.432000000000002</v>
      </c>
    </row>
    <row r="8303" spans="1:21" x14ac:dyDescent="0.35">
      <c r="A8303" t="s">
        <v>924</v>
      </c>
      <c r="B8303" t="s">
        <v>1562</v>
      </c>
      <c r="C8303" t="s">
        <v>13</v>
      </c>
      <c r="D8303" t="s">
        <v>2602</v>
      </c>
      <c r="E8303">
        <v>1649.95</v>
      </c>
      <c r="F8303">
        <v>5</v>
      </c>
      <c r="G8303">
        <v>0</v>
      </c>
      <c r="H8303">
        <v>659.98</v>
      </c>
      <c r="U8303">
        <v>659.98</v>
      </c>
    </row>
    <row r="8304" spans="1:21" x14ac:dyDescent="0.35">
      <c r="A8304" t="s">
        <v>924</v>
      </c>
      <c r="B8304" t="s">
        <v>1562</v>
      </c>
      <c r="C8304" t="s">
        <v>13</v>
      </c>
      <c r="D8304" t="s">
        <v>1177</v>
      </c>
      <c r="E8304">
        <v>362.35199999999998</v>
      </c>
      <c r="F8304">
        <v>3</v>
      </c>
      <c r="G8304">
        <v>0.2</v>
      </c>
      <c r="H8304">
        <v>45.293999999999997</v>
      </c>
      <c r="U8304">
        <v>45.293999999999997</v>
      </c>
    </row>
    <row r="8305" spans="1:21" x14ac:dyDescent="0.35">
      <c r="A8305" t="s">
        <v>816</v>
      </c>
      <c r="B8305" t="s">
        <v>2195</v>
      </c>
      <c r="C8305" t="s">
        <v>13</v>
      </c>
      <c r="D8305" t="s">
        <v>949</v>
      </c>
      <c r="E8305">
        <v>73.584000000000003</v>
      </c>
      <c r="F8305">
        <v>2</v>
      </c>
      <c r="G8305">
        <v>0.2</v>
      </c>
      <c r="H8305">
        <v>8.2782</v>
      </c>
      <c r="U8305">
        <v>8.2782</v>
      </c>
    </row>
    <row r="8306" spans="1:21" x14ac:dyDescent="0.35">
      <c r="A8306" s="1">
        <v>42805</v>
      </c>
      <c r="B8306" t="s">
        <v>2340</v>
      </c>
      <c r="C8306" t="s">
        <v>13</v>
      </c>
      <c r="D8306" t="s">
        <v>2612</v>
      </c>
      <c r="E8306">
        <v>486.36799999999999</v>
      </c>
      <c r="F8306">
        <v>4</v>
      </c>
      <c r="G8306">
        <v>0.2</v>
      </c>
      <c r="H8306">
        <v>36.477600000000002</v>
      </c>
      <c r="U8306">
        <v>36.477600000000002</v>
      </c>
    </row>
    <row r="8307" spans="1:21" x14ac:dyDescent="0.35">
      <c r="A8307" s="1">
        <v>42682</v>
      </c>
      <c r="B8307" t="s">
        <v>811</v>
      </c>
      <c r="C8307" t="s">
        <v>35</v>
      </c>
      <c r="D8307" t="s">
        <v>1200</v>
      </c>
      <c r="E8307">
        <v>32.4</v>
      </c>
      <c r="F8307">
        <v>5</v>
      </c>
      <c r="G8307">
        <v>0</v>
      </c>
      <c r="H8307">
        <v>15.552</v>
      </c>
      <c r="U8307">
        <v>15.552</v>
      </c>
    </row>
    <row r="8308" spans="1:21" x14ac:dyDescent="0.35">
      <c r="A8308" s="1">
        <v>42682</v>
      </c>
      <c r="B8308" t="s">
        <v>811</v>
      </c>
      <c r="C8308" t="s">
        <v>35</v>
      </c>
      <c r="D8308" t="s">
        <v>1034</v>
      </c>
      <c r="E8308">
        <v>41.86</v>
      </c>
      <c r="F8308">
        <v>7</v>
      </c>
      <c r="G8308">
        <v>0</v>
      </c>
      <c r="H8308">
        <v>19.255600000000001</v>
      </c>
      <c r="U8308">
        <v>19.255600000000001</v>
      </c>
    </row>
    <row r="8309" spans="1:21" x14ac:dyDescent="0.35">
      <c r="A8309" s="1">
        <v>42682</v>
      </c>
      <c r="B8309" t="s">
        <v>811</v>
      </c>
      <c r="C8309" t="s">
        <v>35</v>
      </c>
      <c r="D8309" t="s">
        <v>2408</v>
      </c>
      <c r="E8309">
        <v>77.56</v>
      </c>
      <c r="F8309">
        <v>2</v>
      </c>
      <c r="G8309">
        <v>0</v>
      </c>
      <c r="H8309">
        <v>35.677599999999998</v>
      </c>
      <c r="U8309">
        <v>35.677599999999998</v>
      </c>
    </row>
    <row r="8310" spans="1:21" x14ac:dyDescent="0.35">
      <c r="A8310" t="s">
        <v>833</v>
      </c>
      <c r="B8310" t="s">
        <v>2064</v>
      </c>
      <c r="C8310" t="s">
        <v>13</v>
      </c>
      <c r="D8310" t="s">
        <v>1693</v>
      </c>
      <c r="E8310">
        <v>37.17</v>
      </c>
      <c r="F8310">
        <v>9</v>
      </c>
      <c r="G8310">
        <v>0</v>
      </c>
      <c r="H8310">
        <v>11.151</v>
      </c>
      <c r="U8310">
        <v>11.151</v>
      </c>
    </row>
    <row r="8311" spans="1:21" x14ac:dyDescent="0.35">
      <c r="A8311" s="1">
        <v>41642</v>
      </c>
      <c r="B8311" t="s">
        <v>1861</v>
      </c>
      <c r="C8311" t="s">
        <v>35</v>
      </c>
      <c r="D8311" t="s">
        <v>2031</v>
      </c>
      <c r="E8311">
        <v>137.352</v>
      </c>
      <c r="F8311">
        <v>3</v>
      </c>
      <c r="G8311">
        <v>0.2</v>
      </c>
      <c r="H8311">
        <v>8.5845000000000002</v>
      </c>
      <c r="U8311">
        <v>8.5845000000000002</v>
      </c>
    </row>
    <row r="8312" spans="1:21" x14ac:dyDescent="0.35">
      <c r="A8312" s="1">
        <v>41642</v>
      </c>
      <c r="B8312" t="s">
        <v>1861</v>
      </c>
      <c r="C8312" t="s">
        <v>35</v>
      </c>
      <c r="D8312" t="s">
        <v>2056</v>
      </c>
      <c r="E8312">
        <v>376.50900000000001</v>
      </c>
      <c r="F8312">
        <v>3</v>
      </c>
      <c r="G8312">
        <v>0.3</v>
      </c>
      <c r="H8312">
        <v>-43.029600000000002</v>
      </c>
      <c r="U8312">
        <v>-43.029600000000002</v>
      </c>
    </row>
    <row r="8313" spans="1:21" x14ac:dyDescent="0.35">
      <c r="A8313" t="s">
        <v>1405</v>
      </c>
      <c r="B8313" t="s">
        <v>883</v>
      </c>
      <c r="C8313" t="s">
        <v>8</v>
      </c>
      <c r="D8313" t="s">
        <v>243</v>
      </c>
      <c r="E8313">
        <v>62.72</v>
      </c>
      <c r="F8313">
        <v>4</v>
      </c>
      <c r="G8313">
        <v>0</v>
      </c>
      <c r="H8313">
        <v>24.460799999999999</v>
      </c>
      <c r="U8313">
        <v>24.460799999999999</v>
      </c>
    </row>
    <row r="8314" spans="1:21" x14ac:dyDescent="0.35">
      <c r="A8314" t="s">
        <v>1405</v>
      </c>
      <c r="B8314" t="s">
        <v>883</v>
      </c>
      <c r="C8314" t="s">
        <v>8</v>
      </c>
      <c r="D8314" t="s">
        <v>2270</v>
      </c>
      <c r="E8314">
        <v>2939.93</v>
      </c>
      <c r="F8314">
        <v>7</v>
      </c>
      <c r="G8314">
        <v>0</v>
      </c>
      <c r="H8314">
        <v>764.3818</v>
      </c>
      <c r="U8314">
        <v>764.3818</v>
      </c>
    </row>
    <row r="8315" spans="1:21" x14ac:dyDescent="0.35">
      <c r="A8315" s="1">
        <v>41980</v>
      </c>
      <c r="B8315" t="s">
        <v>1409</v>
      </c>
      <c r="C8315" t="s">
        <v>35</v>
      </c>
      <c r="D8315" t="s">
        <v>1445</v>
      </c>
      <c r="E8315">
        <v>512.35799999999995</v>
      </c>
      <c r="F8315">
        <v>3</v>
      </c>
      <c r="G8315">
        <v>0.3</v>
      </c>
      <c r="H8315">
        <v>-14.6388</v>
      </c>
      <c r="U8315">
        <v>-14.6388</v>
      </c>
    </row>
    <row r="8316" spans="1:21" x14ac:dyDescent="0.35">
      <c r="A8316" s="1">
        <v>41980</v>
      </c>
      <c r="B8316" t="s">
        <v>1409</v>
      </c>
      <c r="C8316" t="s">
        <v>35</v>
      </c>
      <c r="D8316" t="s">
        <v>1432</v>
      </c>
      <c r="E8316">
        <v>3.488</v>
      </c>
      <c r="F8316">
        <v>2</v>
      </c>
      <c r="G8316">
        <v>0.2</v>
      </c>
      <c r="H8316">
        <v>0.56679999999999997</v>
      </c>
      <c r="U8316">
        <v>0.56679999999999997</v>
      </c>
    </row>
    <row r="8317" spans="1:21" x14ac:dyDescent="0.35">
      <c r="A8317" s="1">
        <v>41980</v>
      </c>
      <c r="B8317" t="s">
        <v>1409</v>
      </c>
      <c r="C8317" t="s">
        <v>35</v>
      </c>
      <c r="D8317" t="s">
        <v>1239</v>
      </c>
      <c r="E8317">
        <v>22.288</v>
      </c>
      <c r="F8317">
        <v>7</v>
      </c>
      <c r="G8317">
        <v>0.2</v>
      </c>
      <c r="H8317">
        <v>3.9003999999999999</v>
      </c>
      <c r="U8317">
        <v>3.9003999999999999</v>
      </c>
    </row>
    <row r="8318" spans="1:21" x14ac:dyDescent="0.35">
      <c r="A8318" s="1">
        <v>41980</v>
      </c>
      <c r="B8318" t="s">
        <v>1409</v>
      </c>
      <c r="C8318" t="s">
        <v>35</v>
      </c>
      <c r="D8318" t="s">
        <v>266</v>
      </c>
      <c r="E8318">
        <v>16.032</v>
      </c>
      <c r="F8318">
        <v>3</v>
      </c>
      <c r="G8318">
        <v>0.2</v>
      </c>
      <c r="H8318">
        <v>5.6112000000000002</v>
      </c>
      <c r="U8318">
        <v>5.6112000000000002</v>
      </c>
    </row>
    <row r="8319" spans="1:21" x14ac:dyDescent="0.35">
      <c r="A8319" s="1">
        <v>43043</v>
      </c>
      <c r="B8319" t="s">
        <v>146</v>
      </c>
      <c r="C8319" t="s">
        <v>8</v>
      </c>
      <c r="D8319" t="s">
        <v>1519</v>
      </c>
      <c r="E8319">
        <v>1.752</v>
      </c>
      <c r="F8319">
        <v>1</v>
      </c>
      <c r="G8319">
        <v>0.2</v>
      </c>
      <c r="H8319">
        <v>0.15329999999999999</v>
      </c>
      <c r="U8319">
        <v>0.15329999999999999</v>
      </c>
    </row>
    <row r="8320" spans="1:21" x14ac:dyDescent="0.35">
      <c r="A8320" s="1">
        <v>43043</v>
      </c>
      <c r="B8320" t="s">
        <v>146</v>
      </c>
      <c r="C8320" t="s">
        <v>8</v>
      </c>
      <c r="D8320" t="s">
        <v>1925</v>
      </c>
      <c r="E8320">
        <v>20.992000000000001</v>
      </c>
      <c r="F8320">
        <v>8</v>
      </c>
      <c r="G8320">
        <v>0.2</v>
      </c>
      <c r="H8320">
        <v>2.3616000000000001</v>
      </c>
      <c r="U8320">
        <v>2.3616000000000001</v>
      </c>
    </row>
    <row r="8321" spans="1:21" x14ac:dyDescent="0.35">
      <c r="A8321" t="s">
        <v>170</v>
      </c>
      <c r="B8321" t="s">
        <v>808</v>
      </c>
      <c r="C8321" t="s">
        <v>55</v>
      </c>
      <c r="D8321" t="s">
        <v>1079</v>
      </c>
      <c r="E8321">
        <v>11.21</v>
      </c>
      <c r="F8321">
        <v>1</v>
      </c>
      <c r="G8321">
        <v>0</v>
      </c>
      <c r="H8321">
        <v>3.363</v>
      </c>
      <c r="U8321">
        <v>3.363</v>
      </c>
    </row>
    <row r="8322" spans="1:21" x14ac:dyDescent="0.35">
      <c r="A8322" s="1">
        <v>42136</v>
      </c>
      <c r="B8322" t="s">
        <v>54</v>
      </c>
      <c r="C8322" t="s">
        <v>35</v>
      </c>
      <c r="D8322" t="s">
        <v>2289</v>
      </c>
      <c r="E8322">
        <v>45.04</v>
      </c>
      <c r="F8322">
        <v>2</v>
      </c>
      <c r="G8322">
        <v>0.2</v>
      </c>
      <c r="H8322">
        <v>4.5039999999999996</v>
      </c>
      <c r="U8322">
        <v>4.5039999999999996</v>
      </c>
    </row>
    <row r="8323" spans="1:21" x14ac:dyDescent="0.35">
      <c r="A8323" t="s">
        <v>769</v>
      </c>
      <c r="B8323" t="s">
        <v>2124</v>
      </c>
      <c r="C8323" t="s">
        <v>35</v>
      </c>
      <c r="D8323" t="s">
        <v>2639</v>
      </c>
      <c r="E8323">
        <v>15.624000000000001</v>
      </c>
      <c r="F8323">
        <v>2</v>
      </c>
      <c r="G8323">
        <v>0.8</v>
      </c>
      <c r="H8323">
        <v>-24.9984</v>
      </c>
      <c r="U8323">
        <v>-24.9984</v>
      </c>
    </row>
    <row r="8324" spans="1:21" x14ac:dyDescent="0.35">
      <c r="A8324" t="s">
        <v>1033</v>
      </c>
      <c r="B8324" t="s">
        <v>1587</v>
      </c>
      <c r="C8324" t="s">
        <v>55</v>
      </c>
      <c r="D8324" t="s">
        <v>2349</v>
      </c>
      <c r="E8324">
        <v>8.74</v>
      </c>
      <c r="F8324">
        <v>2</v>
      </c>
      <c r="G8324">
        <v>0</v>
      </c>
      <c r="H8324">
        <v>2.2724000000000002</v>
      </c>
      <c r="U8324">
        <v>2.2724000000000002</v>
      </c>
    </row>
    <row r="8325" spans="1:21" x14ac:dyDescent="0.35">
      <c r="A8325" t="s">
        <v>1033</v>
      </c>
      <c r="B8325" t="s">
        <v>1587</v>
      </c>
      <c r="C8325" t="s">
        <v>55</v>
      </c>
      <c r="D8325" t="s">
        <v>795</v>
      </c>
      <c r="E8325">
        <v>44.75</v>
      </c>
      <c r="F8325">
        <v>5</v>
      </c>
      <c r="G8325">
        <v>0</v>
      </c>
      <c r="H8325">
        <v>20.585000000000001</v>
      </c>
      <c r="U8325">
        <v>20.585000000000001</v>
      </c>
    </row>
    <row r="8326" spans="1:21" x14ac:dyDescent="0.35">
      <c r="A8326" s="1">
        <v>42956</v>
      </c>
      <c r="B8326" t="s">
        <v>2604</v>
      </c>
      <c r="C8326" t="s">
        <v>8</v>
      </c>
      <c r="D8326" t="s">
        <v>794</v>
      </c>
      <c r="E8326">
        <v>61.68</v>
      </c>
      <c r="F8326">
        <v>5</v>
      </c>
      <c r="G8326">
        <v>0.2</v>
      </c>
      <c r="H8326">
        <v>5.3970000000000002</v>
      </c>
      <c r="U8326">
        <v>5.3970000000000002</v>
      </c>
    </row>
    <row r="8327" spans="1:21" x14ac:dyDescent="0.35">
      <c r="A8327" s="1">
        <v>42956</v>
      </c>
      <c r="B8327" t="s">
        <v>2604</v>
      </c>
      <c r="C8327" t="s">
        <v>8</v>
      </c>
      <c r="D8327" t="s">
        <v>1625</v>
      </c>
      <c r="E8327">
        <v>158.376</v>
      </c>
      <c r="F8327">
        <v>3</v>
      </c>
      <c r="G8327">
        <v>0.2</v>
      </c>
      <c r="H8327">
        <v>13.857900000000001</v>
      </c>
      <c r="U8327">
        <v>13.857900000000001</v>
      </c>
    </row>
    <row r="8328" spans="1:21" x14ac:dyDescent="0.35">
      <c r="A8328" t="s">
        <v>997</v>
      </c>
      <c r="B8328" t="s">
        <v>521</v>
      </c>
      <c r="C8328" t="s">
        <v>35</v>
      </c>
      <c r="D8328" t="s">
        <v>357</v>
      </c>
      <c r="E8328">
        <v>2.8639999999999999</v>
      </c>
      <c r="F8328">
        <v>4</v>
      </c>
      <c r="G8328">
        <v>0.8</v>
      </c>
      <c r="H8328">
        <v>-4.5823999999999998</v>
      </c>
      <c r="U8328">
        <v>-4.5823999999999998</v>
      </c>
    </row>
    <row r="8329" spans="1:21" x14ac:dyDescent="0.35">
      <c r="A8329" t="s">
        <v>997</v>
      </c>
      <c r="B8329" t="s">
        <v>521</v>
      </c>
      <c r="C8329" t="s">
        <v>35</v>
      </c>
      <c r="D8329" t="s">
        <v>1765</v>
      </c>
      <c r="E8329">
        <v>94.191999999999993</v>
      </c>
      <c r="F8329">
        <v>7</v>
      </c>
      <c r="G8329">
        <v>0.8</v>
      </c>
      <c r="H8329">
        <v>-164.83600000000001</v>
      </c>
      <c r="U8329">
        <v>-164.83600000000001</v>
      </c>
    </row>
    <row r="8330" spans="1:21" x14ac:dyDescent="0.35">
      <c r="A8330" s="1">
        <v>42896</v>
      </c>
      <c r="B8330" t="s">
        <v>805</v>
      </c>
      <c r="C8330" t="s">
        <v>55</v>
      </c>
      <c r="D8330" t="s">
        <v>1730</v>
      </c>
      <c r="E8330">
        <v>143.69999999999999</v>
      </c>
      <c r="F8330">
        <v>3</v>
      </c>
      <c r="G8330">
        <v>0</v>
      </c>
      <c r="H8330">
        <v>68.975999999999999</v>
      </c>
      <c r="U8330">
        <v>68.975999999999999</v>
      </c>
    </row>
    <row r="8331" spans="1:21" x14ac:dyDescent="0.35">
      <c r="A8331" s="1">
        <v>42896</v>
      </c>
      <c r="B8331" t="s">
        <v>805</v>
      </c>
      <c r="C8331" t="s">
        <v>55</v>
      </c>
      <c r="D8331" t="s">
        <v>1612</v>
      </c>
      <c r="E8331">
        <v>6.48</v>
      </c>
      <c r="F8331">
        <v>1</v>
      </c>
      <c r="G8331">
        <v>0</v>
      </c>
      <c r="H8331">
        <v>3.1103999999999998</v>
      </c>
      <c r="U8331">
        <v>3.1103999999999998</v>
      </c>
    </row>
    <row r="8332" spans="1:21" x14ac:dyDescent="0.35">
      <c r="A8332" s="1">
        <v>42927</v>
      </c>
      <c r="B8332" t="s">
        <v>911</v>
      </c>
      <c r="C8332" t="s">
        <v>55</v>
      </c>
      <c r="D8332" t="s">
        <v>2717</v>
      </c>
      <c r="E8332">
        <v>7.88</v>
      </c>
      <c r="F8332">
        <v>4</v>
      </c>
      <c r="G8332">
        <v>0</v>
      </c>
      <c r="H8332">
        <v>2.5215999999999998</v>
      </c>
      <c r="U8332">
        <v>2.5215999999999998</v>
      </c>
    </row>
    <row r="8333" spans="1:21" x14ac:dyDescent="0.35">
      <c r="A8333" s="1">
        <v>42616</v>
      </c>
      <c r="B8333" t="s">
        <v>1784</v>
      </c>
      <c r="C8333" t="s">
        <v>55</v>
      </c>
      <c r="D8333" t="s">
        <v>1079</v>
      </c>
      <c r="E8333">
        <v>11.21</v>
      </c>
      <c r="F8333">
        <v>1</v>
      </c>
      <c r="G8333">
        <v>0</v>
      </c>
      <c r="H8333">
        <v>3.363</v>
      </c>
      <c r="U8333">
        <v>3.363</v>
      </c>
    </row>
    <row r="8334" spans="1:21" x14ac:dyDescent="0.35">
      <c r="A8334" s="1">
        <v>42616</v>
      </c>
      <c r="B8334" t="s">
        <v>1784</v>
      </c>
      <c r="C8334" t="s">
        <v>55</v>
      </c>
      <c r="D8334" t="s">
        <v>882</v>
      </c>
      <c r="E8334">
        <v>354.9</v>
      </c>
      <c r="F8334">
        <v>5</v>
      </c>
      <c r="G8334">
        <v>0</v>
      </c>
      <c r="H8334">
        <v>88.724999999999994</v>
      </c>
      <c r="U8334">
        <v>88.724999999999994</v>
      </c>
    </row>
    <row r="8335" spans="1:21" x14ac:dyDescent="0.35">
      <c r="A8335" s="1">
        <v>42616</v>
      </c>
      <c r="B8335" t="s">
        <v>1784</v>
      </c>
      <c r="C8335" t="s">
        <v>55</v>
      </c>
      <c r="D8335" t="s">
        <v>2647</v>
      </c>
      <c r="E8335">
        <v>17.940000000000001</v>
      </c>
      <c r="F8335">
        <v>3</v>
      </c>
      <c r="G8335">
        <v>0</v>
      </c>
      <c r="H8335">
        <v>8.7905999999999995</v>
      </c>
      <c r="U8335">
        <v>8.7905999999999995</v>
      </c>
    </row>
    <row r="8336" spans="1:21" x14ac:dyDescent="0.35">
      <c r="A8336" s="1">
        <v>42616</v>
      </c>
      <c r="B8336" t="s">
        <v>1784</v>
      </c>
      <c r="C8336" t="s">
        <v>55</v>
      </c>
      <c r="D8336" t="s">
        <v>1542</v>
      </c>
      <c r="E8336">
        <v>51.8</v>
      </c>
      <c r="F8336">
        <v>4</v>
      </c>
      <c r="G8336">
        <v>0</v>
      </c>
      <c r="H8336">
        <v>23.31</v>
      </c>
      <c r="U8336">
        <v>23.31</v>
      </c>
    </row>
    <row r="8337" spans="1:21" x14ac:dyDescent="0.35">
      <c r="A8337" t="s">
        <v>2112</v>
      </c>
      <c r="B8337" t="s">
        <v>819</v>
      </c>
      <c r="C8337" t="s">
        <v>55</v>
      </c>
      <c r="D8337" t="s">
        <v>1913</v>
      </c>
      <c r="E8337">
        <v>299.52</v>
      </c>
      <c r="F8337">
        <v>9</v>
      </c>
      <c r="G8337">
        <v>0</v>
      </c>
      <c r="H8337">
        <v>149.76</v>
      </c>
      <c r="U8337">
        <v>149.76</v>
      </c>
    </row>
    <row r="8338" spans="1:21" x14ac:dyDescent="0.35">
      <c r="A8338" s="1">
        <v>42407</v>
      </c>
      <c r="B8338" t="s">
        <v>1284</v>
      </c>
      <c r="C8338" t="s">
        <v>8</v>
      </c>
      <c r="D8338" t="s">
        <v>2718</v>
      </c>
      <c r="E8338">
        <v>7.7</v>
      </c>
      <c r="F8338">
        <v>2</v>
      </c>
      <c r="G8338">
        <v>0</v>
      </c>
      <c r="H8338">
        <v>3.157</v>
      </c>
      <c r="U8338">
        <v>3.157</v>
      </c>
    </row>
    <row r="8339" spans="1:21" x14ac:dyDescent="0.35">
      <c r="A8339" t="s">
        <v>1458</v>
      </c>
      <c r="B8339" t="s">
        <v>1963</v>
      </c>
      <c r="C8339" t="s">
        <v>8</v>
      </c>
      <c r="D8339" t="s">
        <v>2684</v>
      </c>
      <c r="E8339">
        <v>23.92</v>
      </c>
      <c r="F8339">
        <v>4</v>
      </c>
      <c r="G8339">
        <v>0</v>
      </c>
      <c r="H8339">
        <v>11.720800000000001</v>
      </c>
      <c r="U8339">
        <v>11.720800000000001</v>
      </c>
    </row>
    <row r="8340" spans="1:21" x14ac:dyDescent="0.35">
      <c r="A8340" t="s">
        <v>1458</v>
      </c>
      <c r="B8340" t="s">
        <v>1963</v>
      </c>
      <c r="C8340" t="s">
        <v>8</v>
      </c>
      <c r="D8340" t="s">
        <v>1336</v>
      </c>
      <c r="E8340">
        <v>498</v>
      </c>
      <c r="F8340">
        <v>5</v>
      </c>
      <c r="G8340">
        <v>0</v>
      </c>
      <c r="H8340">
        <v>184.26</v>
      </c>
      <c r="U8340">
        <v>184.26</v>
      </c>
    </row>
    <row r="8341" spans="1:21" x14ac:dyDescent="0.35">
      <c r="A8341" t="s">
        <v>1983</v>
      </c>
      <c r="B8341" t="s">
        <v>1608</v>
      </c>
      <c r="C8341" t="s">
        <v>13</v>
      </c>
      <c r="D8341" t="s">
        <v>1924</v>
      </c>
      <c r="E8341">
        <v>436.70400000000001</v>
      </c>
      <c r="F8341">
        <v>6</v>
      </c>
      <c r="G8341">
        <v>0.2</v>
      </c>
      <c r="H8341">
        <v>-38.211599999999997</v>
      </c>
      <c r="U8341">
        <v>-38.211599999999997</v>
      </c>
    </row>
    <row r="8342" spans="1:21" x14ac:dyDescent="0.35">
      <c r="A8342" t="s">
        <v>1301</v>
      </c>
      <c r="B8342" t="s">
        <v>1517</v>
      </c>
      <c r="C8342" t="s">
        <v>8</v>
      </c>
      <c r="D8342" t="s">
        <v>1665</v>
      </c>
      <c r="E8342">
        <v>32.4</v>
      </c>
      <c r="F8342">
        <v>5</v>
      </c>
      <c r="G8342">
        <v>0</v>
      </c>
      <c r="H8342">
        <v>15.552</v>
      </c>
      <c r="U8342">
        <v>15.552</v>
      </c>
    </row>
    <row r="8343" spans="1:21" x14ac:dyDescent="0.35">
      <c r="A8343" s="1">
        <v>43045</v>
      </c>
      <c r="B8343" t="s">
        <v>45</v>
      </c>
      <c r="C8343" t="s">
        <v>13</v>
      </c>
      <c r="D8343" t="s">
        <v>1025</v>
      </c>
      <c r="E8343">
        <v>61.44</v>
      </c>
      <c r="F8343">
        <v>3</v>
      </c>
      <c r="G8343">
        <v>0</v>
      </c>
      <c r="H8343">
        <v>16.588799999999999</v>
      </c>
      <c r="U8343">
        <v>16.588799999999999</v>
      </c>
    </row>
    <row r="8344" spans="1:21" x14ac:dyDescent="0.35">
      <c r="A8344" t="s">
        <v>1658</v>
      </c>
      <c r="B8344" t="s">
        <v>1050</v>
      </c>
      <c r="C8344" t="s">
        <v>8</v>
      </c>
      <c r="D8344" t="s">
        <v>877</v>
      </c>
      <c r="E8344">
        <v>73.36</v>
      </c>
      <c r="F8344">
        <v>7</v>
      </c>
      <c r="G8344">
        <v>0</v>
      </c>
      <c r="H8344">
        <v>19.807200000000002</v>
      </c>
      <c r="U8344">
        <v>19.807200000000002</v>
      </c>
    </row>
    <row r="8345" spans="1:21" x14ac:dyDescent="0.35">
      <c r="A8345" t="s">
        <v>372</v>
      </c>
      <c r="B8345" t="s">
        <v>1150</v>
      </c>
      <c r="C8345" t="s">
        <v>8</v>
      </c>
      <c r="D8345" t="s">
        <v>405</v>
      </c>
      <c r="E8345">
        <v>59.2</v>
      </c>
      <c r="F8345">
        <v>5</v>
      </c>
      <c r="G8345">
        <v>0.2</v>
      </c>
      <c r="H8345">
        <v>22.2</v>
      </c>
      <c r="U8345">
        <v>22.2</v>
      </c>
    </row>
    <row r="8346" spans="1:21" x14ac:dyDescent="0.35">
      <c r="A8346" t="s">
        <v>372</v>
      </c>
      <c r="B8346" t="s">
        <v>1150</v>
      </c>
      <c r="C8346" t="s">
        <v>8</v>
      </c>
      <c r="D8346" t="s">
        <v>1648</v>
      </c>
      <c r="E8346">
        <v>32.951999999999998</v>
      </c>
      <c r="F8346">
        <v>3</v>
      </c>
      <c r="G8346">
        <v>0.2</v>
      </c>
      <c r="H8346">
        <v>6.5903999999999998</v>
      </c>
      <c r="U8346">
        <v>6.5903999999999998</v>
      </c>
    </row>
    <row r="8347" spans="1:21" x14ac:dyDescent="0.35">
      <c r="A8347" t="s">
        <v>372</v>
      </c>
      <c r="B8347" t="s">
        <v>1150</v>
      </c>
      <c r="C8347" t="s">
        <v>8</v>
      </c>
      <c r="D8347" t="s">
        <v>2265</v>
      </c>
      <c r="E8347">
        <v>218.376</v>
      </c>
      <c r="F8347">
        <v>3</v>
      </c>
      <c r="G8347">
        <v>0.2</v>
      </c>
      <c r="H8347">
        <v>-10.918799999999999</v>
      </c>
      <c r="U8347">
        <v>-10.918799999999999</v>
      </c>
    </row>
    <row r="8348" spans="1:21" x14ac:dyDescent="0.35">
      <c r="A8348" t="s">
        <v>136</v>
      </c>
      <c r="B8348" t="s">
        <v>1680</v>
      </c>
      <c r="C8348" t="s">
        <v>55</v>
      </c>
      <c r="D8348" t="s">
        <v>393</v>
      </c>
      <c r="E8348">
        <v>31.4</v>
      </c>
      <c r="F8348">
        <v>5</v>
      </c>
      <c r="G8348">
        <v>0</v>
      </c>
      <c r="H8348">
        <v>13.188000000000001</v>
      </c>
      <c r="U8348">
        <v>13.188000000000001</v>
      </c>
    </row>
    <row r="8349" spans="1:21" x14ac:dyDescent="0.35">
      <c r="A8349" t="s">
        <v>136</v>
      </c>
      <c r="B8349" t="s">
        <v>1680</v>
      </c>
      <c r="C8349" t="s">
        <v>55</v>
      </c>
      <c r="D8349" t="s">
        <v>2274</v>
      </c>
      <c r="E8349">
        <v>9.48</v>
      </c>
      <c r="F8349">
        <v>1</v>
      </c>
      <c r="G8349">
        <v>0</v>
      </c>
      <c r="H8349">
        <v>3.7919999999999998</v>
      </c>
      <c r="U8349">
        <v>3.7919999999999998</v>
      </c>
    </row>
    <row r="8350" spans="1:21" x14ac:dyDescent="0.35">
      <c r="A8350" t="s">
        <v>136</v>
      </c>
      <c r="B8350" t="s">
        <v>1680</v>
      </c>
      <c r="C8350" t="s">
        <v>55</v>
      </c>
      <c r="D8350" t="s">
        <v>1686</v>
      </c>
      <c r="E8350">
        <v>209.5</v>
      </c>
      <c r="F8350">
        <v>10</v>
      </c>
      <c r="G8350">
        <v>0</v>
      </c>
      <c r="H8350">
        <v>58.66</v>
      </c>
      <c r="U8350">
        <v>58.66</v>
      </c>
    </row>
    <row r="8351" spans="1:21" x14ac:dyDescent="0.35">
      <c r="A8351" t="s">
        <v>136</v>
      </c>
      <c r="B8351" t="s">
        <v>1680</v>
      </c>
      <c r="C8351" t="s">
        <v>55</v>
      </c>
      <c r="D8351" t="s">
        <v>2582</v>
      </c>
      <c r="E8351">
        <v>24.3</v>
      </c>
      <c r="F8351">
        <v>5</v>
      </c>
      <c r="G8351">
        <v>0</v>
      </c>
      <c r="H8351">
        <v>10.449</v>
      </c>
      <c r="U8351">
        <v>10.449</v>
      </c>
    </row>
    <row r="8352" spans="1:21" x14ac:dyDescent="0.35">
      <c r="A8352" t="s">
        <v>136</v>
      </c>
      <c r="B8352" t="s">
        <v>1680</v>
      </c>
      <c r="C8352" t="s">
        <v>55</v>
      </c>
      <c r="D8352" t="s">
        <v>1761</v>
      </c>
      <c r="E8352">
        <v>6.48</v>
      </c>
      <c r="F8352">
        <v>1</v>
      </c>
      <c r="G8352">
        <v>0</v>
      </c>
      <c r="H8352">
        <v>3.1103999999999998</v>
      </c>
      <c r="U8352">
        <v>3.1103999999999998</v>
      </c>
    </row>
    <row r="8353" spans="1:21" x14ac:dyDescent="0.35">
      <c r="A8353" s="1">
        <v>42799</v>
      </c>
      <c r="B8353" t="s">
        <v>2174</v>
      </c>
      <c r="C8353" t="s">
        <v>55</v>
      </c>
      <c r="D8353" t="s">
        <v>2622</v>
      </c>
      <c r="E8353">
        <v>32.448</v>
      </c>
      <c r="F8353">
        <v>2</v>
      </c>
      <c r="G8353">
        <v>0.2</v>
      </c>
      <c r="H8353">
        <v>7.3007999999999997</v>
      </c>
      <c r="U8353">
        <v>7.3007999999999997</v>
      </c>
    </row>
    <row r="8354" spans="1:21" x14ac:dyDescent="0.35">
      <c r="A8354" s="1">
        <v>42799</v>
      </c>
      <c r="B8354" t="s">
        <v>2174</v>
      </c>
      <c r="C8354" t="s">
        <v>55</v>
      </c>
      <c r="D8354" t="s">
        <v>1251</v>
      </c>
      <c r="E8354">
        <v>26.388000000000002</v>
      </c>
      <c r="F8354">
        <v>4</v>
      </c>
      <c r="G8354">
        <v>0.7</v>
      </c>
      <c r="H8354">
        <v>-17.591999999999999</v>
      </c>
      <c r="U8354">
        <v>-17.591999999999999</v>
      </c>
    </row>
    <row r="8355" spans="1:21" x14ac:dyDescent="0.35">
      <c r="A8355" s="1">
        <v>42799</v>
      </c>
      <c r="B8355" t="s">
        <v>2174</v>
      </c>
      <c r="C8355" t="s">
        <v>55</v>
      </c>
      <c r="D8355" t="s">
        <v>422</v>
      </c>
      <c r="E8355">
        <v>373.47</v>
      </c>
      <c r="F8355">
        <v>5</v>
      </c>
      <c r="G8355">
        <v>0.4</v>
      </c>
      <c r="H8355">
        <v>-112.041</v>
      </c>
      <c r="U8355">
        <v>-112.041</v>
      </c>
    </row>
    <row r="8356" spans="1:21" x14ac:dyDescent="0.35">
      <c r="A8356" s="1">
        <v>42799</v>
      </c>
      <c r="B8356" t="s">
        <v>2174</v>
      </c>
      <c r="C8356" t="s">
        <v>55</v>
      </c>
      <c r="D8356" t="s">
        <v>1866</v>
      </c>
      <c r="E8356">
        <v>64.2</v>
      </c>
      <c r="F8356">
        <v>5</v>
      </c>
      <c r="G8356">
        <v>0.7</v>
      </c>
      <c r="H8356">
        <v>-44.94</v>
      </c>
      <c r="U8356">
        <v>-44.94</v>
      </c>
    </row>
    <row r="8357" spans="1:21" x14ac:dyDescent="0.35">
      <c r="A8357" s="1">
        <v>42799</v>
      </c>
      <c r="B8357" t="s">
        <v>2174</v>
      </c>
      <c r="C8357" t="s">
        <v>55</v>
      </c>
      <c r="D8357" t="s">
        <v>1173</v>
      </c>
      <c r="E8357">
        <v>8</v>
      </c>
      <c r="F8357">
        <v>2</v>
      </c>
      <c r="G8357">
        <v>0.2</v>
      </c>
      <c r="H8357">
        <v>2.8</v>
      </c>
      <c r="U8357">
        <v>2.8</v>
      </c>
    </row>
    <row r="8358" spans="1:21" x14ac:dyDescent="0.35">
      <c r="A8358" t="s">
        <v>1312</v>
      </c>
      <c r="B8358" t="s">
        <v>805</v>
      </c>
      <c r="C8358" t="s">
        <v>8</v>
      </c>
      <c r="D8358" t="s">
        <v>2054</v>
      </c>
      <c r="E8358">
        <v>186.54</v>
      </c>
      <c r="F8358">
        <v>3</v>
      </c>
      <c r="G8358">
        <v>0</v>
      </c>
      <c r="H8358">
        <v>41.038800000000002</v>
      </c>
      <c r="U8358">
        <v>41.038800000000002</v>
      </c>
    </row>
    <row r="8359" spans="1:21" x14ac:dyDescent="0.35">
      <c r="A8359" s="1">
        <v>41947</v>
      </c>
      <c r="B8359" t="s">
        <v>1772</v>
      </c>
      <c r="C8359" t="s">
        <v>13</v>
      </c>
      <c r="D8359" t="s">
        <v>502</v>
      </c>
      <c r="E8359">
        <v>87.08</v>
      </c>
      <c r="F8359">
        <v>7</v>
      </c>
      <c r="G8359">
        <v>0</v>
      </c>
      <c r="H8359">
        <v>24.382400000000001</v>
      </c>
      <c r="U8359">
        <v>24.382400000000001</v>
      </c>
    </row>
    <row r="8360" spans="1:21" x14ac:dyDescent="0.35">
      <c r="A8360" s="1">
        <v>41947</v>
      </c>
      <c r="B8360" t="s">
        <v>1772</v>
      </c>
      <c r="C8360" t="s">
        <v>13</v>
      </c>
      <c r="D8360" t="s">
        <v>929</v>
      </c>
      <c r="E8360">
        <v>105.584</v>
      </c>
      <c r="F8360">
        <v>2</v>
      </c>
      <c r="G8360">
        <v>0.2</v>
      </c>
      <c r="H8360">
        <v>9.2385999999999999</v>
      </c>
      <c r="U8360">
        <v>9.2385999999999999</v>
      </c>
    </row>
    <row r="8361" spans="1:21" x14ac:dyDescent="0.35">
      <c r="A8361" s="1">
        <v>41947</v>
      </c>
      <c r="B8361" t="s">
        <v>1772</v>
      </c>
      <c r="C8361" t="s">
        <v>13</v>
      </c>
      <c r="D8361" t="s">
        <v>2350</v>
      </c>
      <c r="E8361">
        <v>217.44</v>
      </c>
      <c r="F8361">
        <v>6</v>
      </c>
      <c r="G8361">
        <v>0</v>
      </c>
      <c r="H8361">
        <v>91.324799999999996</v>
      </c>
      <c r="U8361">
        <v>91.324799999999996</v>
      </c>
    </row>
    <row r="8362" spans="1:21" x14ac:dyDescent="0.35">
      <c r="A8362" s="1">
        <v>42767</v>
      </c>
      <c r="B8362" t="s">
        <v>2641</v>
      </c>
      <c r="C8362" t="s">
        <v>35</v>
      </c>
      <c r="D8362" t="s">
        <v>1711</v>
      </c>
      <c r="E8362">
        <v>31.744</v>
      </c>
      <c r="F8362">
        <v>2</v>
      </c>
      <c r="G8362">
        <v>0.2</v>
      </c>
      <c r="H8362">
        <v>3.968</v>
      </c>
      <c r="U8362">
        <v>3.968</v>
      </c>
    </row>
    <row r="8363" spans="1:21" x14ac:dyDescent="0.35">
      <c r="A8363" s="1">
        <v>42767</v>
      </c>
      <c r="B8363" t="s">
        <v>2641</v>
      </c>
      <c r="C8363" t="s">
        <v>35</v>
      </c>
      <c r="D8363" t="s">
        <v>2701</v>
      </c>
      <c r="E8363">
        <v>5.4320000000000004</v>
      </c>
      <c r="F8363">
        <v>2</v>
      </c>
      <c r="G8363">
        <v>0.8</v>
      </c>
      <c r="H8363">
        <v>-13.58</v>
      </c>
      <c r="U8363">
        <v>-13.58</v>
      </c>
    </row>
    <row r="8364" spans="1:21" x14ac:dyDescent="0.35">
      <c r="A8364" s="1">
        <v>42767</v>
      </c>
      <c r="B8364" t="s">
        <v>2641</v>
      </c>
      <c r="C8364" t="s">
        <v>35</v>
      </c>
      <c r="D8364" t="s">
        <v>1609</v>
      </c>
      <c r="E8364">
        <v>913.43</v>
      </c>
      <c r="F8364">
        <v>5</v>
      </c>
      <c r="G8364">
        <v>0.3</v>
      </c>
      <c r="H8364">
        <v>-169.637</v>
      </c>
      <c r="U8364">
        <v>-169.637</v>
      </c>
    </row>
    <row r="8365" spans="1:21" x14ac:dyDescent="0.35">
      <c r="A8365" s="1">
        <v>42767</v>
      </c>
      <c r="B8365" t="s">
        <v>2641</v>
      </c>
      <c r="C8365" t="s">
        <v>35</v>
      </c>
      <c r="D8365" t="s">
        <v>2260</v>
      </c>
      <c r="E8365">
        <v>372.14400000000001</v>
      </c>
      <c r="F8365">
        <v>3</v>
      </c>
      <c r="G8365">
        <v>0.2</v>
      </c>
      <c r="H8365">
        <v>27.910799999999998</v>
      </c>
      <c r="U8365">
        <v>27.910799999999998</v>
      </c>
    </row>
    <row r="8366" spans="1:21" x14ac:dyDescent="0.35">
      <c r="A8366" t="s">
        <v>2609</v>
      </c>
      <c r="B8366" t="s">
        <v>1843</v>
      </c>
      <c r="C8366" t="s">
        <v>8</v>
      </c>
      <c r="D8366" t="s">
        <v>1850</v>
      </c>
      <c r="E8366">
        <v>751.98400000000004</v>
      </c>
      <c r="F8366">
        <v>2</v>
      </c>
      <c r="G8366">
        <v>0.2</v>
      </c>
      <c r="H8366">
        <v>84.598200000000006</v>
      </c>
      <c r="U8366">
        <v>84.598200000000006</v>
      </c>
    </row>
    <row r="8367" spans="1:21" x14ac:dyDescent="0.35">
      <c r="A8367" t="s">
        <v>1113</v>
      </c>
      <c r="B8367" t="s">
        <v>1596</v>
      </c>
      <c r="C8367" t="s">
        <v>13</v>
      </c>
      <c r="D8367" t="s">
        <v>22</v>
      </c>
      <c r="E8367">
        <v>604.76800000000003</v>
      </c>
      <c r="F8367">
        <v>4</v>
      </c>
      <c r="G8367">
        <v>0.2</v>
      </c>
      <c r="H8367">
        <v>60.476799999999997</v>
      </c>
      <c r="U8367">
        <v>60.476799999999997</v>
      </c>
    </row>
    <row r="8368" spans="1:21" x14ac:dyDescent="0.35">
      <c r="A8368" s="1">
        <v>41829</v>
      </c>
      <c r="B8368" t="s">
        <v>2576</v>
      </c>
      <c r="C8368" t="s">
        <v>13</v>
      </c>
      <c r="D8368" t="s">
        <v>2719</v>
      </c>
      <c r="E8368">
        <v>27.36</v>
      </c>
      <c r="F8368">
        <v>4</v>
      </c>
      <c r="G8368">
        <v>0</v>
      </c>
      <c r="H8368">
        <v>7.3872</v>
      </c>
      <c r="U8368">
        <v>7.3872</v>
      </c>
    </row>
    <row r="8369" spans="1:21" x14ac:dyDescent="0.35">
      <c r="A8369" s="1">
        <v>41829</v>
      </c>
      <c r="B8369" t="s">
        <v>2576</v>
      </c>
      <c r="C8369" t="s">
        <v>13</v>
      </c>
      <c r="D8369" t="s">
        <v>2374</v>
      </c>
      <c r="E8369">
        <v>20.56</v>
      </c>
      <c r="F8369">
        <v>2</v>
      </c>
      <c r="G8369">
        <v>0</v>
      </c>
      <c r="H8369">
        <v>9.6631999999999998</v>
      </c>
      <c r="U8369">
        <v>9.6631999999999998</v>
      </c>
    </row>
    <row r="8370" spans="1:21" x14ac:dyDescent="0.35">
      <c r="A8370" s="1">
        <v>41829</v>
      </c>
      <c r="B8370" t="s">
        <v>2576</v>
      </c>
      <c r="C8370" t="s">
        <v>13</v>
      </c>
      <c r="D8370" t="s">
        <v>2656</v>
      </c>
      <c r="E8370">
        <v>83.92</v>
      </c>
      <c r="F8370">
        <v>5</v>
      </c>
      <c r="G8370">
        <v>0.2</v>
      </c>
      <c r="H8370">
        <v>31.47</v>
      </c>
      <c r="U8370">
        <v>31.47</v>
      </c>
    </row>
    <row r="8371" spans="1:21" x14ac:dyDescent="0.35">
      <c r="A8371" s="1">
        <v>42680</v>
      </c>
      <c r="B8371" t="s">
        <v>1061</v>
      </c>
      <c r="C8371" t="s">
        <v>13</v>
      </c>
      <c r="D8371" t="s">
        <v>433</v>
      </c>
      <c r="E8371">
        <v>902.71199999999999</v>
      </c>
      <c r="F8371">
        <v>3</v>
      </c>
      <c r="G8371">
        <v>0.2</v>
      </c>
      <c r="H8371">
        <v>33.851700000000001</v>
      </c>
      <c r="U8371">
        <v>33.851700000000001</v>
      </c>
    </row>
    <row r="8372" spans="1:21" x14ac:dyDescent="0.35">
      <c r="A8372" t="s">
        <v>1683</v>
      </c>
      <c r="B8372" t="s">
        <v>1597</v>
      </c>
      <c r="C8372" t="s">
        <v>13</v>
      </c>
      <c r="D8372" t="s">
        <v>2492</v>
      </c>
      <c r="E8372">
        <v>120.666</v>
      </c>
      <c r="F8372">
        <v>2</v>
      </c>
      <c r="G8372">
        <v>0.15</v>
      </c>
      <c r="H8372">
        <v>21.294</v>
      </c>
      <c r="U8372">
        <v>21.294</v>
      </c>
    </row>
    <row r="8373" spans="1:21" x14ac:dyDescent="0.35">
      <c r="A8373" t="s">
        <v>1458</v>
      </c>
      <c r="B8373" t="s">
        <v>2433</v>
      </c>
      <c r="C8373" t="s">
        <v>35</v>
      </c>
      <c r="D8373" t="s">
        <v>841</v>
      </c>
      <c r="E8373">
        <v>4.984</v>
      </c>
      <c r="F8373">
        <v>1</v>
      </c>
      <c r="G8373">
        <v>0.8</v>
      </c>
      <c r="H8373">
        <v>-8.4727999999999994</v>
      </c>
      <c r="U8373">
        <v>-8.4727999999999994</v>
      </c>
    </row>
    <row r="8374" spans="1:21" x14ac:dyDescent="0.35">
      <c r="A8374" t="s">
        <v>303</v>
      </c>
      <c r="B8374" t="s">
        <v>2214</v>
      </c>
      <c r="C8374" t="s">
        <v>13</v>
      </c>
      <c r="D8374" t="s">
        <v>1510</v>
      </c>
      <c r="E8374">
        <v>82.26</v>
      </c>
      <c r="F8374">
        <v>3</v>
      </c>
      <c r="G8374">
        <v>0</v>
      </c>
      <c r="H8374">
        <v>33.726599999999998</v>
      </c>
      <c r="U8374">
        <v>33.726599999999998</v>
      </c>
    </row>
    <row r="8375" spans="1:21" x14ac:dyDescent="0.35">
      <c r="A8375" s="1">
        <v>42654</v>
      </c>
      <c r="B8375" t="s">
        <v>829</v>
      </c>
      <c r="C8375" t="s">
        <v>13</v>
      </c>
      <c r="D8375" t="s">
        <v>1749</v>
      </c>
      <c r="E8375">
        <v>29.74</v>
      </c>
      <c r="F8375">
        <v>1</v>
      </c>
      <c r="G8375">
        <v>0</v>
      </c>
      <c r="H8375">
        <v>4.4610000000000003</v>
      </c>
      <c r="U8375">
        <v>4.4610000000000003</v>
      </c>
    </row>
    <row r="8376" spans="1:21" x14ac:dyDescent="0.35">
      <c r="A8376" s="1">
        <v>42125</v>
      </c>
      <c r="B8376" t="s">
        <v>1185</v>
      </c>
      <c r="C8376" t="s">
        <v>13</v>
      </c>
      <c r="D8376" t="s">
        <v>1558</v>
      </c>
      <c r="E8376">
        <v>87.36</v>
      </c>
      <c r="F8376">
        <v>6</v>
      </c>
      <c r="G8376">
        <v>0</v>
      </c>
      <c r="H8376">
        <v>23.587199999999999</v>
      </c>
      <c r="U8376">
        <v>23.587199999999999</v>
      </c>
    </row>
    <row r="8377" spans="1:21" x14ac:dyDescent="0.35">
      <c r="A8377" s="1">
        <v>42125</v>
      </c>
      <c r="B8377" t="s">
        <v>1185</v>
      </c>
      <c r="C8377" t="s">
        <v>13</v>
      </c>
      <c r="D8377" t="s">
        <v>1192</v>
      </c>
      <c r="E8377">
        <v>56.16</v>
      </c>
      <c r="F8377">
        <v>6</v>
      </c>
      <c r="G8377">
        <v>0.2</v>
      </c>
      <c r="H8377">
        <v>17.55</v>
      </c>
      <c r="U8377">
        <v>17.55</v>
      </c>
    </row>
    <row r="8378" spans="1:21" x14ac:dyDescent="0.35">
      <c r="A8378" t="s">
        <v>1127</v>
      </c>
      <c r="B8378" t="s">
        <v>1634</v>
      </c>
      <c r="C8378" t="s">
        <v>8</v>
      </c>
      <c r="D8378" t="s">
        <v>2230</v>
      </c>
      <c r="E8378">
        <v>64.384</v>
      </c>
      <c r="F8378">
        <v>1</v>
      </c>
      <c r="G8378">
        <v>0.2</v>
      </c>
      <c r="H8378">
        <v>8.048</v>
      </c>
      <c r="U8378">
        <v>8.048</v>
      </c>
    </row>
    <row r="8379" spans="1:21" x14ac:dyDescent="0.35">
      <c r="A8379" s="1">
        <v>42349</v>
      </c>
      <c r="B8379" t="s">
        <v>2556</v>
      </c>
      <c r="C8379" t="s">
        <v>35</v>
      </c>
      <c r="D8379" t="s">
        <v>1468</v>
      </c>
      <c r="E8379">
        <v>64.784000000000006</v>
      </c>
      <c r="F8379">
        <v>1</v>
      </c>
      <c r="G8379">
        <v>0.2</v>
      </c>
      <c r="H8379">
        <v>-14.5764</v>
      </c>
      <c r="U8379">
        <v>-14.5764</v>
      </c>
    </row>
    <row r="8380" spans="1:21" x14ac:dyDescent="0.35">
      <c r="A8380" s="1">
        <v>42349</v>
      </c>
      <c r="B8380" t="s">
        <v>2556</v>
      </c>
      <c r="C8380" t="s">
        <v>35</v>
      </c>
      <c r="D8380" t="s">
        <v>439</v>
      </c>
      <c r="E8380">
        <v>15.552</v>
      </c>
      <c r="F8380">
        <v>3</v>
      </c>
      <c r="G8380">
        <v>0.2</v>
      </c>
      <c r="H8380">
        <v>5.6375999999999999</v>
      </c>
      <c r="U8380">
        <v>5.6375999999999999</v>
      </c>
    </row>
    <row r="8381" spans="1:21" x14ac:dyDescent="0.35">
      <c r="A8381" s="1">
        <v>42349</v>
      </c>
      <c r="B8381" t="s">
        <v>2556</v>
      </c>
      <c r="C8381" t="s">
        <v>35</v>
      </c>
      <c r="D8381" t="s">
        <v>1490</v>
      </c>
      <c r="E8381">
        <v>223.88800000000001</v>
      </c>
      <c r="F8381">
        <v>7</v>
      </c>
      <c r="G8381">
        <v>0.2</v>
      </c>
      <c r="H8381">
        <v>69.965000000000003</v>
      </c>
      <c r="U8381">
        <v>69.965000000000003</v>
      </c>
    </row>
    <row r="8382" spans="1:21" x14ac:dyDescent="0.35">
      <c r="A8382" s="1">
        <v>41891</v>
      </c>
      <c r="B8382" t="s">
        <v>1517</v>
      </c>
      <c r="C8382" t="s">
        <v>35</v>
      </c>
      <c r="D8382" t="s">
        <v>1238</v>
      </c>
      <c r="E8382">
        <v>10.896000000000001</v>
      </c>
      <c r="F8382">
        <v>3</v>
      </c>
      <c r="G8382">
        <v>0.2</v>
      </c>
      <c r="H8382">
        <v>3.4049999999999998</v>
      </c>
      <c r="U8382">
        <v>3.4049999999999998</v>
      </c>
    </row>
    <row r="8383" spans="1:21" x14ac:dyDescent="0.35">
      <c r="A8383" t="s">
        <v>1145</v>
      </c>
      <c r="B8383" t="s">
        <v>2244</v>
      </c>
      <c r="C8383" t="s">
        <v>13</v>
      </c>
      <c r="D8383" t="s">
        <v>935</v>
      </c>
      <c r="E8383">
        <v>84.784000000000006</v>
      </c>
      <c r="F8383">
        <v>2</v>
      </c>
      <c r="G8383">
        <v>0.2</v>
      </c>
      <c r="H8383">
        <v>-20.136199999999999</v>
      </c>
      <c r="U8383">
        <v>-20.136199999999999</v>
      </c>
    </row>
    <row r="8384" spans="1:21" x14ac:dyDescent="0.35">
      <c r="A8384" s="1">
        <v>42584</v>
      </c>
      <c r="B8384" t="s">
        <v>2646</v>
      </c>
      <c r="C8384" t="s">
        <v>35</v>
      </c>
      <c r="D8384" t="s">
        <v>1460</v>
      </c>
      <c r="E8384">
        <v>241.5</v>
      </c>
      <c r="F8384">
        <v>4</v>
      </c>
      <c r="G8384">
        <v>0.3</v>
      </c>
      <c r="H8384">
        <v>0</v>
      </c>
      <c r="U8384">
        <v>0</v>
      </c>
    </row>
    <row r="8385" spans="1:21" x14ac:dyDescent="0.35">
      <c r="A8385" t="s">
        <v>1536</v>
      </c>
      <c r="B8385" t="s">
        <v>1792</v>
      </c>
      <c r="C8385" t="s">
        <v>55</v>
      </c>
      <c r="D8385" t="s">
        <v>1392</v>
      </c>
      <c r="E8385">
        <v>59.97</v>
      </c>
      <c r="F8385">
        <v>3</v>
      </c>
      <c r="G8385">
        <v>0</v>
      </c>
      <c r="H8385">
        <v>14.9925</v>
      </c>
      <c r="U8385">
        <v>14.9925</v>
      </c>
    </row>
    <row r="8386" spans="1:21" x14ac:dyDescent="0.35">
      <c r="A8386" t="s">
        <v>1536</v>
      </c>
      <c r="B8386" t="s">
        <v>1792</v>
      </c>
      <c r="C8386" t="s">
        <v>55</v>
      </c>
      <c r="D8386" t="s">
        <v>2041</v>
      </c>
      <c r="E8386">
        <v>13.36</v>
      </c>
      <c r="F8386">
        <v>2</v>
      </c>
      <c r="G8386">
        <v>0</v>
      </c>
      <c r="H8386">
        <v>6.4127999999999998</v>
      </c>
      <c r="U8386">
        <v>6.4127999999999998</v>
      </c>
    </row>
    <row r="8387" spans="1:21" x14ac:dyDescent="0.35">
      <c r="A8387" s="1">
        <v>42834</v>
      </c>
      <c r="B8387" t="s">
        <v>227</v>
      </c>
      <c r="C8387" t="s">
        <v>13</v>
      </c>
      <c r="D8387" t="s">
        <v>1893</v>
      </c>
      <c r="E8387">
        <v>11.808</v>
      </c>
      <c r="F8387">
        <v>3</v>
      </c>
      <c r="G8387">
        <v>0.2</v>
      </c>
      <c r="H8387">
        <v>4.1327999999999996</v>
      </c>
      <c r="U8387">
        <v>4.1327999999999996</v>
      </c>
    </row>
    <row r="8388" spans="1:21" x14ac:dyDescent="0.35">
      <c r="A8388" t="s">
        <v>298</v>
      </c>
      <c r="B8388" t="s">
        <v>1992</v>
      </c>
      <c r="C8388" t="s">
        <v>55</v>
      </c>
      <c r="D8388" t="s">
        <v>1258</v>
      </c>
      <c r="E8388">
        <v>16.239999999999998</v>
      </c>
      <c r="F8388">
        <v>1</v>
      </c>
      <c r="G8388">
        <v>0</v>
      </c>
      <c r="H8388">
        <v>2.4359999999999999</v>
      </c>
      <c r="U8388">
        <v>2.4359999999999999</v>
      </c>
    </row>
    <row r="8389" spans="1:21" x14ac:dyDescent="0.35">
      <c r="A8389" t="s">
        <v>298</v>
      </c>
      <c r="B8389" t="s">
        <v>1992</v>
      </c>
      <c r="C8389" t="s">
        <v>55</v>
      </c>
      <c r="D8389" t="s">
        <v>364</v>
      </c>
      <c r="E8389">
        <v>77.55</v>
      </c>
      <c r="F8389">
        <v>5</v>
      </c>
      <c r="G8389">
        <v>0</v>
      </c>
      <c r="H8389">
        <v>21.713999999999999</v>
      </c>
      <c r="U8389">
        <v>21.713999999999999</v>
      </c>
    </row>
    <row r="8390" spans="1:21" x14ac:dyDescent="0.35">
      <c r="A8390" s="1">
        <v>41650</v>
      </c>
      <c r="B8390" t="s">
        <v>1370</v>
      </c>
      <c r="C8390" t="s">
        <v>55</v>
      </c>
      <c r="D8390" t="s">
        <v>942</v>
      </c>
      <c r="E8390">
        <v>76.12</v>
      </c>
      <c r="F8390">
        <v>2</v>
      </c>
      <c r="G8390">
        <v>0</v>
      </c>
      <c r="H8390">
        <v>22.0748</v>
      </c>
      <c r="U8390">
        <v>22.0748</v>
      </c>
    </row>
    <row r="8391" spans="1:21" x14ac:dyDescent="0.35">
      <c r="A8391" t="s">
        <v>2246</v>
      </c>
      <c r="B8391" t="s">
        <v>1065</v>
      </c>
      <c r="C8391" t="s">
        <v>55</v>
      </c>
      <c r="D8391" t="s">
        <v>234</v>
      </c>
      <c r="E8391">
        <v>17.184000000000001</v>
      </c>
      <c r="F8391">
        <v>6</v>
      </c>
      <c r="G8391">
        <v>0.2</v>
      </c>
      <c r="H8391">
        <v>6.2291999999999996</v>
      </c>
      <c r="U8391">
        <v>6.2291999999999996</v>
      </c>
    </row>
    <row r="8392" spans="1:21" x14ac:dyDescent="0.35">
      <c r="A8392" s="1">
        <v>42837</v>
      </c>
      <c r="B8392" t="s">
        <v>1105</v>
      </c>
      <c r="C8392" t="s">
        <v>13</v>
      </c>
      <c r="D8392" t="s">
        <v>1679</v>
      </c>
      <c r="E8392">
        <v>11.76</v>
      </c>
      <c r="F8392">
        <v>2</v>
      </c>
      <c r="G8392">
        <v>0</v>
      </c>
      <c r="H8392">
        <v>5.7624000000000004</v>
      </c>
      <c r="U8392">
        <v>5.7624000000000004</v>
      </c>
    </row>
    <row r="8393" spans="1:21" x14ac:dyDescent="0.35">
      <c r="A8393" t="s">
        <v>1226</v>
      </c>
      <c r="B8393" t="s">
        <v>2278</v>
      </c>
      <c r="C8393" t="s">
        <v>55</v>
      </c>
      <c r="D8393" t="s">
        <v>1648</v>
      </c>
      <c r="E8393">
        <v>27.46</v>
      </c>
      <c r="F8393">
        <v>2</v>
      </c>
      <c r="G8393">
        <v>0</v>
      </c>
      <c r="H8393">
        <v>9.8856000000000002</v>
      </c>
      <c r="U8393">
        <v>9.8856000000000002</v>
      </c>
    </row>
    <row r="8394" spans="1:21" x14ac:dyDescent="0.35">
      <c r="A8394" s="1">
        <v>42381</v>
      </c>
      <c r="B8394" t="s">
        <v>1500</v>
      </c>
      <c r="C8394" t="s">
        <v>55</v>
      </c>
      <c r="D8394" t="s">
        <v>2529</v>
      </c>
      <c r="E8394">
        <v>137.94</v>
      </c>
      <c r="F8394">
        <v>3</v>
      </c>
      <c r="G8394">
        <v>0</v>
      </c>
      <c r="H8394">
        <v>35.864400000000003</v>
      </c>
      <c r="U8394">
        <v>35.864400000000003</v>
      </c>
    </row>
    <row r="8395" spans="1:21" x14ac:dyDescent="0.35">
      <c r="A8395" s="1">
        <v>42381</v>
      </c>
      <c r="B8395" t="s">
        <v>1500</v>
      </c>
      <c r="C8395" t="s">
        <v>55</v>
      </c>
      <c r="D8395" t="s">
        <v>2166</v>
      </c>
      <c r="E8395">
        <v>111.15</v>
      </c>
      <c r="F8395">
        <v>5</v>
      </c>
      <c r="G8395">
        <v>0</v>
      </c>
      <c r="H8395">
        <v>48.905999999999999</v>
      </c>
      <c r="U8395">
        <v>48.905999999999999</v>
      </c>
    </row>
    <row r="8396" spans="1:21" x14ac:dyDescent="0.35">
      <c r="A8396" s="1">
        <v>42381</v>
      </c>
      <c r="B8396" t="s">
        <v>1500</v>
      </c>
      <c r="C8396" t="s">
        <v>55</v>
      </c>
      <c r="D8396" t="s">
        <v>448</v>
      </c>
      <c r="E8396">
        <v>901.95</v>
      </c>
      <c r="F8396">
        <v>3</v>
      </c>
      <c r="G8396">
        <v>0</v>
      </c>
      <c r="H8396">
        <v>297.64350000000002</v>
      </c>
      <c r="U8396">
        <v>297.64350000000002</v>
      </c>
    </row>
    <row r="8397" spans="1:21" x14ac:dyDescent="0.35">
      <c r="A8397" s="1">
        <v>42381</v>
      </c>
      <c r="B8397" t="s">
        <v>1500</v>
      </c>
      <c r="C8397" t="s">
        <v>55</v>
      </c>
      <c r="D8397" t="s">
        <v>1096</v>
      </c>
      <c r="E8397">
        <v>366.00900000000001</v>
      </c>
      <c r="F8397">
        <v>3</v>
      </c>
      <c r="G8397">
        <v>0.3</v>
      </c>
      <c r="H8397">
        <v>-47.058300000000003</v>
      </c>
      <c r="U8397">
        <v>-47.058300000000003</v>
      </c>
    </row>
    <row r="8398" spans="1:21" x14ac:dyDescent="0.35">
      <c r="A8398" t="s">
        <v>1619</v>
      </c>
      <c r="B8398" t="s">
        <v>1382</v>
      </c>
      <c r="C8398" t="s">
        <v>8</v>
      </c>
      <c r="D8398" t="s">
        <v>327</v>
      </c>
      <c r="E8398">
        <v>310.68799999999999</v>
      </c>
      <c r="F8398">
        <v>7</v>
      </c>
      <c r="G8398">
        <v>0.2</v>
      </c>
      <c r="H8398">
        <v>108.74079999999999</v>
      </c>
      <c r="U8398">
        <v>108.74079999999999</v>
      </c>
    </row>
    <row r="8399" spans="1:21" x14ac:dyDescent="0.35">
      <c r="A8399" s="1">
        <v>41707</v>
      </c>
      <c r="B8399" t="s">
        <v>1070</v>
      </c>
      <c r="C8399" t="s">
        <v>35</v>
      </c>
      <c r="D8399" t="s">
        <v>2600</v>
      </c>
      <c r="E8399">
        <v>7.68</v>
      </c>
      <c r="F8399">
        <v>5</v>
      </c>
      <c r="G8399">
        <v>0.8</v>
      </c>
      <c r="H8399">
        <v>-11.52</v>
      </c>
      <c r="U8399">
        <v>-11.52</v>
      </c>
    </row>
    <row r="8400" spans="1:21" x14ac:dyDescent="0.35">
      <c r="A8400" s="1">
        <v>42777</v>
      </c>
      <c r="B8400" t="s">
        <v>2284</v>
      </c>
      <c r="C8400" t="s">
        <v>55</v>
      </c>
      <c r="D8400" t="s">
        <v>1525</v>
      </c>
      <c r="E8400">
        <v>155.37200000000001</v>
      </c>
      <c r="F8400">
        <v>2</v>
      </c>
      <c r="G8400">
        <v>0.3</v>
      </c>
      <c r="H8400">
        <v>-35.513599999999997</v>
      </c>
      <c r="U8400">
        <v>-35.513599999999997</v>
      </c>
    </row>
    <row r="8401" spans="1:21" x14ac:dyDescent="0.35">
      <c r="A8401" t="s">
        <v>1958</v>
      </c>
      <c r="B8401" t="s">
        <v>1770</v>
      </c>
      <c r="C8401" t="s">
        <v>13</v>
      </c>
      <c r="D8401" t="s">
        <v>1699</v>
      </c>
      <c r="E8401">
        <v>10.744</v>
      </c>
      <c r="F8401">
        <v>1</v>
      </c>
      <c r="G8401">
        <v>0.2</v>
      </c>
      <c r="H8401">
        <v>0.80579999999999996</v>
      </c>
      <c r="U8401">
        <v>0.80579999999999996</v>
      </c>
    </row>
    <row r="8402" spans="1:21" x14ac:dyDescent="0.35">
      <c r="A8402" s="1">
        <v>42136</v>
      </c>
      <c r="B8402" t="s">
        <v>2160</v>
      </c>
      <c r="C8402" t="s">
        <v>55</v>
      </c>
      <c r="D8402" t="s">
        <v>1531</v>
      </c>
      <c r="E8402">
        <v>232.4</v>
      </c>
      <c r="F8402">
        <v>5</v>
      </c>
      <c r="G8402">
        <v>0.2</v>
      </c>
      <c r="H8402">
        <v>78.435000000000002</v>
      </c>
      <c r="U8402">
        <v>78.435000000000002</v>
      </c>
    </row>
    <row r="8403" spans="1:21" x14ac:dyDescent="0.35">
      <c r="A8403" s="1">
        <v>42136</v>
      </c>
      <c r="B8403" t="s">
        <v>2160</v>
      </c>
      <c r="C8403" t="s">
        <v>55</v>
      </c>
      <c r="D8403" t="s">
        <v>2369</v>
      </c>
      <c r="E8403">
        <v>164.64599999999999</v>
      </c>
      <c r="F8403">
        <v>3</v>
      </c>
      <c r="G8403">
        <v>0.1</v>
      </c>
      <c r="H8403">
        <v>12.8058</v>
      </c>
      <c r="U8403">
        <v>12.8058</v>
      </c>
    </row>
    <row r="8404" spans="1:21" x14ac:dyDescent="0.35">
      <c r="A8404" s="1">
        <v>42136</v>
      </c>
      <c r="B8404" t="s">
        <v>2160</v>
      </c>
      <c r="C8404" t="s">
        <v>55</v>
      </c>
      <c r="D8404" t="s">
        <v>1300</v>
      </c>
      <c r="E8404">
        <v>22.68</v>
      </c>
      <c r="F8404">
        <v>2</v>
      </c>
      <c r="G8404">
        <v>0</v>
      </c>
      <c r="H8404">
        <v>11.113200000000001</v>
      </c>
      <c r="U8404">
        <v>11.113200000000001</v>
      </c>
    </row>
    <row r="8405" spans="1:21" x14ac:dyDescent="0.35">
      <c r="A8405" s="1">
        <v>42371</v>
      </c>
      <c r="B8405" t="s">
        <v>1515</v>
      </c>
      <c r="C8405" t="s">
        <v>13</v>
      </c>
      <c r="D8405" t="s">
        <v>296</v>
      </c>
      <c r="E8405">
        <v>105.52</v>
      </c>
      <c r="F8405">
        <v>4</v>
      </c>
      <c r="G8405">
        <v>0</v>
      </c>
      <c r="H8405">
        <v>48.539200000000001</v>
      </c>
      <c r="U8405">
        <v>48.539200000000001</v>
      </c>
    </row>
    <row r="8406" spans="1:21" x14ac:dyDescent="0.35">
      <c r="A8406" s="1">
        <v>42954</v>
      </c>
      <c r="B8406" t="s">
        <v>2713</v>
      </c>
      <c r="C8406" t="s">
        <v>55</v>
      </c>
      <c r="D8406" t="s">
        <v>2293</v>
      </c>
      <c r="E8406">
        <v>83.92</v>
      </c>
      <c r="F8406">
        <v>4</v>
      </c>
      <c r="G8406">
        <v>0</v>
      </c>
      <c r="H8406">
        <v>5.8743999999999996</v>
      </c>
      <c r="U8406">
        <v>5.8743999999999996</v>
      </c>
    </row>
    <row r="8407" spans="1:21" x14ac:dyDescent="0.35">
      <c r="A8407" s="1">
        <v>42954</v>
      </c>
      <c r="B8407" t="s">
        <v>2713</v>
      </c>
      <c r="C8407" t="s">
        <v>55</v>
      </c>
      <c r="D8407" t="s">
        <v>1260</v>
      </c>
      <c r="E8407">
        <v>141.9</v>
      </c>
      <c r="F8407">
        <v>5</v>
      </c>
      <c r="G8407">
        <v>0</v>
      </c>
      <c r="H8407">
        <v>58.179000000000002</v>
      </c>
      <c r="U8407">
        <v>58.179000000000002</v>
      </c>
    </row>
    <row r="8408" spans="1:21" x14ac:dyDescent="0.35">
      <c r="A8408" s="1">
        <v>42954</v>
      </c>
      <c r="B8408" t="s">
        <v>2713</v>
      </c>
      <c r="C8408" t="s">
        <v>55</v>
      </c>
      <c r="D8408" t="s">
        <v>2674</v>
      </c>
      <c r="E8408">
        <v>39.979999999999997</v>
      </c>
      <c r="F8408">
        <v>2</v>
      </c>
      <c r="G8408">
        <v>0</v>
      </c>
      <c r="H8408">
        <v>9.1953999999999994</v>
      </c>
      <c r="U8408">
        <v>9.1953999999999994</v>
      </c>
    </row>
    <row r="8409" spans="1:21" x14ac:dyDescent="0.35">
      <c r="A8409" s="1">
        <v>42954</v>
      </c>
      <c r="B8409" t="s">
        <v>2713</v>
      </c>
      <c r="C8409" t="s">
        <v>55</v>
      </c>
      <c r="D8409" t="s">
        <v>1693</v>
      </c>
      <c r="E8409">
        <v>28.91</v>
      </c>
      <c r="F8409">
        <v>7</v>
      </c>
      <c r="G8409">
        <v>0</v>
      </c>
      <c r="H8409">
        <v>8.673</v>
      </c>
      <c r="U8409">
        <v>8.673</v>
      </c>
    </row>
    <row r="8410" spans="1:21" x14ac:dyDescent="0.35">
      <c r="A8410" s="1">
        <v>42954</v>
      </c>
      <c r="B8410" t="s">
        <v>2713</v>
      </c>
      <c r="C8410" t="s">
        <v>55</v>
      </c>
      <c r="D8410" t="s">
        <v>2618</v>
      </c>
      <c r="E8410">
        <v>174.95</v>
      </c>
      <c r="F8410">
        <v>5</v>
      </c>
      <c r="G8410">
        <v>0</v>
      </c>
      <c r="H8410">
        <v>45.487000000000002</v>
      </c>
      <c r="U8410">
        <v>45.487000000000002</v>
      </c>
    </row>
    <row r="8411" spans="1:21" x14ac:dyDescent="0.35">
      <c r="A8411" s="1">
        <v>42320</v>
      </c>
      <c r="B8411" t="s">
        <v>344</v>
      </c>
      <c r="C8411" t="s">
        <v>13</v>
      </c>
      <c r="D8411" t="s">
        <v>1166</v>
      </c>
      <c r="E8411">
        <v>110.52800000000001</v>
      </c>
      <c r="F8411">
        <v>4</v>
      </c>
      <c r="G8411">
        <v>0.2</v>
      </c>
      <c r="H8411">
        <v>38.684800000000003</v>
      </c>
      <c r="U8411">
        <v>38.684800000000003</v>
      </c>
    </row>
    <row r="8412" spans="1:21" x14ac:dyDescent="0.35">
      <c r="A8412" t="s">
        <v>1429</v>
      </c>
      <c r="B8412" t="s">
        <v>98</v>
      </c>
      <c r="C8412" t="s">
        <v>8</v>
      </c>
      <c r="D8412" t="s">
        <v>239</v>
      </c>
      <c r="E8412">
        <v>630.024</v>
      </c>
      <c r="F8412">
        <v>4</v>
      </c>
      <c r="G8412">
        <v>0.4</v>
      </c>
      <c r="H8412">
        <v>-199.5076</v>
      </c>
      <c r="U8412">
        <v>-199.5076</v>
      </c>
    </row>
    <row r="8413" spans="1:21" x14ac:dyDescent="0.35">
      <c r="A8413" s="1">
        <v>42618</v>
      </c>
      <c r="B8413" t="s">
        <v>1770</v>
      </c>
      <c r="C8413" t="s">
        <v>8</v>
      </c>
      <c r="D8413" t="s">
        <v>369</v>
      </c>
      <c r="E8413">
        <v>27.86</v>
      </c>
      <c r="F8413">
        <v>7</v>
      </c>
      <c r="G8413">
        <v>0</v>
      </c>
      <c r="H8413">
        <v>9.1937999999999995</v>
      </c>
      <c r="U8413">
        <v>9.1937999999999995</v>
      </c>
    </row>
    <row r="8414" spans="1:21" x14ac:dyDescent="0.35">
      <c r="A8414" s="1">
        <v>43011</v>
      </c>
      <c r="B8414" t="s">
        <v>831</v>
      </c>
      <c r="C8414" t="s">
        <v>35</v>
      </c>
      <c r="D8414" t="s">
        <v>1078</v>
      </c>
      <c r="E8414">
        <v>933.40800000000002</v>
      </c>
      <c r="F8414">
        <v>4</v>
      </c>
      <c r="G8414">
        <v>0.3</v>
      </c>
      <c r="H8414">
        <v>-173.34719999999999</v>
      </c>
      <c r="U8414">
        <v>-173.34719999999999</v>
      </c>
    </row>
    <row r="8415" spans="1:21" x14ac:dyDescent="0.35">
      <c r="A8415" t="s">
        <v>116</v>
      </c>
      <c r="B8415" t="s">
        <v>1264</v>
      </c>
      <c r="C8415" t="s">
        <v>35</v>
      </c>
      <c r="D8415" t="s">
        <v>1909</v>
      </c>
      <c r="E8415">
        <v>51.84</v>
      </c>
      <c r="F8415">
        <v>10</v>
      </c>
      <c r="G8415">
        <v>0.2</v>
      </c>
      <c r="H8415">
        <v>18.143999999999998</v>
      </c>
      <c r="U8415">
        <v>18.143999999999998</v>
      </c>
    </row>
    <row r="8416" spans="1:21" x14ac:dyDescent="0.35">
      <c r="A8416" t="s">
        <v>116</v>
      </c>
      <c r="B8416" t="s">
        <v>1264</v>
      </c>
      <c r="C8416" t="s">
        <v>35</v>
      </c>
      <c r="D8416" t="s">
        <v>2465</v>
      </c>
      <c r="E8416">
        <v>165.6</v>
      </c>
      <c r="F8416">
        <v>3</v>
      </c>
      <c r="G8416">
        <v>0.2</v>
      </c>
      <c r="H8416">
        <v>-6.21</v>
      </c>
      <c r="U8416">
        <v>-6.21</v>
      </c>
    </row>
    <row r="8417" spans="1:21" x14ac:dyDescent="0.35">
      <c r="A8417" s="1">
        <v>42890</v>
      </c>
      <c r="B8417" t="s">
        <v>1815</v>
      </c>
      <c r="C8417" t="s">
        <v>35</v>
      </c>
      <c r="D8417" t="s">
        <v>75</v>
      </c>
      <c r="E8417">
        <v>106.32</v>
      </c>
      <c r="F8417">
        <v>3</v>
      </c>
      <c r="G8417">
        <v>0</v>
      </c>
      <c r="H8417">
        <v>49.970399999999998</v>
      </c>
      <c r="U8417">
        <v>49.970399999999998</v>
      </c>
    </row>
    <row r="8418" spans="1:21" x14ac:dyDescent="0.35">
      <c r="A8418" s="1">
        <v>42983</v>
      </c>
      <c r="B8418" t="s">
        <v>2342</v>
      </c>
      <c r="C8418" t="s">
        <v>13</v>
      </c>
      <c r="D8418" t="s">
        <v>1381</v>
      </c>
      <c r="E8418">
        <v>147.91999999999999</v>
      </c>
      <c r="F8418">
        <v>5</v>
      </c>
      <c r="G8418">
        <v>0.2</v>
      </c>
      <c r="H8418">
        <v>46.225000000000001</v>
      </c>
      <c r="U8418">
        <v>46.225000000000001</v>
      </c>
    </row>
    <row r="8419" spans="1:21" x14ac:dyDescent="0.35">
      <c r="A8419" s="1">
        <v>42983</v>
      </c>
      <c r="B8419" t="s">
        <v>2342</v>
      </c>
      <c r="C8419" t="s">
        <v>13</v>
      </c>
      <c r="D8419" t="s">
        <v>123</v>
      </c>
      <c r="E8419">
        <v>104.28</v>
      </c>
      <c r="F8419">
        <v>3</v>
      </c>
      <c r="G8419">
        <v>0</v>
      </c>
      <c r="H8419">
        <v>26.07</v>
      </c>
      <c r="U8419">
        <v>26.07</v>
      </c>
    </row>
    <row r="8420" spans="1:21" x14ac:dyDescent="0.35">
      <c r="A8420" s="1">
        <v>42983</v>
      </c>
      <c r="B8420" t="s">
        <v>2342</v>
      </c>
      <c r="C8420" t="s">
        <v>13</v>
      </c>
      <c r="D8420" t="s">
        <v>1283</v>
      </c>
      <c r="E8420">
        <v>286.85000000000002</v>
      </c>
      <c r="F8420">
        <v>1</v>
      </c>
      <c r="G8420">
        <v>0</v>
      </c>
      <c r="H8420">
        <v>63.106999999999999</v>
      </c>
      <c r="U8420">
        <v>63.106999999999999</v>
      </c>
    </row>
    <row r="8421" spans="1:21" x14ac:dyDescent="0.35">
      <c r="A8421" s="1">
        <v>42983</v>
      </c>
      <c r="B8421" t="s">
        <v>2342</v>
      </c>
      <c r="C8421" t="s">
        <v>13</v>
      </c>
      <c r="D8421" t="s">
        <v>2633</v>
      </c>
      <c r="E8421">
        <v>66.959999999999994</v>
      </c>
      <c r="F8421">
        <v>4</v>
      </c>
      <c r="G8421">
        <v>0</v>
      </c>
      <c r="H8421">
        <v>2.6783999999999999</v>
      </c>
      <c r="U8421">
        <v>2.6783999999999999</v>
      </c>
    </row>
    <row r="8422" spans="1:21" x14ac:dyDescent="0.35">
      <c r="A8422" s="1">
        <v>42983</v>
      </c>
      <c r="B8422" t="s">
        <v>2342</v>
      </c>
      <c r="C8422" t="s">
        <v>13</v>
      </c>
      <c r="D8422" t="s">
        <v>2109</v>
      </c>
      <c r="E8422">
        <v>199.98</v>
      </c>
      <c r="F8422">
        <v>2</v>
      </c>
      <c r="G8422">
        <v>0</v>
      </c>
      <c r="H8422">
        <v>87.991200000000006</v>
      </c>
      <c r="U8422">
        <v>87.991200000000006</v>
      </c>
    </row>
    <row r="8423" spans="1:21" x14ac:dyDescent="0.35">
      <c r="A8423" s="1">
        <v>43079</v>
      </c>
      <c r="B8423" t="s">
        <v>304</v>
      </c>
      <c r="C8423" t="s">
        <v>55</v>
      </c>
      <c r="D8423" t="s">
        <v>108</v>
      </c>
      <c r="E8423">
        <v>45</v>
      </c>
      <c r="F8423">
        <v>3</v>
      </c>
      <c r="G8423">
        <v>0</v>
      </c>
      <c r="H8423">
        <v>4.95</v>
      </c>
      <c r="U8423">
        <v>4.95</v>
      </c>
    </row>
    <row r="8424" spans="1:21" x14ac:dyDescent="0.35">
      <c r="A8424" s="1">
        <v>43079</v>
      </c>
      <c r="B8424" t="s">
        <v>304</v>
      </c>
      <c r="C8424" t="s">
        <v>55</v>
      </c>
      <c r="D8424" t="s">
        <v>234</v>
      </c>
      <c r="E8424">
        <v>17.899999999999999</v>
      </c>
      <c r="F8424">
        <v>5</v>
      </c>
      <c r="G8424">
        <v>0</v>
      </c>
      <c r="H8424">
        <v>8.7710000000000008</v>
      </c>
      <c r="U8424">
        <v>8.7710000000000008</v>
      </c>
    </row>
    <row r="8425" spans="1:21" x14ac:dyDescent="0.35">
      <c r="A8425" s="1">
        <v>43079</v>
      </c>
      <c r="B8425" t="s">
        <v>304</v>
      </c>
      <c r="C8425" t="s">
        <v>55</v>
      </c>
      <c r="D8425" t="s">
        <v>2507</v>
      </c>
      <c r="E8425">
        <v>40.479999999999997</v>
      </c>
      <c r="F8425">
        <v>2</v>
      </c>
      <c r="G8425">
        <v>0</v>
      </c>
      <c r="H8425">
        <v>17.406400000000001</v>
      </c>
      <c r="U8425">
        <v>17.406400000000001</v>
      </c>
    </row>
    <row r="8426" spans="1:21" x14ac:dyDescent="0.35">
      <c r="A8426" s="1">
        <v>43079</v>
      </c>
      <c r="B8426" t="s">
        <v>304</v>
      </c>
      <c r="C8426" t="s">
        <v>55</v>
      </c>
      <c r="D8426" t="s">
        <v>2191</v>
      </c>
      <c r="E8426">
        <v>2154.9</v>
      </c>
      <c r="F8426">
        <v>5</v>
      </c>
      <c r="G8426">
        <v>0</v>
      </c>
      <c r="H8426">
        <v>129.29400000000001</v>
      </c>
      <c r="U8426">
        <v>129.29400000000001</v>
      </c>
    </row>
    <row r="8427" spans="1:21" x14ac:dyDescent="0.35">
      <c r="A8427" t="s">
        <v>1007</v>
      </c>
      <c r="B8427" t="s">
        <v>1712</v>
      </c>
      <c r="C8427" t="s">
        <v>55</v>
      </c>
      <c r="D8427" t="s">
        <v>2600</v>
      </c>
      <c r="E8427">
        <v>18.431999999999999</v>
      </c>
      <c r="F8427">
        <v>8</v>
      </c>
      <c r="G8427">
        <v>0.7</v>
      </c>
      <c r="H8427">
        <v>-12.288</v>
      </c>
      <c r="U8427">
        <v>-12.288</v>
      </c>
    </row>
    <row r="8428" spans="1:21" x14ac:dyDescent="0.35">
      <c r="A8428" s="1">
        <v>42045</v>
      </c>
      <c r="B8428" t="s">
        <v>1020</v>
      </c>
      <c r="C8428" t="s">
        <v>13</v>
      </c>
      <c r="D8428" t="s">
        <v>2719</v>
      </c>
      <c r="E8428">
        <v>10.944000000000001</v>
      </c>
      <c r="F8428">
        <v>2</v>
      </c>
      <c r="G8428">
        <v>0.2</v>
      </c>
      <c r="H8428">
        <v>0.95760000000000001</v>
      </c>
      <c r="U8428">
        <v>0.95760000000000001</v>
      </c>
    </row>
    <row r="8429" spans="1:21" x14ac:dyDescent="0.35">
      <c r="A8429" t="s">
        <v>216</v>
      </c>
      <c r="B8429" t="s">
        <v>1520</v>
      </c>
      <c r="C8429" t="s">
        <v>35</v>
      </c>
      <c r="D8429" t="s">
        <v>625</v>
      </c>
      <c r="E8429">
        <v>4.3600000000000003</v>
      </c>
      <c r="F8429">
        <v>2</v>
      </c>
      <c r="G8429">
        <v>0</v>
      </c>
      <c r="H8429">
        <v>0.1744</v>
      </c>
      <c r="U8429">
        <v>0.1744</v>
      </c>
    </row>
    <row r="8430" spans="1:21" x14ac:dyDescent="0.35">
      <c r="A8430" s="1">
        <v>43080</v>
      </c>
      <c r="B8430" t="s">
        <v>568</v>
      </c>
      <c r="C8430" t="s">
        <v>13</v>
      </c>
      <c r="D8430" t="s">
        <v>2220</v>
      </c>
      <c r="E8430">
        <v>62.351999999999997</v>
      </c>
      <c r="F8430">
        <v>6</v>
      </c>
      <c r="G8430">
        <v>0.2</v>
      </c>
      <c r="H8430">
        <v>-10.9116</v>
      </c>
      <c r="U8430">
        <v>-10.9116</v>
      </c>
    </row>
    <row r="8431" spans="1:21" x14ac:dyDescent="0.35">
      <c r="A8431" t="s">
        <v>1066</v>
      </c>
      <c r="B8431" t="s">
        <v>229</v>
      </c>
      <c r="C8431" t="s">
        <v>55</v>
      </c>
      <c r="D8431" t="s">
        <v>2447</v>
      </c>
      <c r="E8431">
        <v>303.92</v>
      </c>
      <c r="F8431">
        <v>5</v>
      </c>
      <c r="G8431">
        <v>0.2</v>
      </c>
      <c r="H8431">
        <v>-30.391999999999999</v>
      </c>
      <c r="U8431">
        <v>-30.391999999999999</v>
      </c>
    </row>
    <row r="8432" spans="1:21" x14ac:dyDescent="0.35">
      <c r="A8432" t="s">
        <v>2259</v>
      </c>
      <c r="B8432" t="s">
        <v>1434</v>
      </c>
      <c r="C8432" t="s">
        <v>35</v>
      </c>
      <c r="D8432" t="s">
        <v>1014</v>
      </c>
      <c r="E8432">
        <v>129.30000000000001</v>
      </c>
      <c r="F8432">
        <v>2</v>
      </c>
      <c r="G8432">
        <v>0</v>
      </c>
      <c r="H8432">
        <v>6.4649999999999999</v>
      </c>
      <c r="U8432">
        <v>6.4649999999999999</v>
      </c>
    </row>
    <row r="8433" spans="1:21" x14ac:dyDescent="0.35">
      <c r="A8433" s="1">
        <v>42958</v>
      </c>
      <c r="B8433" t="s">
        <v>2172</v>
      </c>
      <c r="C8433" t="s">
        <v>55</v>
      </c>
      <c r="D8433" t="s">
        <v>1510</v>
      </c>
      <c r="E8433">
        <v>274.2</v>
      </c>
      <c r="F8433">
        <v>10</v>
      </c>
      <c r="G8433">
        <v>0</v>
      </c>
      <c r="H8433">
        <v>112.422</v>
      </c>
      <c r="U8433">
        <v>112.422</v>
      </c>
    </row>
    <row r="8434" spans="1:21" x14ac:dyDescent="0.35">
      <c r="A8434" t="s">
        <v>329</v>
      </c>
      <c r="B8434" t="s">
        <v>2083</v>
      </c>
      <c r="C8434" t="s">
        <v>35</v>
      </c>
      <c r="D8434" t="s">
        <v>1606</v>
      </c>
      <c r="E8434">
        <v>6.048</v>
      </c>
      <c r="F8434">
        <v>4</v>
      </c>
      <c r="G8434">
        <v>0.2</v>
      </c>
      <c r="H8434">
        <v>-1.3608</v>
      </c>
      <c r="U8434">
        <v>-1.3608</v>
      </c>
    </row>
    <row r="8435" spans="1:21" x14ac:dyDescent="0.35">
      <c r="A8435" t="s">
        <v>329</v>
      </c>
      <c r="B8435" t="s">
        <v>2083</v>
      </c>
      <c r="C8435" t="s">
        <v>35</v>
      </c>
      <c r="D8435" t="s">
        <v>2367</v>
      </c>
      <c r="E8435">
        <v>6.8479999999999999</v>
      </c>
      <c r="F8435">
        <v>2</v>
      </c>
      <c r="G8435">
        <v>0.2</v>
      </c>
      <c r="H8435">
        <v>2.14</v>
      </c>
      <c r="U8435">
        <v>2.14</v>
      </c>
    </row>
    <row r="8436" spans="1:21" x14ac:dyDescent="0.35">
      <c r="A8436" t="s">
        <v>329</v>
      </c>
      <c r="B8436" t="s">
        <v>2083</v>
      </c>
      <c r="C8436" t="s">
        <v>35</v>
      </c>
      <c r="D8436" t="s">
        <v>2281</v>
      </c>
      <c r="E8436">
        <v>9.9600000000000009</v>
      </c>
      <c r="F8436">
        <v>5</v>
      </c>
      <c r="G8436">
        <v>0.6</v>
      </c>
      <c r="H8436">
        <v>-6.7229999999999999</v>
      </c>
      <c r="U8436">
        <v>-6.7229999999999999</v>
      </c>
    </row>
    <row r="8437" spans="1:21" x14ac:dyDescent="0.35">
      <c r="A8437" t="s">
        <v>329</v>
      </c>
      <c r="B8437" t="s">
        <v>2083</v>
      </c>
      <c r="C8437" t="s">
        <v>35</v>
      </c>
      <c r="D8437" t="s">
        <v>200</v>
      </c>
      <c r="E8437">
        <v>8.5519999999999996</v>
      </c>
      <c r="F8437">
        <v>2</v>
      </c>
      <c r="G8437">
        <v>0.8</v>
      </c>
      <c r="H8437">
        <v>-13.683199999999999</v>
      </c>
      <c r="U8437">
        <v>-13.683199999999999</v>
      </c>
    </row>
    <row r="8438" spans="1:21" x14ac:dyDescent="0.35">
      <c r="A8438" t="s">
        <v>2472</v>
      </c>
      <c r="B8438" t="s">
        <v>1941</v>
      </c>
      <c r="C8438" t="s">
        <v>13</v>
      </c>
      <c r="D8438" t="s">
        <v>2322</v>
      </c>
      <c r="E8438">
        <v>45.584000000000003</v>
      </c>
      <c r="F8438">
        <v>11</v>
      </c>
      <c r="G8438">
        <v>0.2</v>
      </c>
      <c r="H8438">
        <v>16.5242</v>
      </c>
      <c r="U8438">
        <v>16.5242</v>
      </c>
    </row>
    <row r="8439" spans="1:21" x14ac:dyDescent="0.35">
      <c r="A8439" s="1">
        <v>42289</v>
      </c>
      <c r="B8439" t="s">
        <v>1326</v>
      </c>
      <c r="C8439" t="s">
        <v>55</v>
      </c>
      <c r="D8439" t="s">
        <v>2150</v>
      </c>
      <c r="E8439">
        <v>25.488</v>
      </c>
      <c r="F8439">
        <v>2</v>
      </c>
      <c r="G8439">
        <v>0.2</v>
      </c>
      <c r="H8439">
        <v>4.4603999999999999</v>
      </c>
      <c r="U8439">
        <v>4.4603999999999999</v>
      </c>
    </row>
    <row r="8440" spans="1:21" x14ac:dyDescent="0.35">
      <c r="A8440" t="s">
        <v>2625</v>
      </c>
      <c r="B8440" t="s">
        <v>1970</v>
      </c>
      <c r="C8440" t="s">
        <v>13</v>
      </c>
      <c r="D8440" t="s">
        <v>2491</v>
      </c>
      <c r="E8440">
        <v>136.96</v>
      </c>
      <c r="F8440">
        <v>4</v>
      </c>
      <c r="G8440">
        <v>0.2</v>
      </c>
      <c r="H8440">
        <v>51.36</v>
      </c>
      <c r="U8440">
        <v>51.36</v>
      </c>
    </row>
    <row r="8441" spans="1:21" x14ac:dyDescent="0.35">
      <c r="A8441" t="s">
        <v>1507</v>
      </c>
      <c r="B8441" t="s">
        <v>1052</v>
      </c>
      <c r="C8441" t="s">
        <v>35</v>
      </c>
      <c r="D8441" t="s">
        <v>2524</v>
      </c>
      <c r="E8441">
        <v>49.616</v>
      </c>
      <c r="F8441">
        <v>2</v>
      </c>
      <c r="G8441">
        <v>0.2</v>
      </c>
      <c r="H8441">
        <v>4.9615999999999998</v>
      </c>
      <c r="U8441">
        <v>4.9615999999999998</v>
      </c>
    </row>
    <row r="8442" spans="1:21" x14ac:dyDescent="0.35">
      <c r="A8442" s="1">
        <v>42594</v>
      </c>
      <c r="B8442" t="s">
        <v>2278</v>
      </c>
      <c r="C8442" t="s">
        <v>55</v>
      </c>
      <c r="D8442" t="s">
        <v>495</v>
      </c>
      <c r="E8442">
        <v>10.584</v>
      </c>
      <c r="F8442">
        <v>3</v>
      </c>
      <c r="G8442">
        <v>0.2</v>
      </c>
      <c r="H8442">
        <v>3.4398</v>
      </c>
      <c r="U8442">
        <v>3.4398</v>
      </c>
    </row>
    <row r="8443" spans="1:21" x14ac:dyDescent="0.35">
      <c r="A8443" s="1">
        <v>42891</v>
      </c>
      <c r="B8443" t="s">
        <v>582</v>
      </c>
      <c r="C8443" t="s">
        <v>13</v>
      </c>
      <c r="D8443" t="s">
        <v>296</v>
      </c>
      <c r="E8443">
        <v>84.415999999999997</v>
      </c>
      <c r="F8443">
        <v>4</v>
      </c>
      <c r="G8443">
        <v>0.2</v>
      </c>
      <c r="H8443">
        <v>27.435199999999998</v>
      </c>
      <c r="U8443">
        <v>27.435199999999998</v>
      </c>
    </row>
    <row r="8444" spans="1:21" x14ac:dyDescent="0.35">
      <c r="A8444" s="1">
        <v>42524</v>
      </c>
      <c r="B8444" t="s">
        <v>2278</v>
      </c>
      <c r="C8444" t="s">
        <v>55</v>
      </c>
      <c r="D8444" t="s">
        <v>1514</v>
      </c>
      <c r="E8444">
        <v>431.94</v>
      </c>
      <c r="F8444">
        <v>2</v>
      </c>
      <c r="G8444">
        <v>0.4</v>
      </c>
      <c r="H8444">
        <v>-71.989999999999995</v>
      </c>
      <c r="U8444">
        <v>-71.989999999999995</v>
      </c>
    </row>
    <row r="8445" spans="1:21" x14ac:dyDescent="0.35">
      <c r="A8445" s="1">
        <v>42524</v>
      </c>
      <c r="B8445" t="s">
        <v>2278</v>
      </c>
      <c r="C8445" t="s">
        <v>55</v>
      </c>
      <c r="D8445" t="s">
        <v>2038</v>
      </c>
      <c r="E8445">
        <v>2.0430000000000001</v>
      </c>
      <c r="F8445">
        <v>1</v>
      </c>
      <c r="G8445">
        <v>0.7</v>
      </c>
      <c r="H8445">
        <v>-1.4982</v>
      </c>
      <c r="U8445">
        <v>-1.4982</v>
      </c>
    </row>
    <row r="8446" spans="1:21" x14ac:dyDescent="0.35">
      <c r="A8446" s="1">
        <v>42524</v>
      </c>
      <c r="B8446" t="s">
        <v>2278</v>
      </c>
      <c r="C8446" t="s">
        <v>55</v>
      </c>
      <c r="D8446" t="s">
        <v>962</v>
      </c>
      <c r="E8446">
        <v>68.238</v>
      </c>
      <c r="F8446">
        <v>3</v>
      </c>
      <c r="G8446">
        <v>0.4</v>
      </c>
      <c r="H8446">
        <v>-12.510300000000001</v>
      </c>
      <c r="U8446">
        <v>-12.510300000000001</v>
      </c>
    </row>
    <row r="8447" spans="1:21" x14ac:dyDescent="0.35">
      <c r="A8447" t="s">
        <v>73</v>
      </c>
      <c r="B8447" t="s">
        <v>1264</v>
      </c>
      <c r="C8447" t="s">
        <v>55</v>
      </c>
      <c r="D8447" t="s">
        <v>1425</v>
      </c>
      <c r="E8447">
        <v>240.744</v>
      </c>
      <c r="F8447">
        <v>4</v>
      </c>
      <c r="G8447">
        <v>0.3</v>
      </c>
      <c r="H8447">
        <v>-13.7568</v>
      </c>
      <c r="U8447">
        <v>-13.7568</v>
      </c>
    </row>
    <row r="8448" spans="1:21" x14ac:dyDescent="0.35">
      <c r="A8448" t="s">
        <v>73</v>
      </c>
      <c r="B8448" t="s">
        <v>1264</v>
      </c>
      <c r="C8448" t="s">
        <v>55</v>
      </c>
      <c r="D8448" t="s">
        <v>2266</v>
      </c>
      <c r="E8448">
        <v>35</v>
      </c>
      <c r="F8448">
        <v>4</v>
      </c>
      <c r="G8448">
        <v>0</v>
      </c>
      <c r="H8448">
        <v>14.7</v>
      </c>
      <c r="U8448">
        <v>14.7</v>
      </c>
    </row>
    <row r="8449" spans="1:21" x14ac:dyDescent="0.35">
      <c r="A8449" t="s">
        <v>73</v>
      </c>
      <c r="B8449" t="s">
        <v>1264</v>
      </c>
      <c r="C8449" t="s">
        <v>55</v>
      </c>
      <c r="D8449" t="s">
        <v>2678</v>
      </c>
      <c r="E8449">
        <v>210.68</v>
      </c>
      <c r="F8449">
        <v>2</v>
      </c>
      <c r="G8449">
        <v>0</v>
      </c>
      <c r="H8449">
        <v>50.563200000000002</v>
      </c>
      <c r="U8449">
        <v>50.563200000000002</v>
      </c>
    </row>
    <row r="8450" spans="1:21" x14ac:dyDescent="0.35">
      <c r="A8450" t="s">
        <v>73</v>
      </c>
      <c r="B8450" t="s">
        <v>1264</v>
      </c>
      <c r="C8450" t="s">
        <v>55</v>
      </c>
      <c r="D8450" t="s">
        <v>642</v>
      </c>
      <c r="E8450">
        <v>637.89599999999996</v>
      </c>
      <c r="F8450">
        <v>3</v>
      </c>
      <c r="G8450">
        <v>0.3</v>
      </c>
      <c r="H8450">
        <v>-127.5792</v>
      </c>
      <c r="U8450">
        <v>-127.5792</v>
      </c>
    </row>
    <row r="8451" spans="1:21" x14ac:dyDescent="0.35">
      <c r="A8451" t="s">
        <v>73</v>
      </c>
      <c r="B8451" t="s">
        <v>1264</v>
      </c>
      <c r="C8451" t="s">
        <v>55</v>
      </c>
      <c r="D8451" t="s">
        <v>694</v>
      </c>
      <c r="E8451">
        <v>43.44</v>
      </c>
      <c r="F8451">
        <v>8</v>
      </c>
      <c r="G8451">
        <v>0</v>
      </c>
      <c r="H8451">
        <v>21.285599999999999</v>
      </c>
      <c r="U8451">
        <v>21.285599999999999</v>
      </c>
    </row>
    <row r="8452" spans="1:21" x14ac:dyDescent="0.35">
      <c r="A8452" t="s">
        <v>73</v>
      </c>
      <c r="B8452" t="s">
        <v>1264</v>
      </c>
      <c r="C8452" t="s">
        <v>55</v>
      </c>
      <c r="D8452" t="s">
        <v>1801</v>
      </c>
      <c r="E8452">
        <v>2.2200000000000002</v>
      </c>
      <c r="F8452">
        <v>1</v>
      </c>
      <c r="G8452">
        <v>0</v>
      </c>
      <c r="H8452">
        <v>0.66600000000000004</v>
      </c>
      <c r="U8452">
        <v>0.66600000000000004</v>
      </c>
    </row>
    <row r="8453" spans="1:21" x14ac:dyDescent="0.35">
      <c r="A8453" t="s">
        <v>1820</v>
      </c>
      <c r="B8453" t="s">
        <v>1690</v>
      </c>
      <c r="C8453" t="s">
        <v>13</v>
      </c>
      <c r="D8453" t="s">
        <v>2270</v>
      </c>
      <c r="E8453">
        <v>1679.96</v>
      </c>
      <c r="F8453">
        <v>5</v>
      </c>
      <c r="G8453">
        <v>0.2</v>
      </c>
      <c r="H8453">
        <v>125.997</v>
      </c>
      <c r="U8453">
        <v>125.997</v>
      </c>
    </row>
    <row r="8454" spans="1:21" x14ac:dyDescent="0.35">
      <c r="A8454" t="s">
        <v>706</v>
      </c>
      <c r="B8454" t="s">
        <v>2611</v>
      </c>
      <c r="C8454" t="s">
        <v>35</v>
      </c>
      <c r="D8454" t="s">
        <v>1397</v>
      </c>
      <c r="E8454">
        <v>344.37200000000001</v>
      </c>
      <c r="F8454">
        <v>4</v>
      </c>
      <c r="G8454">
        <v>0.3</v>
      </c>
      <c r="H8454">
        <v>-93.472399999999993</v>
      </c>
      <c r="U8454">
        <v>-93.472399999999993</v>
      </c>
    </row>
    <row r="8455" spans="1:21" x14ac:dyDescent="0.35">
      <c r="A8455" t="s">
        <v>706</v>
      </c>
      <c r="B8455" t="s">
        <v>2611</v>
      </c>
      <c r="C8455" t="s">
        <v>35</v>
      </c>
      <c r="D8455" t="s">
        <v>898</v>
      </c>
      <c r="E8455">
        <v>1554.9359999999999</v>
      </c>
      <c r="F8455">
        <v>3</v>
      </c>
      <c r="G8455">
        <v>0.2</v>
      </c>
      <c r="H8455">
        <v>77.746799999999993</v>
      </c>
      <c r="U8455">
        <v>77.746799999999993</v>
      </c>
    </row>
    <row r="8456" spans="1:21" x14ac:dyDescent="0.35">
      <c r="A8456" t="s">
        <v>706</v>
      </c>
      <c r="B8456" t="s">
        <v>2611</v>
      </c>
      <c r="C8456" t="s">
        <v>35</v>
      </c>
      <c r="D8456" t="s">
        <v>2009</v>
      </c>
      <c r="E8456">
        <v>127.88</v>
      </c>
      <c r="F8456">
        <v>5</v>
      </c>
      <c r="G8456">
        <v>0.6</v>
      </c>
      <c r="H8456">
        <v>-67.137</v>
      </c>
      <c r="U8456">
        <v>-67.137</v>
      </c>
    </row>
    <row r="8457" spans="1:21" x14ac:dyDescent="0.35">
      <c r="A8457" t="s">
        <v>2121</v>
      </c>
      <c r="B8457" t="s">
        <v>1826</v>
      </c>
      <c r="C8457" t="s">
        <v>13</v>
      </c>
      <c r="D8457" t="s">
        <v>396</v>
      </c>
      <c r="E8457">
        <v>222.38399999999999</v>
      </c>
      <c r="F8457">
        <v>2</v>
      </c>
      <c r="G8457">
        <v>0.2</v>
      </c>
      <c r="H8457">
        <v>22.238399999999999</v>
      </c>
      <c r="U8457">
        <v>22.238399999999999</v>
      </c>
    </row>
    <row r="8458" spans="1:21" x14ac:dyDescent="0.35">
      <c r="A8458" t="s">
        <v>174</v>
      </c>
      <c r="B8458" t="s">
        <v>1017</v>
      </c>
      <c r="C8458" t="s">
        <v>35</v>
      </c>
      <c r="D8458" t="s">
        <v>258</v>
      </c>
      <c r="E8458">
        <v>106.869</v>
      </c>
      <c r="F8458">
        <v>3</v>
      </c>
      <c r="G8458">
        <v>0.3</v>
      </c>
      <c r="H8458">
        <v>-29.007300000000001</v>
      </c>
      <c r="U8458">
        <v>-29.007300000000001</v>
      </c>
    </row>
    <row r="8459" spans="1:21" x14ac:dyDescent="0.35">
      <c r="A8459" t="s">
        <v>174</v>
      </c>
      <c r="B8459" t="s">
        <v>1017</v>
      </c>
      <c r="C8459" t="s">
        <v>35</v>
      </c>
      <c r="D8459" t="s">
        <v>583</v>
      </c>
      <c r="E8459">
        <v>3.5640000000000001</v>
      </c>
      <c r="F8459">
        <v>3</v>
      </c>
      <c r="G8459">
        <v>0.8</v>
      </c>
      <c r="H8459">
        <v>-6.2370000000000001</v>
      </c>
      <c r="U8459">
        <v>-6.2370000000000001</v>
      </c>
    </row>
    <row r="8460" spans="1:21" x14ac:dyDescent="0.35">
      <c r="A8460" t="s">
        <v>232</v>
      </c>
      <c r="B8460" t="s">
        <v>1912</v>
      </c>
      <c r="C8460" t="s">
        <v>35</v>
      </c>
      <c r="D8460" t="s">
        <v>1866</v>
      </c>
      <c r="E8460">
        <v>25.68</v>
      </c>
      <c r="F8460">
        <v>3</v>
      </c>
      <c r="G8460">
        <v>0.8</v>
      </c>
      <c r="H8460">
        <v>-39.804000000000002</v>
      </c>
      <c r="U8460">
        <v>-39.804000000000002</v>
      </c>
    </row>
    <row r="8461" spans="1:21" x14ac:dyDescent="0.35">
      <c r="A8461" t="s">
        <v>232</v>
      </c>
      <c r="B8461" t="s">
        <v>1912</v>
      </c>
      <c r="C8461" t="s">
        <v>35</v>
      </c>
      <c r="D8461" t="s">
        <v>650</v>
      </c>
      <c r="E8461">
        <v>12.384</v>
      </c>
      <c r="F8461">
        <v>3</v>
      </c>
      <c r="G8461">
        <v>0.8</v>
      </c>
      <c r="H8461">
        <v>-19.814399999999999</v>
      </c>
      <c r="U8461">
        <v>-19.814399999999999</v>
      </c>
    </row>
    <row r="8462" spans="1:21" x14ac:dyDescent="0.35">
      <c r="A8462" t="s">
        <v>359</v>
      </c>
      <c r="B8462" t="s">
        <v>972</v>
      </c>
      <c r="C8462" t="s">
        <v>55</v>
      </c>
      <c r="D8462" t="s">
        <v>1485</v>
      </c>
      <c r="E8462">
        <v>25.3</v>
      </c>
      <c r="F8462">
        <v>5</v>
      </c>
      <c r="G8462">
        <v>0</v>
      </c>
      <c r="H8462">
        <v>11.891</v>
      </c>
      <c r="U8462">
        <v>11.891</v>
      </c>
    </row>
    <row r="8463" spans="1:21" x14ac:dyDescent="0.35">
      <c r="A8463" t="s">
        <v>359</v>
      </c>
      <c r="B8463" t="s">
        <v>972</v>
      </c>
      <c r="C8463" t="s">
        <v>55</v>
      </c>
      <c r="D8463" t="s">
        <v>1522</v>
      </c>
      <c r="E8463">
        <v>95.94</v>
      </c>
      <c r="F8463">
        <v>3</v>
      </c>
      <c r="G8463">
        <v>0</v>
      </c>
      <c r="H8463">
        <v>9.5939999999999994</v>
      </c>
      <c r="U8463">
        <v>9.5939999999999994</v>
      </c>
    </row>
    <row r="8464" spans="1:21" x14ac:dyDescent="0.35">
      <c r="A8464" s="1">
        <v>42072</v>
      </c>
      <c r="B8464" t="s">
        <v>2000</v>
      </c>
      <c r="C8464" t="s">
        <v>35</v>
      </c>
      <c r="D8464" t="s">
        <v>2393</v>
      </c>
      <c r="E8464">
        <v>7.5</v>
      </c>
      <c r="F8464">
        <v>2</v>
      </c>
      <c r="G8464">
        <v>0</v>
      </c>
      <c r="H8464">
        <v>3.6</v>
      </c>
      <c r="U8464">
        <v>3.6</v>
      </c>
    </row>
    <row r="8465" spans="1:21" x14ac:dyDescent="0.35">
      <c r="A8465" t="s">
        <v>2522</v>
      </c>
      <c r="B8465" t="s">
        <v>2238</v>
      </c>
      <c r="C8465" t="s">
        <v>13</v>
      </c>
      <c r="D8465" t="s">
        <v>352</v>
      </c>
      <c r="E8465">
        <v>302.37599999999998</v>
      </c>
      <c r="F8465">
        <v>3</v>
      </c>
      <c r="G8465">
        <v>0.2</v>
      </c>
      <c r="H8465">
        <v>22.6782</v>
      </c>
      <c r="U8465">
        <v>22.6782</v>
      </c>
    </row>
    <row r="8466" spans="1:21" x14ac:dyDescent="0.35">
      <c r="A8466" s="1">
        <v>42282</v>
      </c>
      <c r="B8466" t="s">
        <v>1041</v>
      </c>
      <c r="C8466" t="s">
        <v>13</v>
      </c>
      <c r="D8466" t="s">
        <v>1923</v>
      </c>
      <c r="E8466">
        <v>46.688000000000002</v>
      </c>
      <c r="F8466">
        <v>4</v>
      </c>
      <c r="G8466">
        <v>0.2</v>
      </c>
      <c r="H8466">
        <v>-2.9180000000000001</v>
      </c>
      <c r="U8466">
        <v>-2.9180000000000001</v>
      </c>
    </row>
    <row r="8467" spans="1:21" x14ac:dyDescent="0.35">
      <c r="A8467" s="1">
        <v>42251</v>
      </c>
      <c r="B8467" t="s">
        <v>1725</v>
      </c>
      <c r="C8467" t="s">
        <v>55</v>
      </c>
      <c r="D8467" t="s">
        <v>1914</v>
      </c>
      <c r="E8467">
        <v>17.940000000000001</v>
      </c>
      <c r="F8467">
        <v>3</v>
      </c>
      <c r="G8467">
        <v>0</v>
      </c>
      <c r="H8467">
        <v>3.0497999999999998</v>
      </c>
      <c r="U8467">
        <v>3.0497999999999998</v>
      </c>
    </row>
    <row r="8468" spans="1:21" x14ac:dyDescent="0.35">
      <c r="A8468" s="1">
        <v>42251</v>
      </c>
      <c r="B8468" t="s">
        <v>1705</v>
      </c>
      <c r="C8468" t="s">
        <v>55</v>
      </c>
      <c r="D8468" t="s">
        <v>968</v>
      </c>
      <c r="E8468">
        <v>370.14</v>
      </c>
      <c r="F8468">
        <v>3</v>
      </c>
      <c r="G8468">
        <v>0</v>
      </c>
      <c r="H8468">
        <v>144.3546</v>
      </c>
      <c r="U8468">
        <v>144.3546</v>
      </c>
    </row>
    <row r="8469" spans="1:21" x14ac:dyDescent="0.35">
      <c r="A8469" t="s">
        <v>1010</v>
      </c>
      <c r="B8469" t="s">
        <v>1430</v>
      </c>
      <c r="C8469" t="s">
        <v>13</v>
      </c>
      <c r="D8469" t="s">
        <v>164</v>
      </c>
      <c r="E8469">
        <v>8.9280000000000008</v>
      </c>
      <c r="F8469">
        <v>2</v>
      </c>
      <c r="G8469">
        <v>0.2</v>
      </c>
      <c r="H8469">
        <v>3.1248</v>
      </c>
      <c r="U8469">
        <v>3.1248</v>
      </c>
    </row>
    <row r="8470" spans="1:21" x14ac:dyDescent="0.35">
      <c r="A8470" s="1">
        <v>42685</v>
      </c>
      <c r="B8470" t="s">
        <v>648</v>
      </c>
      <c r="C8470" t="s">
        <v>35</v>
      </c>
      <c r="D8470" t="s">
        <v>2061</v>
      </c>
      <c r="E8470">
        <v>2678.94</v>
      </c>
      <c r="F8470">
        <v>6</v>
      </c>
      <c r="G8470">
        <v>0</v>
      </c>
      <c r="H8470">
        <v>241.1046</v>
      </c>
      <c r="U8470">
        <v>241.1046</v>
      </c>
    </row>
    <row r="8471" spans="1:21" x14ac:dyDescent="0.35">
      <c r="A8471" t="s">
        <v>2170</v>
      </c>
      <c r="B8471" t="s">
        <v>195</v>
      </c>
      <c r="C8471" t="s">
        <v>8</v>
      </c>
      <c r="D8471" t="s">
        <v>699</v>
      </c>
      <c r="E8471">
        <v>387.13600000000002</v>
      </c>
      <c r="F8471">
        <v>4</v>
      </c>
      <c r="G8471">
        <v>0.2</v>
      </c>
      <c r="H8471">
        <v>-14.5176</v>
      </c>
      <c r="U8471">
        <v>-14.5176</v>
      </c>
    </row>
    <row r="8472" spans="1:21" x14ac:dyDescent="0.35">
      <c r="A8472" t="s">
        <v>2170</v>
      </c>
      <c r="B8472" t="s">
        <v>195</v>
      </c>
      <c r="C8472" t="s">
        <v>8</v>
      </c>
      <c r="D8472" t="s">
        <v>1260</v>
      </c>
      <c r="E8472">
        <v>45.408000000000001</v>
      </c>
      <c r="F8472">
        <v>2</v>
      </c>
      <c r="G8472">
        <v>0.2</v>
      </c>
      <c r="H8472">
        <v>11.919600000000001</v>
      </c>
      <c r="U8472">
        <v>11.919600000000001</v>
      </c>
    </row>
    <row r="8473" spans="1:21" x14ac:dyDescent="0.35">
      <c r="A8473" t="s">
        <v>2170</v>
      </c>
      <c r="B8473" t="s">
        <v>195</v>
      </c>
      <c r="C8473" t="s">
        <v>8</v>
      </c>
      <c r="D8473" t="s">
        <v>2358</v>
      </c>
      <c r="E8473">
        <v>77.951999999999998</v>
      </c>
      <c r="F8473">
        <v>3</v>
      </c>
      <c r="G8473">
        <v>0.2</v>
      </c>
      <c r="H8473">
        <v>-11.6928</v>
      </c>
      <c r="U8473">
        <v>-11.6928</v>
      </c>
    </row>
    <row r="8474" spans="1:21" x14ac:dyDescent="0.35">
      <c r="A8474" t="s">
        <v>2170</v>
      </c>
      <c r="B8474" t="s">
        <v>195</v>
      </c>
      <c r="C8474" t="s">
        <v>8</v>
      </c>
      <c r="D8474" t="s">
        <v>2123</v>
      </c>
      <c r="E8474">
        <v>3</v>
      </c>
      <c r="F8474">
        <v>1</v>
      </c>
      <c r="G8474">
        <v>0.2</v>
      </c>
      <c r="H8474">
        <v>1.05</v>
      </c>
      <c r="U8474">
        <v>1.05</v>
      </c>
    </row>
    <row r="8475" spans="1:21" x14ac:dyDescent="0.35">
      <c r="A8475" t="s">
        <v>1456</v>
      </c>
      <c r="B8475" t="s">
        <v>1534</v>
      </c>
      <c r="C8475" t="s">
        <v>8</v>
      </c>
      <c r="D8475" t="s">
        <v>502</v>
      </c>
      <c r="E8475">
        <v>9.952</v>
      </c>
      <c r="F8475">
        <v>1</v>
      </c>
      <c r="G8475">
        <v>0.2</v>
      </c>
      <c r="H8475">
        <v>0.99519999999999997</v>
      </c>
      <c r="U8475">
        <v>0.99519999999999997</v>
      </c>
    </row>
    <row r="8476" spans="1:21" x14ac:dyDescent="0.35">
      <c r="A8476" s="1">
        <v>42982</v>
      </c>
      <c r="B8476" t="s">
        <v>1869</v>
      </c>
      <c r="C8476" t="s">
        <v>55</v>
      </c>
      <c r="D8476" t="s">
        <v>674</v>
      </c>
      <c r="E8476">
        <v>37.896000000000001</v>
      </c>
      <c r="F8476">
        <v>4</v>
      </c>
      <c r="G8476">
        <v>0.7</v>
      </c>
      <c r="H8476">
        <v>-29.053599999999999</v>
      </c>
      <c r="U8476">
        <v>-29.053599999999999</v>
      </c>
    </row>
    <row r="8477" spans="1:21" x14ac:dyDescent="0.35">
      <c r="A8477" s="1">
        <v>42982</v>
      </c>
      <c r="B8477" t="s">
        <v>1869</v>
      </c>
      <c r="C8477" t="s">
        <v>55</v>
      </c>
      <c r="D8477" t="s">
        <v>2355</v>
      </c>
      <c r="E8477">
        <v>65.584000000000003</v>
      </c>
      <c r="F8477">
        <v>2</v>
      </c>
      <c r="G8477">
        <v>0.2</v>
      </c>
      <c r="H8477">
        <v>23.7742</v>
      </c>
      <c r="U8477">
        <v>23.7742</v>
      </c>
    </row>
    <row r="8478" spans="1:21" x14ac:dyDescent="0.35">
      <c r="A8478" t="s">
        <v>1513</v>
      </c>
      <c r="B8478" t="s">
        <v>290</v>
      </c>
      <c r="C8478" t="s">
        <v>13</v>
      </c>
      <c r="D8478" t="s">
        <v>2404</v>
      </c>
      <c r="E8478">
        <v>44.783999999999999</v>
      </c>
      <c r="F8478">
        <v>1</v>
      </c>
      <c r="G8478">
        <v>0.2</v>
      </c>
      <c r="H8478">
        <v>16.234200000000001</v>
      </c>
      <c r="U8478">
        <v>16.234200000000001</v>
      </c>
    </row>
    <row r="8479" spans="1:21" x14ac:dyDescent="0.35">
      <c r="A8479" t="s">
        <v>1898</v>
      </c>
      <c r="B8479" t="s">
        <v>1102</v>
      </c>
      <c r="C8479" t="s">
        <v>55</v>
      </c>
      <c r="D8479" t="s">
        <v>2720</v>
      </c>
      <c r="E8479">
        <v>1035.8</v>
      </c>
      <c r="F8479">
        <v>4</v>
      </c>
      <c r="G8479">
        <v>0</v>
      </c>
      <c r="H8479">
        <v>269.30799999999999</v>
      </c>
      <c r="U8479">
        <v>269.30799999999999</v>
      </c>
    </row>
    <row r="8480" spans="1:21" x14ac:dyDescent="0.35">
      <c r="A8480" t="s">
        <v>1418</v>
      </c>
      <c r="B8480" t="s">
        <v>1727</v>
      </c>
      <c r="C8480" t="s">
        <v>13</v>
      </c>
      <c r="D8480" t="s">
        <v>1189</v>
      </c>
      <c r="E8480">
        <v>5.76</v>
      </c>
      <c r="F8480">
        <v>2</v>
      </c>
      <c r="G8480">
        <v>0</v>
      </c>
      <c r="H8480">
        <v>1.6704000000000001</v>
      </c>
      <c r="U8480">
        <v>1.6704000000000001</v>
      </c>
    </row>
    <row r="8481" spans="1:21" x14ac:dyDescent="0.35">
      <c r="A8481" s="1">
        <v>42707</v>
      </c>
      <c r="B8481" t="s">
        <v>1982</v>
      </c>
      <c r="C8481" t="s">
        <v>13</v>
      </c>
      <c r="D8481" t="s">
        <v>2488</v>
      </c>
      <c r="E8481">
        <v>19.98</v>
      </c>
      <c r="F8481">
        <v>2</v>
      </c>
      <c r="G8481">
        <v>0</v>
      </c>
      <c r="H8481">
        <v>8.9909999999999997</v>
      </c>
      <c r="U8481">
        <v>8.9909999999999997</v>
      </c>
    </row>
    <row r="8482" spans="1:21" x14ac:dyDescent="0.35">
      <c r="A8482" t="s">
        <v>1873</v>
      </c>
      <c r="B8482" t="s">
        <v>1171</v>
      </c>
      <c r="C8482" t="s">
        <v>35</v>
      </c>
      <c r="D8482" t="s">
        <v>2632</v>
      </c>
      <c r="E8482">
        <v>35.979999999999997</v>
      </c>
      <c r="F8482">
        <v>2</v>
      </c>
      <c r="G8482">
        <v>0</v>
      </c>
      <c r="H8482">
        <v>10.074400000000001</v>
      </c>
      <c r="U8482">
        <v>10.074400000000001</v>
      </c>
    </row>
    <row r="8483" spans="1:21" x14ac:dyDescent="0.35">
      <c r="A8483" t="s">
        <v>1111</v>
      </c>
      <c r="B8483" t="s">
        <v>1740</v>
      </c>
      <c r="C8483" t="s">
        <v>55</v>
      </c>
      <c r="D8483" t="s">
        <v>1537</v>
      </c>
      <c r="E8483">
        <v>16.655999999999999</v>
      </c>
      <c r="F8483">
        <v>3</v>
      </c>
      <c r="G8483">
        <v>0.2</v>
      </c>
      <c r="H8483">
        <v>3.3311999999999999</v>
      </c>
      <c r="U8483">
        <v>3.3311999999999999</v>
      </c>
    </row>
    <row r="8484" spans="1:21" x14ac:dyDescent="0.35">
      <c r="A8484" s="1">
        <v>43041</v>
      </c>
      <c r="B8484" t="s">
        <v>568</v>
      </c>
      <c r="C8484" t="s">
        <v>55</v>
      </c>
      <c r="D8484" t="s">
        <v>902</v>
      </c>
      <c r="E8484">
        <v>20.7</v>
      </c>
      <c r="F8484">
        <v>2</v>
      </c>
      <c r="G8484">
        <v>0</v>
      </c>
      <c r="H8484">
        <v>9.9359999999999999</v>
      </c>
      <c r="U8484">
        <v>9.9359999999999999</v>
      </c>
    </row>
    <row r="8485" spans="1:21" x14ac:dyDescent="0.35">
      <c r="A8485" t="s">
        <v>1263</v>
      </c>
      <c r="B8485" t="s">
        <v>2171</v>
      </c>
      <c r="C8485" t="s">
        <v>35</v>
      </c>
      <c r="D8485" t="s">
        <v>2445</v>
      </c>
      <c r="E8485">
        <v>83.7</v>
      </c>
      <c r="F8485">
        <v>5</v>
      </c>
      <c r="G8485">
        <v>0</v>
      </c>
      <c r="H8485">
        <v>41.012999999999998</v>
      </c>
      <c r="U8485">
        <v>41.012999999999998</v>
      </c>
    </row>
    <row r="8486" spans="1:21" x14ac:dyDescent="0.35">
      <c r="A8486" t="s">
        <v>978</v>
      </c>
      <c r="B8486" t="s">
        <v>707</v>
      </c>
      <c r="C8486" t="s">
        <v>13</v>
      </c>
      <c r="D8486" t="s">
        <v>1021</v>
      </c>
      <c r="E8486">
        <v>199.8</v>
      </c>
      <c r="F8486">
        <v>10</v>
      </c>
      <c r="G8486">
        <v>0</v>
      </c>
      <c r="H8486">
        <v>71.927999999999997</v>
      </c>
      <c r="U8486">
        <v>71.927999999999997</v>
      </c>
    </row>
    <row r="8487" spans="1:21" x14ac:dyDescent="0.35">
      <c r="A8487" t="s">
        <v>1867</v>
      </c>
      <c r="B8487" t="s">
        <v>2721</v>
      </c>
      <c r="C8487" t="s">
        <v>13</v>
      </c>
      <c r="D8487" t="s">
        <v>2005</v>
      </c>
      <c r="E8487">
        <v>45.68</v>
      </c>
      <c r="F8487">
        <v>2</v>
      </c>
      <c r="G8487">
        <v>0</v>
      </c>
      <c r="H8487">
        <v>21.012799999999999</v>
      </c>
      <c r="U8487">
        <v>21.012799999999999</v>
      </c>
    </row>
    <row r="8488" spans="1:21" x14ac:dyDescent="0.35">
      <c r="A8488" t="s">
        <v>1867</v>
      </c>
      <c r="B8488" t="s">
        <v>2721</v>
      </c>
      <c r="C8488" t="s">
        <v>13</v>
      </c>
      <c r="D8488" t="s">
        <v>327</v>
      </c>
      <c r="E8488">
        <v>110.96</v>
      </c>
      <c r="F8488">
        <v>2</v>
      </c>
      <c r="G8488">
        <v>0</v>
      </c>
      <c r="H8488">
        <v>53.260800000000003</v>
      </c>
      <c r="U8488">
        <v>53.260800000000003</v>
      </c>
    </row>
    <row r="8489" spans="1:21" x14ac:dyDescent="0.35">
      <c r="A8489" t="s">
        <v>1867</v>
      </c>
      <c r="B8489" t="s">
        <v>2721</v>
      </c>
      <c r="C8489" t="s">
        <v>13</v>
      </c>
      <c r="D8489" t="s">
        <v>2607</v>
      </c>
      <c r="E8489">
        <v>11.94</v>
      </c>
      <c r="F8489">
        <v>3</v>
      </c>
      <c r="G8489">
        <v>0</v>
      </c>
      <c r="H8489">
        <v>5.97</v>
      </c>
      <c r="U8489">
        <v>5.97</v>
      </c>
    </row>
    <row r="8490" spans="1:21" x14ac:dyDescent="0.35">
      <c r="A8490" s="1">
        <v>42402</v>
      </c>
      <c r="B8490" t="s">
        <v>1259</v>
      </c>
      <c r="C8490" t="s">
        <v>8</v>
      </c>
      <c r="D8490" t="s">
        <v>2479</v>
      </c>
      <c r="E8490">
        <v>8749.9500000000007</v>
      </c>
      <c r="F8490">
        <v>5</v>
      </c>
      <c r="G8490">
        <v>0</v>
      </c>
      <c r="H8490">
        <v>2799.9839999999999</v>
      </c>
      <c r="U8490">
        <v>2799.9839999999999</v>
      </c>
    </row>
    <row r="8491" spans="1:21" x14ac:dyDescent="0.35">
      <c r="A8491" s="1">
        <v>42402</v>
      </c>
      <c r="B8491" t="s">
        <v>1259</v>
      </c>
      <c r="C8491" t="s">
        <v>8</v>
      </c>
      <c r="D8491" t="s">
        <v>492</v>
      </c>
      <c r="E8491">
        <v>36.4</v>
      </c>
      <c r="F8491">
        <v>8</v>
      </c>
      <c r="G8491">
        <v>0</v>
      </c>
      <c r="H8491">
        <v>18.2</v>
      </c>
      <c r="U8491">
        <v>18.2</v>
      </c>
    </row>
    <row r="8492" spans="1:21" x14ac:dyDescent="0.35">
      <c r="A8492" s="1">
        <v>42402</v>
      </c>
      <c r="B8492" t="s">
        <v>1259</v>
      </c>
      <c r="C8492" t="s">
        <v>8</v>
      </c>
      <c r="D8492" t="s">
        <v>2411</v>
      </c>
      <c r="E8492">
        <v>18.690000000000001</v>
      </c>
      <c r="F8492">
        <v>7</v>
      </c>
      <c r="G8492">
        <v>0</v>
      </c>
      <c r="H8492">
        <v>7.1021999999999998</v>
      </c>
      <c r="U8492">
        <v>7.1021999999999998</v>
      </c>
    </row>
    <row r="8493" spans="1:21" x14ac:dyDescent="0.35">
      <c r="A8493" s="1">
        <v>42923</v>
      </c>
      <c r="B8493" t="s">
        <v>972</v>
      </c>
      <c r="C8493" t="s">
        <v>13</v>
      </c>
      <c r="D8493" t="s">
        <v>1764</v>
      </c>
      <c r="E8493">
        <v>5.94</v>
      </c>
      <c r="F8493">
        <v>3</v>
      </c>
      <c r="G8493">
        <v>0</v>
      </c>
      <c r="H8493">
        <v>0.1188</v>
      </c>
      <c r="U8493">
        <v>0.1188</v>
      </c>
    </row>
    <row r="8494" spans="1:21" x14ac:dyDescent="0.35">
      <c r="A8494" t="s">
        <v>2448</v>
      </c>
      <c r="B8494" t="s">
        <v>1818</v>
      </c>
      <c r="C8494" t="s">
        <v>35</v>
      </c>
      <c r="D8494" t="s">
        <v>2436</v>
      </c>
      <c r="E8494">
        <v>60.735999999999997</v>
      </c>
      <c r="F8494">
        <v>8</v>
      </c>
      <c r="G8494">
        <v>0.2</v>
      </c>
      <c r="H8494">
        <v>20.4984</v>
      </c>
      <c r="U8494">
        <v>20.4984</v>
      </c>
    </row>
    <row r="8495" spans="1:21" x14ac:dyDescent="0.35">
      <c r="A8495" t="s">
        <v>2448</v>
      </c>
      <c r="B8495" t="s">
        <v>1818</v>
      </c>
      <c r="C8495" t="s">
        <v>35</v>
      </c>
      <c r="D8495" t="s">
        <v>2541</v>
      </c>
      <c r="E8495">
        <v>479.976</v>
      </c>
      <c r="F8495">
        <v>3</v>
      </c>
      <c r="G8495">
        <v>0.2</v>
      </c>
      <c r="H8495">
        <v>161.99189999999999</v>
      </c>
      <c r="U8495">
        <v>161.99189999999999</v>
      </c>
    </row>
    <row r="8496" spans="1:21" x14ac:dyDescent="0.35">
      <c r="A8496" t="s">
        <v>2448</v>
      </c>
      <c r="B8496" t="s">
        <v>1818</v>
      </c>
      <c r="C8496" t="s">
        <v>35</v>
      </c>
      <c r="D8496" t="s">
        <v>1644</v>
      </c>
      <c r="E8496">
        <v>6.08</v>
      </c>
      <c r="F8496">
        <v>1</v>
      </c>
      <c r="G8496">
        <v>0.8</v>
      </c>
      <c r="H8496">
        <v>-10.336</v>
      </c>
      <c r="U8496">
        <v>-10.336</v>
      </c>
    </row>
    <row r="8497" spans="1:21" x14ac:dyDescent="0.35">
      <c r="A8497" s="1">
        <v>42412</v>
      </c>
      <c r="B8497" t="s">
        <v>534</v>
      </c>
      <c r="C8497" t="s">
        <v>13</v>
      </c>
      <c r="D8497" t="s">
        <v>2465</v>
      </c>
      <c r="E8497">
        <v>165.6</v>
      </c>
      <c r="F8497">
        <v>3</v>
      </c>
      <c r="G8497">
        <v>0.2</v>
      </c>
      <c r="H8497">
        <v>-6.21</v>
      </c>
      <c r="U8497">
        <v>-6.21</v>
      </c>
    </row>
    <row r="8498" spans="1:21" x14ac:dyDescent="0.35">
      <c r="A8498" s="1">
        <v>41762</v>
      </c>
      <c r="B8498" t="s">
        <v>1709</v>
      </c>
      <c r="C8498" t="s">
        <v>55</v>
      </c>
      <c r="D8498" t="s">
        <v>755</v>
      </c>
      <c r="E8498">
        <v>59.52</v>
      </c>
      <c r="F8498">
        <v>3</v>
      </c>
      <c r="G8498">
        <v>0</v>
      </c>
      <c r="H8498">
        <v>15.475199999999999</v>
      </c>
      <c r="U8498">
        <v>15.475199999999999</v>
      </c>
    </row>
    <row r="8499" spans="1:21" x14ac:dyDescent="0.35">
      <c r="A8499" s="1">
        <v>41762</v>
      </c>
      <c r="B8499" t="s">
        <v>1709</v>
      </c>
      <c r="C8499" t="s">
        <v>55</v>
      </c>
      <c r="D8499" t="s">
        <v>519</v>
      </c>
      <c r="E8499">
        <v>479.97</v>
      </c>
      <c r="F8499">
        <v>3</v>
      </c>
      <c r="G8499">
        <v>0</v>
      </c>
      <c r="H8499">
        <v>177.5889</v>
      </c>
      <c r="U8499">
        <v>177.5889</v>
      </c>
    </row>
    <row r="8500" spans="1:21" x14ac:dyDescent="0.35">
      <c r="A8500" s="1">
        <v>41762</v>
      </c>
      <c r="B8500" t="s">
        <v>1709</v>
      </c>
      <c r="C8500" t="s">
        <v>55</v>
      </c>
      <c r="D8500" t="s">
        <v>1174</v>
      </c>
      <c r="E8500">
        <v>18.62</v>
      </c>
      <c r="F8500">
        <v>2</v>
      </c>
      <c r="G8500">
        <v>0</v>
      </c>
      <c r="H8500">
        <v>5.3997999999999999</v>
      </c>
      <c r="U8500">
        <v>5.3997999999999999</v>
      </c>
    </row>
    <row r="8501" spans="1:21" x14ac:dyDescent="0.35">
      <c r="A8501" s="1">
        <v>41762</v>
      </c>
      <c r="B8501" t="s">
        <v>1709</v>
      </c>
      <c r="C8501" t="s">
        <v>55</v>
      </c>
      <c r="D8501" t="s">
        <v>2111</v>
      </c>
      <c r="E8501">
        <v>49.631999999999998</v>
      </c>
      <c r="F8501">
        <v>6</v>
      </c>
      <c r="G8501">
        <v>0.2</v>
      </c>
      <c r="H8501">
        <v>16.750800000000002</v>
      </c>
      <c r="U8501">
        <v>16.750800000000002</v>
      </c>
    </row>
    <row r="8502" spans="1:21" x14ac:dyDescent="0.35">
      <c r="A8502" s="1">
        <v>41762</v>
      </c>
      <c r="B8502" t="s">
        <v>1709</v>
      </c>
      <c r="C8502" t="s">
        <v>55</v>
      </c>
      <c r="D8502" t="s">
        <v>1896</v>
      </c>
      <c r="E8502">
        <v>97.82</v>
      </c>
      <c r="F8502">
        <v>2</v>
      </c>
      <c r="G8502">
        <v>0</v>
      </c>
      <c r="H8502">
        <v>45.9754</v>
      </c>
      <c r="U8502">
        <v>45.9754</v>
      </c>
    </row>
    <row r="8503" spans="1:21" x14ac:dyDescent="0.35">
      <c r="A8503" s="1">
        <v>42007</v>
      </c>
      <c r="B8503" t="s">
        <v>2371</v>
      </c>
      <c r="C8503" t="s">
        <v>13</v>
      </c>
      <c r="D8503" t="s">
        <v>820</v>
      </c>
      <c r="E8503">
        <v>15.984</v>
      </c>
      <c r="F8503">
        <v>2</v>
      </c>
      <c r="G8503">
        <v>0.2</v>
      </c>
      <c r="H8503">
        <v>1.1988000000000001</v>
      </c>
      <c r="U8503">
        <v>1.1988000000000001</v>
      </c>
    </row>
    <row r="8504" spans="1:21" x14ac:dyDescent="0.35">
      <c r="A8504" s="1">
        <v>42007</v>
      </c>
      <c r="B8504" t="s">
        <v>2371</v>
      </c>
      <c r="C8504" t="s">
        <v>13</v>
      </c>
      <c r="D8504" t="s">
        <v>744</v>
      </c>
      <c r="E8504">
        <v>184.75200000000001</v>
      </c>
      <c r="F8504">
        <v>3</v>
      </c>
      <c r="G8504">
        <v>0.2</v>
      </c>
      <c r="H8504">
        <v>-20.784600000000001</v>
      </c>
      <c r="U8504">
        <v>-20.784600000000001</v>
      </c>
    </row>
    <row r="8505" spans="1:21" x14ac:dyDescent="0.35">
      <c r="A8505" t="s">
        <v>2527</v>
      </c>
      <c r="B8505" t="s">
        <v>1004</v>
      </c>
      <c r="C8505" t="s">
        <v>13</v>
      </c>
      <c r="D8505" t="s">
        <v>2384</v>
      </c>
      <c r="E8505">
        <v>12.96</v>
      </c>
      <c r="F8505">
        <v>2</v>
      </c>
      <c r="G8505">
        <v>0</v>
      </c>
      <c r="H8505">
        <v>6.2207999999999997</v>
      </c>
      <c r="U8505">
        <v>6.2207999999999997</v>
      </c>
    </row>
    <row r="8506" spans="1:21" x14ac:dyDescent="0.35">
      <c r="A8506" s="1">
        <v>42405</v>
      </c>
      <c r="B8506" t="s">
        <v>2549</v>
      </c>
      <c r="C8506" t="s">
        <v>35</v>
      </c>
      <c r="D8506" t="s">
        <v>2434</v>
      </c>
      <c r="E8506">
        <v>366.74400000000003</v>
      </c>
      <c r="F8506">
        <v>4</v>
      </c>
      <c r="G8506">
        <v>0.3</v>
      </c>
      <c r="H8506">
        <v>-110.0232</v>
      </c>
      <c r="U8506">
        <v>-110.0232</v>
      </c>
    </row>
    <row r="8507" spans="1:21" x14ac:dyDescent="0.35">
      <c r="A8507" s="1">
        <v>42585</v>
      </c>
      <c r="B8507" t="s">
        <v>1207</v>
      </c>
      <c r="C8507" t="s">
        <v>35</v>
      </c>
      <c r="D8507" t="s">
        <v>1893</v>
      </c>
      <c r="E8507">
        <v>8.8559999999999999</v>
      </c>
      <c r="F8507">
        <v>9</v>
      </c>
      <c r="G8507">
        <v>0.8</v>
      </c>
      <c r="H8507">
        <v>-14.169600000000001</v>
      </c>
      <c r="U8507">
        <v>-14.169600000000001</v>
      </c>
    </row>
    <row r="8508" spans="1:21" x14ac:dyDescent="0.35">
      <c r="A8508" s="1">
        <v>42585</v>
      </c>
      <c r="B8508" t="s">
        <v>1207</v>
      </c>
      <c r="C8508" t="s">
        <v>35</v>
      </c>
      <c r="D8508" t="s">
        <v>132</v>
      </c>
      <c r="E8508">
        <v>27.96</v>
      </c>
      <c r="F8508">
        <v>5</v>
      </c>
      <c r="G8508">
        <v>0.2</v>
      </c>
      <c r="H8508">
        <v>8.3879999999999999</v>
      </c>
      <c r="U8508">
        <v>8.3879999999999999</v>
      </c>
    </row>
    <row r="8509" spans="1:21" x14ac:dyDescent="0.35">
      <c r="A8509" s="1">
        <v>42585</v>
      </c>
      <c r="B8509" t="s">
        <v>1207</v>
      </c>
      <c r="C8509" t="s">
        <v>35</v>
      </c>
      <c r="D8509" t="s">
        <v>2552</v>
      </c>
      <c r="E8509">
        <v>146.352</v>
      </c>
      <c r="F8509">
        <v>3</v>
      </c>
      <c r="G8509">
        <v>0.2</v>
      </c>
      <c r="H8509">
        <v>49.393799999999999</v>
      </c>
      <c r="U8509">
        <v>49.393799999999999</v>
      </c>
    </row>
    <row r="8510" spans="1:21" x14ac:dyDescent="0.35">
      <c r="A8510" s="1">
        <v>42320</v>
      </c>
      <c r="B8510" t="s">
        <v>908</v>
      </c>
      <c r="C8510" t="s">
        <v>35</v>
      </c>
      <c r="D8510" t="s">
        <v>1364</v>
      </c>
      <c r="E8510">
        <v>175.23</v>
      </c>
      <c r="F8510">
        <v>11</v>
      </c>
      <c r="G8510">
        <v>0</v>
      </c>
      <c r="H8510">
        <v>61.330500000000001</v>
      </c>
      <c r="U8510">
        <v>61.330500000000001</v>
      </c>
    </row>
    <row r="8511" spans="1:21" x14ac:dyDescent="0.35">
      <c r="A8511" s="1">
        <v>42320</v>
      </c>
      <c r="B8511" t="s">
        <v>908</v>
      </c>
      <c r="C8511" t="s">
        <v>35</v>
      </c>
      <c r="D8511" t="s">
        <v>2218</v>
      </c>
      <c r="E8511">
        <v>125.99</v>
      </c>
      <c r="F8511">
        <v>1</v>
      </c>
      <c r="G8511">
        <v>0</v>
      </c>
      <c r="H8511">
        <v>31.497499999999999</v>
      </c>
      <c r="U8511">
        <v>31.497499999999999</v>
      </c>
    </row>
    <row r="8512" spans="1:21" x14ac:dyDescent="0.35">
      <c r="A8512" s="1">
        <v>42320</v>
      </c>
      <c r="B8512" t="s">
        <v>908</v>
      </c>
      <c r="C8512" t="s">
        <v>35</v>
      </c>
      <c r="D8512" t="s">
        <v>1689</v>
      </c>
      <c r="E8512">
        <v>23</v>
      </c>
      <c r="F8512">
        <v>2</v>
      </c>
      <c r="G8512">
        <v>0</v>
      </c>
      <c r="H8512">
        <v>10.35</v>
      </c>
      <c r="U8512">
        <v>10.35</v>
      </c>
    </row>
    <row r="8513" spans="1:21" x14ac:dyDescent="0.35">
      <c r="A8513" t="s">
        <v>989</v>
      </c>
      <c r="B8513" t="s">
        <v>265</v>
      </c>
      <c r="C8513" t="s">
        <v>55</v>
      </c>
      <c r="D8513" t="s">
        <v>2192</v>
      </c>
      <c r="E8513">
        <v>25.584</v>
      </c>
      <c r="F8513">
        <v>2</v>
      </c>
      <c r="G8513">
        <v>0.2</v>
      </c>
      <c r="H8513">
        <v>8.9543999999999997</v>
      </c>
      <c r="U8513">
        <v>8.9543999999999997</v>
      </c>
    </row>
    <row r="8514" spans="1:21" x14ac:dyDescent="0.35">
      <c r="A8514" s="1">
        <v>42402</v>
      </c>
      <c r="B8514" t="s">
        <v>1366</v>
      </c>
      <c r="C8514" t="s">
        <v>35</v>
      </c>
      <c r="D8514" t="s">
        <v>1282</v>
      </c>
      <c r="E8514">
        <v>73.784000000000006</v>
      </c>
      <c r="F8514">
        <v>2</v>
      </c>
      <c r="G8514">
        <v>0.6</v>
      </c>
      <c r="H8514">
        <v>-77.473200000000006</v>
      </c>
      <c r="U8514">
        <v>-77.473200000000006</v>
      </c>
    </row>
    <row r="8515" spans="1:21" x14ac:dyDescent="0.35">
      <c r="A8515" s="1">
        <v>42861</v>
      </c>
      <c r="B8515" t="s">
        <v>1366</v>
      </c>
      <c r="C8515" t="s">
        <v>8</v>
      </c>
      <c r="D8515" t="s">
        <v>2052</v>
      </c>
      <c r="E8515">
        <v>20.736000000000001</v>
      </c>
      <c r="F8515">
        <v>4</v>
      </c>
      <c r="G8515">
        <v>0.2</v>
      </c>
      <c r="H8515">
        <v>7.2576000000000001</v>
      </c>
      <c r="U8515">
        <v>7.2576000000000001</v>
      </c>
    </row>
    <row r="8516" spans="1:21" x14ac:dyDescent="0.35">
      <c r="A8516" t="s">
        <v>1119</v>
      </c>
      <c r="B8516" t="s">
        <v>1553</v>
      </c>
      <c r="C8516" t="s">
        <v>8</v>
      </c>
      <c r="D8516" t="s">
        <v>477</v>
      </c>
      <c r="E8516">
        <v>17.52</v>
      </c>
      <c r="F8516">
        <v>3</v>
      </c>
      <c r="G8516">
        <v>0</v>
      </c>
      <c r="H8516">
        <v>8.2344000000000008</v>
      </c>
      <c r="U8516">
        <v>8.2344000000000008</v>
      </c>
    </row>
    <row r="8517" spans="1:21" x14ac:dyDescent="0.35">
      <c r="A8517" t="s">
        <v>1119</v>
      </c>
      <c r="B8517" t="s">
        <v>1553</v>
      </c>
      <c r="C8517" t="s">
        <v>8</v>
      </c>
      <c r="D8517" t="s">
        <v>166</v>
      </c>
      <c r="E8517">
        <v>35.76</v>
      </c>
      <c r="F8517">
        <v>12</v>
      </c>
      <c r="G8517">
        <v>0</v>
      </c>
      <c r="H8517">
        <v>10.0128</v>
      </c>
      <c r="U8517">
        <v>10.0128</v>
      </c>
    </row>
    <row r="8518" spans="1:21" x14ac:dyDescent="0.35">
      <c r="A8518" s="1">
        <v>42555</v>
      </c>
      <c r="B8518" t="s">
        <v>918</v>
      </c>
      <c r="C8518" t="s">
        <v>55</v>
      </c>
      <c r="D8518" t="s">
        <v>21</v>
      </c>
      <c r="E8518">
        <v>3.64</v>
      </c>
      <c r="F8518">
        <v>2</v>
      </c>
      <c r="G8518">
        <v>0</v>
      </c>
      <c r="H8518">
        <v>0.98280000000000001</v>
      </c>
      <c r="U8518">
        <v>0.98280000000000001</v>
      </c>
    </row>
    <row r="8519" spans="1:21" x14ac:dyDescent="0.35">
      <c r="A8519" s="1">
        <v>42831</v>
      </c>
      <c r="B8519" t="s">
        <v>808</v>
      </c>
      <c r="C8519" t="s">
        <v>35</v>
      </c>
      <c r="D8519" t="s">
        <v>2076</v>
      </c>
      <c r="E8519">
        <v>30.335999999999999</v>
      </c>
      <c r="F8519">
        <v>6</v>
      </c>
      <c r="G8519">
        <v>0.6</v>
      </c>
      <c r="H8519">
        <v>-17.443200000000001</v>
      </c>
      <c r="U8519">
        <v>-17.443200000000001</v>
      </c>
    </row>
    <row r="8520" spans="1:21" x14ac:dyDescent="0.35">
      <c r="A8520" s="1">
        <v>42837</v>
      </c>
      <c r="B8520" t="s">
        <v>2631</v>
      </c>
      <c r="C8520" t="s">
        <v>55</v>
      </c>
      <c r="D8520" t="s">
        <v>2699</v>
      </c>
      <c r="E8520">
        <v>12.99</v>
      </c>
      <c r="F8520">
        <v>1</v>
      </c>
      <c r="G8520">
        <v>0</v>
      </c>
      <c r="H8520">
        <v>1.5588</v>
      </c>
      <c r="U8520">
        <v>1.5588</v>
      </c>
    </row>
    <row r="8521" spans="1:21" x14ac:dyDescent="0.35">
      <c r="A8521" s="1">
        <v>42837</v>
      </c>
      <c r="B8521" t="s">
        <v>2631</v>
      </c>
      <c r="C8521" t="s">
        <v>55</v>
      </c>
      <c r="D8521" t="s">
        <v>328</v>
      </c>
      <c r="E8521">
        <v>182.22</v>
      </c>
      <c r="F8521">
        <v>3</v>
      </c>
      <c r="G8521">
        <v>0</v>
      </c>
      <c r="H8521">
        <v>45.555</v>
      </c>
      <c r="U8521">
        <v>45.555</v>
      </c>
    </row>
    <row r="8522" spans="1:21" x14ac:dyDescent="0.35">
      <c r="A8522" s="1">
        <v>42837</v>
      </c>
      <c r="B8522" t="s">
        <v>2631</v>
      </c>
      <c r="C8522" t="s">
        <v>55</v>
      </c>
      <c r="D8522" t="s">
        <v>426</v>
      </c>
      <c r="E8522">
        <v>302.94</v>
      </c>
      <c r="F8522">
        <v>3</v>
      </c>
      <c r="G8522">
        <v>0</v>
      </c>
      <c r="H8522">
        <v>18.176400000000001</v>
      </c>
      <c r="U8522">
        <v>18.176400000000001</v>
      </c>
    </row>
    <row r="8523" spans="1:21" x14ac:dyDescent="0.35">
      <c r="A8523" s="1">
        <v>42675</v>
      </c>
      <c r="B8523" t="s">
        <v>365</v>
      </c>
      <c r="C8523" t="s">
        <v>55</v>
      </c>
      <c r="D8523" t="s">
        <v>1475</v>
      </c>
      <c r="E8523">
        <v>54.991999999999997</v>
      </c>
      <c r="F8523">
        <v>14</v>
      </c>
      <c r="G8523">
        <v>0.2</v>
      </c>
      <c r="H8523">
        <v>8.9361999999999995</v>
      </c>
      <c r="U8523">
        <v>8.9361999999999995</v>
      </c>
    </row>
    <row r="8524" spans="1:21" x14ac:dyDescent="0.35">
      <c r="A8524" s="1">
        <v>42373</v>
      </c>
      <c r="B8524" t="s">
        <v>1733</v>
      </c>
      <c r="C8524" t="s">
        <v>35</v>
      </c>
      <c r="D8524" t="s">
        <v>1351</v>
      </c>
      <c r="E8524">
        <v>12.99</v>
      </c>
      <c r="F8524">
        <v>1</v>
      </c>
      <c r="G8524">
        <v>0</v>
      </c>
      <c r="H8524">
        <v>0.25979999999999998</v>
      </c>
      <c r="U8524">
        <v>0.25979999999999998</v>
      </c>
    </row>
    <row r="8525" spans="1:21" x14ac:dyDescent="0.35">
      <c r="A8525" t="s">
        <v>1136</v>
      </c>
      <c r="B8525" t="s">
        <v>582</v>
      </c>
      <c r="C8525" t="s">
        <v>13</v>
      </c>
      <c r="D8525" t="s">
        <v>447</v>
      </c>
      <c r="E8525">
        <v>55.86</v>
      </c>
      <c r="F8525">
        <v>7</v>
      </c>
      <c r="G8525">
        <v>0</v>
      </c>
      <c r="H8525">
        <v>27.93</v>
      </c>
      <c r="U8525">
        <v>27.93</v>
      </c>
    </row>
    <row r="8526" spans="1:21" x14ac:dyDescent="0.35">
      <c r="A8526" t="s">
        <v>1908</v>
      </c>
      <c r="B8526" t="s">
        <v>2460</v>
      </c>
      <c r="C8526" t="s">
        <v>55</v>
      </c>
      <c r="D8526" t="s">
        <v>1639</v>
      </c>
      <c r="E8526">
        <v>44.375999999999998</v>
      </c>
      <c r="F8526">
        <v>2</v>
      </c>
      <c r="G8526">
        <v>0.4</v>
      </c>
      <c r="H8526">
        <v>-7.3959999999999999</v>
      </c>
      <c r="U8526">
        <v>-7.3959999999999999</v>
      </c>
    </row>
    <row r="8527" spans="1:21" x14ac:dyDescent="0.35">
      <c r="A8527" t="s">
        <v>1908</v>
      </c>
      <c r="B8527" t="s">
        <v>2460</v>
      </c>
      <c r="C8527" t="s">
        <v>55</v>
      </c>
      <c r="D8527" t="s">
        <v>2533</v>
      </c>
      <c r="E8527">
        <v>51.264000000000003</v>
      </c>
      <c r="F8527">
        <v>6</v>
      </c>
      <c r="G8527">
        <v>0.2</v>
      </c>
      <c r="H8527">
        <v>7.6896000000000004</v>
      </c>
      <c r="U8527">
        <v>7.6896000000000004</v>
      </c>
    </row>
    <row r="8528" spans="1:21" x14ac:dyDescent="0.35">
      <c r="A8528" t="s">
        <v>1908</v>
      </c>
      <c r="B8528" t="s">
        <v>2460</v>
      </c>
      <c r="C8528" t="s">
        <v>55</v>
      </c>
      <c r="D8528" t="s">
        <v>147</v>
      </c>
      <c r="E8528">
        <v>5.1929999999999996</v>
      </c>
      <c r="F8528">
        <v>3</v>
      </c>
      <c r="G8528">
        <v>0.7</v>
      </c>
      <c r="H8528">
        <v>-3.4620000000000002</v>
      </c>
      <c r="U8528">
        <v>-3.4620000000000002</v>
      </c>
    </row>
    <row r="8529" spans="1:21" x14ac:dyDescent="0.35">
      <c r="A8529" t="s">
        <v>1908</v>
      </c>
      <c r="B8529" t="s">
        <v>2460</v>
      </c>
      <c r="C8529" t="s">
        <v>55</v>
      </c>
      <c r="D8529" t="s">
        <v>773</v>
      </c>
      <c r="E8529">
        <v>159.98400000000001</v>
      </c>
      <c r="F8529">
        <v>2</v>
      </c>
      <c r="G8529">
        <v>0.2</v>
      </c>
      <c r="H8529">
        <v>43.995600000000003</v>
      </c>
      <c r="U8529">
        <v>43.995600000000003</v>
      </c>
    </row>
    <row r="8530" spans="1:21" x14ac:dyDescent="0.35">
      <c r="A8530" t="s">
        <v>1908</v>
      </c>
      <c r="B8530" t="s">
        <v>2460</v>
      </c>
      <c r="C8530" t="s">
        <v>55</v>
      </c>
      <c r="D8530" t="s">
        <v>573</v>
      </c>
      <c r="E8530">
        <v>54.223999999999997</v>
      </c>
      <c r="F8530">
        <v>2</v>
      </c>
      <c r="G8530">
        <v>0.2</v>
      </c>
      <c r="H8530">
        <v>3.3889999999999998</v>
      </c>
      <c r="U8530">
        <v>3.3889999999999998</v>
      </c>
    </row>
    <row r="8531" spans="1:21" x14ac:dyDescent="0.35">
      <c r="A8531" s="1">
        <v>43019</v>
      </c>
      <c r="B8531" t="s">
        <v>1643</v>
      </c>
      <c r="C8531" t="s">
        <v>13</v>
      </c>
      <c r="D8531" t="s">
        <v>2087</v>
      </c>
      <c r="E8531">
        <v>241.42400000000001</v>
      </c>
      <c r="F8531">
        <v>2</v>
      </c>
      <c r="G8531">
        <v>0.2</v>
      </c>
      <c r="H8531">
        <v>-36.2136</v>
      </c>
      <c r="U8531">
        <v>-36.2136</v>
      </c>
    </row>
    <row r="8532" spans="1:21" x14ac:dyDescent="0.35">
      <c r="A8532" t="s">
        <v>2018</v>
      </c>
      <c r="B8532" t="s">
        <v>386</v>
      </c>
      <c r="C8532" t="s">
        <v>35</v>
      </c>
      <c r="D8532" t="s">
        <v>2071</v>
      </c>
      <c r="E8532">
        <v>33.36</v>
      </c>
      <c r="F8532">
        <v>4</v>
      </c>
      <c r="G8532">
        <v>0</v>
      </c>
      <c r="H8532">
        <v>16.68</v>
      </c>
      <c r="U8532">
        <v>16.68</v>
      </c>
    </row>
    <row r="8533" spans="1:21" x14ac:dyDescent="0.35">
      <c r="A8533" t="s">
        <v>2018</v>
      </c>
      <c r="B8533" t="s">
        <v>386</v>
      </c>
      <c r="C8533" t="s">
        <v>35</v>
      </c>
      <c r="D8533" t="s">
        <v>610</v>
      </c>
      <c r="E8533">
        <v>13.76</v>
      </c>
      <c r="F8533">
        <v>2</v>
      </c>
      <c r="G8533">
        <v>0</v>
      </c>
      <c r="H8533">
        <v>6.3296000000000001</v>
      </c>
      <c r="U8533">
        <v>6.3296000000000001</v>
      </c>
    </row>
    <row r="8534" spans="1:21" x14ac:dyDescent="0.35">
      <c r="A8534" t="s">
        <v>2018</v>
      </c>
      <c r="B8534" t="s">
        <v>386</v>
      </c>
      <c r="C8534" t="s">
        <v>35</v>
      </c>
      <c r="D8534" t="s">
        <v>1716</v>
      </c>
      <c r="E8534">
        <v>496.86</v>
      </c>
      <c r="F8534">
        <v>7</v>
      </c>
      <c r="G8534">
        <v>0</v>
      </c>
      <c r="H8534">
        <v>24.843</v>
      </c>
      <c r="U8534">
        <v>24.843</v>
      </c>
    </row>
    <row r="8535" spans="1:21" x14ac:dyDescent="0.35">
      <c r="A8535" t="s">
        <v>2018</v>
      </c>
      <c r="B8535" t="s">
        <v>386</v>
      </c>
      <c r="C8535" t="s">
        <v>35</v>
      </c>
      <c r="D8535" t="s">
        <v>153</v>
      </c>
      <c r="E8535">
        <v>389.97</v>
      </c>
      <c r="F8535">
        <v>3</v>
      </c>
      <c r="G8535">
        <v>0</v>
      </c>
      <c r="H8535">
        <v>35.097299999999997</v>
      </c>
      <c r="U8535">
        <v>35.097299999999997</v>
      </c>
    </row>
    <row r="8536" spans="1:21" x14ac:dyDescent="0.35">
      <c r="A8536" t="s">
        <v>2561</v>
      </c>
      <c r="B8536" t="s">
        <v>2569</v>
      </c>
      <c r="C8536" t="s">
        <v>8</v>
      </c>
      <c r="D8536" t="s">
        <v>1086</v>
      </c>
      <c r="E8536">
        <v>9.82</v>
      </c>
      <c r="F8536">
        <v>2</v>
      </c>
      <c r="G8536">
        <v>0</v>
      </c>
      <c r="H8536">
        <v>4.8117999999999999</v>
      </c>
      <c r="U8536">
        <v>4.8117999999999999</v>
      </c>
    </row>
    <row r="8537" spans="1:21" x14ac:dyDescent="0.35">
      <c r="A8537" t="s">
        <v>887</v>
      </c>
      <c r="B8537" t="s">
        <v>2336</v>
      </c>
      <c r="C8537" t="s">
        <v>13</v>
      </c>
      <c r="D8537" t="s">
        <v>1918</v>
      </c>
      <c r="E8537">
        <v>56.4</v>
      </c>
      <c r="F8537">
        <v>3</v>
      </c>
      <c r="G8537">
        <v>0</v>
      </c>
      <c r="H8537">
        <v>3.3839999999999999</v>
      </c>
      <c r="U8537">
        <v>3.3839999999999999</v>
      </c>
    </row>
    <row r="8538" spans="1:21" x14ac:dyDescent="0.35">
      <c r="A8538" s="1">
        <v>42191</v>
      </c>
      <c r="B8538" t="s">
        <v>2722</v>
      </c>
      <c r="C8538" t="s">
        <v>55</v>
      </c>
      <c r="D8538" t="s">
        <v>1359</v>
      </c>
      <c r="E8538">
        <v>18.312000000000001</v>
      </c>
      <c r="F8538">
        <v>4</v>
      </c>
      <c r="G8538">
        <v>0.7</v>
      </c>
      <c r="H8538">
        <v>-12.208</v>
      </c>
      <c r="U8538">
        <v>-12.208</v>
      </c>
    </row>
    <row r="8539" spans="1:21" x14ac:dyDescent="0.35">
      <c r="A8539" s="1">
        <v>42191</v>
      </c>
      <c r="B8539" t="s">
        <v>2722</v>
      </c>
      <c r="C8539" t="s">
        <v>55</v>
      </c>
      <c r="D8539" t="s">
        <v>2396</v>
      </c>
      <c r="E8539">
        <v>25.92</v>
      </c>
      <c r="F8539">
        <v>5</v>
      </c>
      <c r="G8539">
        <v>0.2</v>
      </c>
      <c r="H8539">
        <v>9.0719999999999992</v>
      </c>
      <c r="U8539">
        <v>9.0719999999999992</v>
      </c>
    </row>
    <row r="8540" spans="1:21" x14ac:dyDescent="0.35">
      <c r="A8540" s="1">
        <v>42191</v>
      </c>
      <c r="B8540" t="s">
        <v>2722</v>
      </c>
      <c r="C8540" t="s">
        <v>55</v>
      </c>
      <c r="D8540" t="s">
        <v>2208</v>
      </c>
      <c r="E8540">
        <v>8.016</v>
      </c>
      <c r="F8540">
        <v>3</v>
      </c>
      <c r="G8540">
        <v>0.2</v>
      </c>
      <c r="H8540">
        <v>1.002</v>
      </c>
      <c r="U8540">
        <v>1.002</v>
      </c>
    </row>
    <row r="8541" spans="1:21" x14ac:dyDescent="0.35">
      <c r="A8541" s="1">
        <v>42981</v>
      </c>
      <c r="B8541" t="s">
        <v>189</v>
      </c>
      <c r="C8541" t="s">
        <v>13</v>
      </c>
      <c r="D8541" t="s">
        <v>2097</v>
      </c>
      <c r="E8541">
        <v>479.98399999999998</v>
      </c>
      <c r="F8541">
        <v>2</v>
      </c>
      <c r="G8541">
        <v>0.2</v>
      </c>
      <c r="H8541">
        <v>59.997999999999998</v>
      </c>
      <c r="U8541">
        <v>59.997999999999998</v>
      </c>
    </row>
    <row r="8542" spans="1:21" x14ac:dyDescent="0.35">
      <c r="A8542" s="1">
        <v>42981</v>
      </c>
      <c r="B8542" t="s">
        <v>189</v>
      </c>
      <c r="C8542" t="s">
        <v>13</v>
      </c>
      <c r="D8542" t="s">
        <v>23</v>
      </c>
      <c r="E8542">
        <v>30.84</v>
      </c>
      <c r="F8542">
        <v>5</v>
      </c>
      <c r="G8542">
        <v>0.2</v>
      </c>
      <c r="H8542">
        <v>9.6374999999999993</v>
      </c>
      <c r="U8542">
        <v>9.6374999999999993</v>
      </c>
    </row>
    <row r="8543" spans="1:21" x14ac:dyDescent="0.35">
      <c r="A8543" t="s">
        <v>771</v>
      </c>
      <c r="B8543" t="s">
        <v>1466</v>
      </c>
      <c r="C8543" t="s">
        <v>55</v>
      </c>
      <c r="D8543" t="s">
        <v>1945</v>
      </c>
      <c r="E8543">
        <v>33.567999999999998</v>
      </c>
      <c r="F8543">
        <v>2</v>
      </c>
      <c r="G8543">
        <v>0.2</v>
      </c>
      <c r="H8543">
        <v>1.6783999999999999</v>
      </c>
      <c r="U8543">
        <v>1.6783999999999999</v>
      </c>
    </row>
    <row r="8544" spans="1:21" x14ac:dyDescent="0.35">
      <c r="A8544" t="s">
        <v>771</v>
      </c>
      <c r="B8544" t="s">
        <v>1466</v>
      </c>
      <c r="C8544" t="s">
        <v>55</v>
      </c>
      <c r="D8544" t="s">
        <v>1460</v>
      </c>
      <c r="E8544">
        <v>422.625</v>
      </c>
      <c r="F8544">
        <v>7</v>
      </c>
      <c r="G8544">
        <v>0.3</v>
      </c>
      <c r="H8544">
        <v>0</v>
      </c>
      <c r="U8544">
        <v>0</v>
      </c>
    </row>
    <row r="8545" spans="1:21" x14ac:dyDescent="0.35">
      <c r="A8545" s="1">
        <v>41798</v>
      </c>
      <c r="B8545" t="s">
        <v>1992</v>
      </c>
      <c r="C8545" t="s">
        <v>55</v>
      </c>
      <c r="D8545" t="s">
        <v>773</v>
      </c>
      <c r="E8545">
        <v>199.98</v>
      </c>
      <c r="F8545">
        <v>2</v>
      </c>
      <c r="G8545">
        <v>0</v>
      </c>
      <c r="H8545">
        <v>83.991600000000005</v>
      </c>
      <c r="U8545">
        <v>83.991600000000005</v>
      </c>
    </row>
    <row r="8546" spans="1:21" x14ac:dyDescent="0.35">
      <c r="A8546" t="s">
        <v>2320</v>
      </c>
      <c r="B8546" t="s">
        <v>420</v>
      </c>
      <c r="C8546" t="s">
        <v>8</v>
      </c>
      <c r="D8546" t="s">
        <v>2507</v>
      </c>
      <c r="E8546">
        <v>20.239999999999998</v>
      </c>
      <c r="F8546">
        <v>1</v>
      </c>
      <c r="G8546">
        <v>0</v>
      </c>
      <c r="H8546">
        <v>8.7032000000000007</v>
      </c>
      <c r="U8546">
        <v>8.7032000000000007</v>
      </c>
    </row>
    <row r="8547" spans="1:21" x14ac:dyDescent="0.35">
      <c r="A8547" t="s">
        <v>2320</v>
      </c>
      <c r="B8547" t="s">
        <v>420</v>
      </c>
      <c r="C8547" t="s">
        <v>8</v>
      </c>
      <c r="D8547" t="s">
        <v>2461</v>
      </c>
      <c r="E8547">
        <v>39.92</v>
      </c>
      <c r="F8547">
        <v>4</v>
      </c>
      <c r="G8547">
        <v>0</v>
      </c>
      <c r="H8547">
        <v>11.1776</v>
      </c>
      <c r="U8547">
        <v>11.1776</v>
      </c>
    </row>
    <row r="8548" spans="1:21" x14ac:dyDescent="0.35">
      <c r="A8548" t="s">
        <v>2320</v>
      </c>
      <c r="B8548" t="s">
        <v>420</v>
      </c>
      <c r="C8548" t="s">
        <v>8</v>
      </c>
      <c r="D8548" t="s">
        <v>2359</v>
      </c>
      <c r="E8548">
        <v>32.54</v>
      </c>
      <c r="F8548">
        <v>2</v>
      </c>
      <c r="G8548">
        <v>0</v>
      </c>
      <c r="H8548">
        <v>15.944599999999999</v>
      </c>
      <c r="U8548">
        <v>15.944599999999999</v>
      </c>
    </row>
    <row r="8549" spans="1:21" x14ac:dyDescent="0.35">
      <c r="A8549" s="1">
        <v>42136</v>
      </c>
      <c r="B8549" t="s">
        <v>1244</v>
      </c>
      <c r="C8549" t="s">
        <v>13</v>
      </c>
      <c r="D8549" t="s">
        <v>403</v>
      </c>
      <c r="E8549">
        <v>39</v>
      </c>
      <c r="F8549">
        <v>3</v>
      </c>
      <c r="G8549">
        <v>0</v>
      </c>
      <c r="H8549">
        <v>17.55</v>
      </c>
      <c r="U8549">
        <v>17.55</v>
      </c>
    </row>
    <row r="8550" spans="1:21" x14ac:dyDescent="0.35">
      <c r="A8550" s="1">
        <v>42136</v>
      </c>
      <c r="B8550" t="s">
        <v>1244</v>
      </c>
      <c r="C8550" t="s">
        <v>13</v>
      </c>
      <c r="D8550" t="s">
        <v>1399</v>
      </c>
      <c r="E8550">
        <v>12.6</v>
      </c>
      <c r="F8550">
        <v>4</v>
      </c>
      <c r="G8550">
        <v>0</v>
      </c>
      <c r="H8550">
        <v>6.048</v>
      </c>
      <c r="U8550">
        <v>6.048</v>
      </c>
    </row>
    <row r="8551" spans="1:21" x14ac:dyDescent="0.35">
      <c r="A8551" s="1">
        <v>42317</v>
      </c>
      <c r="B8551" t="s">
        <v>1244</v>
      </c>
      <c r="C8551" t="s">
        <v>13</v>
      </c>
      <c r="D8551" t="s">
        <v>837</v>
      </c>
      <c r="E8551">
        <v>24.64</v>
      </c>
      <c r="F8551">
        <v>4</v>
      </c>
      <c r="G8551">
        <v>0.2</v>
      </c>
      <c r="H8551">
        <v>4.0039999999999996</v>
      </c>
      <c r="U8551">
        <v>4.0039999999999996</v>
      </c>
    </row>
    <row r="8552" spans="1:21" x14ac:dyDescent="0.35">
      <c r="A8552" t="s">
        <v>2231</v>
      </c>
      <c r="B8552" t="s">
        <v>612</v>
      </c>
      <c r="C8552" t="s">
        <v>35</v>
      </c>
      <c r="D8552" t="s">
        <v>2667</v>
      </c>
      <c r="E8552">
        <v>6.2640000000000002</v>
      </c>
      <c r="F8552">
        <v>3</v>
      </c>
      <c r="G8552">
        <v>0.2</v>
      </c>
      <c r="H8552">
        <v>2.0358000000000001</v>
      </c>
      <c r="U8552">
        <v>2.0358000000000001</v>
      </c>
    </row>
    <row r="8553" spans="1:21" x14ac:dyDescent="0.35">
      <c r="A8553" t="s">
        <v>2231</v>
      </c>
      <c r="B8553" t="s">
        <v>612</v>
      </c>
      <c r="C8553" t="s">
        <v>35</v>
      </c>
      <c r="D8553" t="s">
        <v>897</v>
      </c>
      <c r="E8553">
        <v>14.432</v>
      </c>
      <c r="F8553">
        <v>4</v>
      </c>
      <c r="G8553">
        <v>0.2</v>
      </c>
      <c r="H8553">
        <v>3.4276</v>
      </c>
      <c r="U8553">
        <v>3.4276</v>
      </c>
    </row>
    <row r="8554" spans="1:21" x14ac:dyDescent="0.35">
      <c r="A8554" t="s">
        <v>1563</v>
      </c>
      <c r="B8554" t="s">
        <v>1641</v>
      </c>
      <c r="C8554" t="s">
        <v>35</v>
      </c>
      <c r="D8554" t="s">
        <v>1438</v>
      </c>
      <c r="E8554">
        <v>719.976</v>
      </c>
      <c r="F8554">
        <v>3</v>
      </c>
      <c r="G8554">
        <v>0.2</v>
      </c>
      <c r="H8554">
        <v>134.99549999999999</v>
      </c>
      <c r="U8554">
        <v>134.99549999999999</v>
      </c>
    </row>
    <row r="8555" spans="1:21" x14ac:dyDescent="0.35">
      <c r="A8555" t="s">
        <v>170</v>
      </c>
      <c r="B8555" t="s">
        <v>374</v>
      </c>
      <c r="C8555" t="s">
        <v>8</v>
      </c>
      <c r="D8555" t="s">
        <v>1237</v>
      </c>
      <c r="E8555">
        <v>239.92</v>
      </c>
      <c r="F8555">
        <v>8</v>
      </c>
      <c r="G8555">
        <v>0</v>
      </c>
      <c r="H8555">
        <v>23.992000000000001</v>
      </c>
      <c r="U8555">
        <v>23.992000000000001</v>
      </c>
    </row>
    <row r="8556" spans="1:21" x14ac:dyDescent="0.35">
      <c r="A8556" s="1">
        <v>42625</v>
      </c>
      <c r="B8556" t="s">
        <v>1451</v>
      </c>
      <c r="C8556" t="s">
        <v>8</v>
      </c>
      <c r="D8556" t="s">
        <v>1645</v>
      </c>
      <c r="E8556">
        <v>1056.8599999999999</v>
      </c>
      <c r="F8556">
        <v>7</v>
      </c>
      <c r="G8556">
        <v>0</v>
      </c>
      <c r="H8556">
        <v>158.529</v>
      </c>
      <c r="U8556">
        <v>158.529</v>
      </c>
    </row>
    <row r="8557" spans="1:21" x14ac:dyDescent="0.35">
      <c r="A8557" t="s">
        <v>844</v>
      </c>
      <c r="B8557" t="s">
        <v>1098</v>
      </c>
      <c r="C8557" t="s">
        <v>8</v>
      </c>
      <c r="D8557" t="s">
        <v>809</v>
      </c>
      <c r="E8557">
        <v>447.94400000000002</v>
      </c>
      <c r="F8557">
        <v>7</v>
      </c>
      <c r="G8557">
        <v>0.2</v>
      </c>
      <c r="H8557">
        <v>89.588800000000006</v>
      </c>
      <c r="U8557">
        <v>89.588800000000006</v>
      </c>
    </row>
    <row r="8558" spans="1:21" x14ac:dyDescent="0.35">
      <c r="A8558" t="s">
        <v>844</v>
      </c>
      <c r="B8558" t="s">
        <v>1098</v>
      </c>
      <c r="C8558" t="s">
        <v>8</v>
      </c>
      <c r="D8558" t="s">
        <v>2616</v>
      </c>
      <c r="E8558">
        <v>150.40799999999999</v>
      </c>
      <c r="F8558">
        <v>9</v>
      </c>
      <c r="G8558">
        <v>0.2</v>
      </c>
      <c r="H8558">
        <v>-33.841799999999999</v>
      </c>
      <c r="U8558">
        <v>-33.841799999999999</v>
      </c>
    </row>
    <row r="8559" spans="1:21" x14ac:dyDescent="0.35">
      <c r="A8559" t="s">
        <v>1544</v>
      </c>
      <c r="B8559" t="s">
        <v>652</v>
      </c>
      <c r="C8559" t="s">
        <v>35</v>
      </c>
      <c r="D8559" t="s">
        <v>1462</v>
      </c>
      <c r="E8559">
        <v>453.57600000000002</v>
      </c>
      <c r="F8559">
        <v>3</v>
      </c>
      <c r="G8559">
        <v>0.2</v>
      </c>
      <c r="H8559">
        <v>39.687899999999999</v>
      </c>
      <c r="U8559">
        <v>39.687899999999999</v>
      </c>
    </row>
    <row r="8560" spans="1:21" x14ac:dyDescent="0.35">
      <c r="A8560" t="s">
        <v>1544</v>
      </c>
      <c r="B8560" t="s">
        <v>652</v>
      </c>
      <c r="C8560" t="s">
        <v>35</v>
      </c>
      <c r="D8560" t="s">
        <v>2471</v>
      </c>
      <c r="E8560">
        <v>45.36</v>
      </c>
      <c r="F8560">
        <v>9</v>
      </c>
      <c r="G8560">
        <v>0.2</v>
      </c>
      <c r="H8560">
        <v>14.742000000000001</v>
      </c>
      <c r="U8560">
        <v>14.742000000000001</v>
      </c>
    </row>
    <row r="8561" spans="1:21" x14ac:dyDescent="0.35">
      <c r="A8561" t="s">
        <v>1544</v>
      </c>
      <c r="B8561" t="s">
        <v>652</v>
      </c>
      <c r="C8561" t="s">
        <v>35</v>
      </c>
      <c r="D8561" t="s">
        <v>1905</v>
      </c>
      <c r="E8561">
        <v>287.88</v>
      </c>
      <c r="F8561">
        <v>3</v>
      </c>
      <c r="G8561">
        <v>0.2</v>
      </c>
      <c r="H8561">
        <v>35.984999999999999</v>
      </c>
      <c r="U8561">
        <v>35.984999999999999</v>
      </c>
    </row>
    <row r="8562" spans="1:21" x14ac:dyDescent="0.35">
      <c r="A8562" t="s">
        <v>1544</v>
      </c>
      <c r="B8562" t="s">
        <v>652</v>
      </c>
      <c r="C8562" t="s">
        <v>35</v>
      </c>
      <c r="D8562" t="s">
        <v>2339</v>
      </c>
      <c r="E8562">
        <v>131.88</v>
      </c>
      <c r="F8562">
        <v>3</v>
      </c>
      <c r="G8562">
        <v>0.2</v>
      </c>
      <c r="H8562">
        <v>14.836499999999999</v>
      </c>
      <c r="U8562">
        <v>14.836499999999999</v>
      </c>
    </row>
    <row r="8563" spans="1:21" x14ac:dyDescent="0.35">
      <c r="A8563" t="s">
        <v>1544</v>
      </c>
      <c r="B8563" t="s">
        <v>652</v>
      </c>
      <c r="C8563" t="s">
        <v>35</v>
      </c>
      <c r="D8563" t="s">
        <v>753</v>
      </c>
      <c r="E8563">
        <v>2.3279999999999998</v>
      </c>
      <c r="F8563">
        <v>2</v>
      </c>
      <c r="G8563">
        <v>0.6</v>
      </c>
      <c r="H8563">
        <v>-0.75660000000000005</v>
      </c>
      <c r="U8563">
        <v>-0.75660000000000005</v>
      </c>
    </row>
    <row r="8564" spans="1:21" x14ac:dyDescent="0.35">
      <c r="A8564" s="1">
        <v>42404</v>
      </c>
      <c r="B8564" t="s">
        <v>981</v>
      </c>
      <c r="C8564" t="s">
        <v>35</v>
      </c>
      <c r="D8564" t="s">
        <v>1653</v>
      </c>
      <c r="E8564">
        <v>1454.9</v>
      </c>
      <c r="F8564">
        <v>5</v>
      </c>
      <c r="G8564">
        <v>0</v>
      </c>
      <c r="H8564">
        <v>378.274</v>
      </c>
      <c r="U8564">
        <v>378.274</v>
      </c>
    </row>
    <row r="8565" spans="1:21" x14ac:dyDescent="0.35">
      <c r="A8565" t="s">
        <v>1678</v>
      </c>
      <c r="B8565" t="s">
        <v>1508</v>
      </c>
      <c r="C8565" t="s">
        <v>8</v>
      </c>
      <c r="D8565" t="s">
        <v>1611</v>
      </c>
      <c r="E8565">
        <v>4.8419999999999996</v>
      </c>
      <c r="F8565">
        <v>3</v>
      </c>
      <c r="G8565">
        <v>0.7</v>
      </c>
      <c r="H8565">
        <v>-3.5508000000000002</v>
      </c>
      <c r="U8565">
        <v>-3.5508000000000002</v>
      </c>
    </row>
    <row r="8566" spans="1:21" x14ac:dyDescent="0.35">
      <c r="A8566" t="s">
        <v>1678</v>
      </c>
      <c r="B8566" t="s">
        <v>1508</v>
      </c>
      <c r="C8566" t="s">
        <v>8</v>
      </c>
      <c r="D8566" t="s">
        <v>2629</v>
      </c>
      <c r="E8566">
        <v>220.70400000000001</v>
      </c>
      <c r="F8566">
        <v>6</v>
      </c>
      <c r="G8566">
        <v>0.2</v>
      </c>
      <c r="H8566">
        <v>-8.2764000000000006</v>
      </c>
      <c r="U8566">
        <v>-8.2764000000000006</v>
      </c>
    </row>
    <row r="8567" spans="1:21" x14ac:dyDescent="0.35">
      <c r="A8567" t="s">
        <v>1323</v>
      </c>
      <c r="B8567" t="s">
        <v>2619</v>
      </c>
      <c r="C8567" t="s">
        <v>35</v>
      </c>
      <c r="D8567" t="s">
        <v>2295</v>
      </c>
      <c r="E8567">
        <v>67.176000000000002</v>
      </c>
      <c r="F8567">
        <v>3</v>
      </c>
      <c r="G8567">
        <v>0.2</v>
      </c>
      <c r="H8567">
        <v>6.7176</v>
      </c>
      <c r="U8567">
        <v>6.7176</v>
      </c>
    </row>
    <row r="8568" spans="1:21" x14ac:dyDescent="0.35">
      <c r="A8568" t="s">
        <v>1323</v>
      </c>
      <c r="B8568" t="s">
        <v>2619</v>
      </c>
      <c r="C8568" t="s">
        <v>35</v>
      </c>
      <c r="D8568" t="s">
        <v>2186</v>
      </c>
      <c r="E8568">
        <v>15.231999999999999</v>
      </c>
      <c r="F8568">
        <v>4</v>
      </c>
      <c r="G8568">
        <v>0.2</v>
      </c>
      <c r="H8568">
        <v>5.5216000000000003</v>
      </c>
      <c r="U8568">
        <v>5.5216000000000003</v>
      </c>
    </row>
    <row r="8569" spans="1:21" x14ac:dyDescent="0.35">
      <c r="A8569" s="1">
        <v>42654</v>
      </c>
      <c r="B8569" t="s">
        <v>1061</v>
      </c>
      <c r="C8569" t="s">
        <v>55</v>
      </c>
      <c r="D8569" t="s">
        <v>2052</v>
      </c>
      <c r="E8569">
        <v>31.103999999999999</v>
      </c>
      <c r="F8569">
        <v>6</v>
      </c>
      <c r="G8569">
        <v>0.2</v>
      </c>
      <c r="H8569">
        <v>10.8864</v>
      </c>
      <c r="U8569">
        <v>10.8864</v>
      </c>
    </row>
    <row r="8570" spans="1:21" x14ac:dyDescent="0.35">
      <c r="A8570" s="1">
        <v>42533</v>
      </c>
      <c r="B8570" t="s">
        <v>1198</v>
      </c>
      <c r="C8570" t="s">
        <v>55</v>
      </c>
      <c r="D8570" t="s">
        <v>2440</v>
      </c>
      <c r="E8570">
        <v>968.74400000000003</v>
      </c>
      <c r="F8570">
        <v>7</v>
      </c>
      <c r="G8570">
        <v>0.2</v>
      </c>
      <c r="H8570">
        <v>314.84179999999998</v>
      </c>
      <c r="U8570">
        <v>314.84179999999998</v>
      </c>
    </row>
    <row r="8571" spans="1:21" x14ac:dyDescent="0.35">
      <c r="A8571" s="1">
        <v>42533</v>
      </c>
      <c r="B8571" t="s">
        <v>1198</v>
      </c>
      <c r="C8571" t="s">
        <v>55</v>
      </c>
      <c r="D8571" t="s">
        <v>200</v>
      </c>
      <c r="E8571">
        <v>222.352</v>
      </c>
      <c r="F8571">
        <v>13</v>
      </c>
      <c r="G8571">
        <v>0.2</v>
      </c>
      <c r="H8571">
        <v>77.8232</v>
      </c>
      <c r="U8571">
        <v>77.8232</v>
      </c>
    </row>
    <row r="8572" spans="1:21" x14ac:dyDescent="0.35">
      <c r="A8572" s="1">
        <v>42533</v>
      </c>
      <c r="B8572" t="s">
        <v>1198</v>
      </c>
      <c r="C8572" t="s">
        <v>55</v>
      </c>
      <c r="D8572" t="s">
        <v>1438</v>
      </c>
      <c r="E8572">
        <v>479.98399999999998</v>
      </c>
      <c r="F8572">
        <v>2</v>
      </c>
      <c r="G8572">
        <v>0.2</v>
      </c>
      <c r="H8572">
        <v>89.997</v>
      </c>
      <c r="U8572">
        <v>89.997</v>
      </c>
    </row>
    <row r="8573" spans="1:21" x14ac:dyDescent="0.35">
      <c r="A8573" s="1">
        <v>42433</v>
      </c>
      <c r="B8573" t="s">
        <v>1004</v>
      </c>
      <c r="C8573" t="s">
        <v>35</v>
      </c>
      <c r="D8573" t="s">
        <v>1812</v>
      </c>
      <c r="E8573">
        <v>10.272</v>
      </c>
      <c r="F8573">
        <v>3</v>
      </c>
      <c r="G8573">
        <v>0.2</v>
      </c>
      <c r="H8573">
        <v>3.21</v>
      </c>
      <c r="U8573">
        <v>3.21</v>
      </c>
    </row>
    <row r="8574" spans="1:21" x14ac:dyDescent="0.35">
      <c r="A8574" t="s">
        <v>2008</v>
      </c>
      <c r="B8574" t="s">
        <v>1840</v>
      </c>
      <c r="C8574" t="s">
        <v>35</v>
      </c>
      <c r="D8574" t="s">
        <v>1783</v>
      </c>
      <c r="E8574">
        <v>998.85</v>
      </c>
      <c r="F8574">
        <v>5</v>
      </c>
      <c r="G8574">
        <v>0.4</v>
      </c>
      <c r="H8574">
        <v>-199.77</v>
      </c>
      <c r="U8574">
        <v>-199.77</v>
      </c>
    </row>
    <row r="8575" spans="1:21" x14ac:dyDescent="0.35">
      <c r="A8575" t="s">
        <v>223</v>
      </c>
      <c r="B8575" t="s">
        <v>1672</v>
      </c>
      <c r="C8575" t="s">
        <v>55</v>
      </c>
      <c r="D8575" t="s">
        <v>75</v>
      </c>
      <c r="E8575">
        <v>24.56</v>
      </c>
      <c r="F8575">
        <v>2</v>
      </c>
      <c r="G8575">
        <v>0</v>
      </c>
      <c r="H8575">
        <v>11.543200000000001</v>
      </c>
      <c r="U8575">
        <v>11.543200000000001</v>
      </c>
    </row>
    <row r="8576" spans="1:21" x14ac:dyDescent="0.35">
      <c r="A8576" t="s">
        <v>330</v>
      </c>
      <c r="B8576" t="s">
        <v>344</v>
      </c>
      <c r="C8576" t="s">
        <v>13</v>
      </c>
      <c r="D8576" t="s">
        <v>1606</v>
      </c>
      <c r="E8576">
        <v>5.67</v>
      </c>
      <c r="F8576">
        <v>3</v>
      </c>
      <c r="G8576">
        <v>0</v>
      </c>
      <c r="H8576">
        <v>0.1134</v>
      </c>
      <c r="U8576">
        <v>0.1134</v>
      </c>
    </row>
    <row r="8577" spans="1:21" x14ac:dyDescent="0.35">
      <c r="A8577" t="s">
        <v>640</v>
      </c>
      <c r="B8577" t="s">
        <v>1630</v>
      </c>
      <c r="C8577" t="s">
        <v>8</v>
      </c>
      <c r="D8577" t="s">
        <v>1029</v>
      </c>
      <c r="E8577">
        <v>14.336</v>
      </c>
      <c r="F8577">
        <v>4</v>
      </c>
      <c r="G8577">
        <v>0.2</v>
      </c>
      <c r="H8577">
        <v>0.89600000000000002</v>
      </c>
      <c r="U8577">
        <v>0.89600000000000002</v>
      </c>
    </row>
    <row r="8578" spans="1:21" x14ac:dyDescent="0.35">
      <c r="A8578" s="1">
        <v>42801</v>
      </c>
      <c r="B8578" t="s">
        <v>2354</v>
      </c>
      <c r="C8578" t="s">
        <v>55</v>
      </c>
      <c r="D8578" t="s">
        <v>1290</v>
      </c>
      <c r="E8578">
        <v>102.3</v>
      </c>
      <c r="F8578">
        <v>1</v>
      </c>
      <c r="G8578">
        <v>0</v>
      </c>
      <c r="H8578">
        <v>26.597999999999999</v>
      </c>
      <c r="U8578">
        <v>26.597999999999999</v>
      </c>
    </row>
    <row r="8579" spans="1:21" x14ac:dyDescent="0.35">
      <c r="A8579" t="s">
        <v>278</v>
      </c>
      <c r="B8579" t="s">
        <v>1715</v>
      </c>
      <c r="C8579" t="s">
        <v>35</v>
      </c>
      <c r="D8579" t="s">
        <v>642</v>
      </c>
      <c r="E8579">
        <v>607.52</v>
      </c>
      <c r="F8579">
        <v>2</v>
      </c>
      <c r="G8579">
        <v>0</v>
      </c>
      <c r="H8579">
        <v>97.203199999999995</v>
      </c>
      <c r="U8579">
        <v>97.203199999999995</v>
      </c>
    </row>
    <row r="8580" spans="1:21" x14ac:dyDescent="0.35">
      <c r="A8580" t="s">
        <v>278</v>
      </c>
      <c r="B8580" t="s">
        <v>1715</v>
      </c>
      <c r="C8580" t="s">
        <v>35</v>
      </c>
      <c r="D8580" t="s">
        <v>848</v>
      </c>
      <c r="E8580">
        <v>31.16</v>
      </c>
      <c r="F8580">
        <v>2</v>
      </c>
      <c r="G8580">
        <v>0</v>
      </c>
      <c r="H8580">
        <v>7.79</v>
      </c>
      <c r="U8580">
        <v>7.79</v>
      </c>
    </row>
    <row r="8581" spans="1:21" x14ac:dyDescent="0.35">
      <c r="A8581" t="s">
        <v>2246</v>
      </c>
      <c r="B8581" t="s">
        <v>1811</v>
      </c>
      <c r="C8581" t="s">
        <v>8</v>
      </c>
      <c r="D8581" t="s">
        <v>2667</v>
      </c>
      <c r="E8581">
        <v>2.61</v>
      </c>
      <c r="F8581">
        <v>1</v>
      </c>
      <c r="G8581">
        <v>0</v>
      </c>
      <c r="H8581">
        <v>1.2005999999999999</v>
      </c>
      <c r="U8581">
        <v>1.2005999999999999</v>
      </c>
    </row>
    <row r="8582" spans="1:21" x14ac:dyDescent="0.35">
      <c r="A8582" t="s">
        <v>1108</v>
      </c>
      <c r="B8582" t="s">
        <v>1950</v>
      </c>
      <c r="C8582" t="s">
        <v>35</v>
      </c>
      <c r="D8582" t="s">
        <v>2651</v>
      </c>
      <c r="E8582">
        <v>10.332000000000001</v>
      </c>
      <c r="F8582">
        <v>3</v>
      </c>
      <c r="G8582">
        <v>0.6</v>
      </c>
      <c r="H8582">
        <v>-5.9409000000000001</v>
      </c>
      <c r="U8582">
        <v>-5.9409000000000001</v>
      </c>
    </row>
    <row r="8583" spans="1:21" x14ac:dyDescent="0.35">
      <c r="A8583" t="s">
        <v>1108</v>
      </c>
      <c r="B8583" t="s">
        <v>1950</v>
      </c>
      <c r="C8583" t="s">
        <v>35</v>
      </c>
      <c r="D8583" t="s">
        <v>1273</v>
      </c>
      <c r="E8583">
        <v>10.368</v>
      </c>
      <c r="F8583">
        <v>2</v>
      </c>
      <c r="G8583">
        <v>0.2</v>
      </c>
      <c r="H8583">
        <v>3.6288</v>
      </c>
      <c r="U8583">
        <v>3.6288</v>
      </c>
    </row>
    <row r="8584" spans="1:21" x14ac:dyDescent="0.35">
      <c r="A8584" t="s">
        <v>1108</v>
      </c>
      <c r="B8584" t="s">
        <v>1950</v>
      </c>
      <c r="C8584" t="s">
        <v>35</v>
      </c>
      <c r="D8584" t="s">
        <v>2220</v>
      </c>
      <c r="E8584">
        <v>20.783999999999999</v>
      </c>
      <c r="F8584">
        <v>2</v>
      </c>
      <c r="G8584">
        <v>0.2</v>
      </c>
      <c r="H8584">
        <v>-3.6372</v>
      </c>
      <c r="U8584">
        <v>-3.6372</v>
      </c>
    </row>
    <row r="8585" spans="1:21" x14ac:dyDescent="0.35">
      <c r="A8585" t="s">
        <v>1108</v>
      </c>
      <c r="B8585" t="s">
        <v>1950</v>
      </c>
      <c r="C8585" t="s">
        <v>35</v>
      </c>
      <c r="D8585" t="s">
        <v>2633</v>
      </c>
      <c r="E8585">
        <v>66.959999999999994</v>
      </c>
      <c r="F8585">
        <v>5</v>
      </c>
      <c r="G8585">
        <v>0.2</v>
      </c>
      <c r="H8585">
        <v>-13.391999999999999</v>
      </c>
      <c r="U8585">
        <v>-13.391999999999999</v>
      </c>
    </row>
    <row r="8586" spans="1:21" x14ac:dyDescent="0.35">
      <c r="A8586" s="1">
        <v>41731</v>
      </c>
      <c r="B8586" t="s">
        <v>2646</v>
      </c>
      <c r="C8586" t="s">
        <v>13</v>
      </c>
      <c r="D8586" t="s">
        <v>1415</v>
      </c>
      <c r="E8586">
        <v>17.248000000000001</v>
      </c>
      <c r="F8586">
        <v>2</v>
      </c>
      <c r="G8586">
        <v>0.2</v>
      </c>
      <c r="H8586">
        <v>6.0368000000000004</v>
      </c>
      <c r="U8586">
        <v>6.0368000000000004</v>
      </c>
    </row>
    <row r="8587" spans="1:21" x14ac:dyDescent="0.35">
      <c r="A8587" s="1">
        <v>42990</v>
      </c>
      <c r="B8587" t="s">
        <v>2504</v>
      </c>
      <c r="C8587" t="s">
        <v>55</v>
      </c>
      <c r="D8587" t="s">
        <v>1769</v>
      </c>
      <c r="E8587">
        <v>11.087999999999999</v>
      </c>
      <c r="F8587">
        <v>7</v>
      </c>
      <c r="G8587">
        <v>0.7</v>
      </c>
      <c r="H8587">
        <v>-8.1311999999999998</v>
      </c>
      <c r="U8587">
        <v>-8.1311999999999998</v>
      </c>
    </row>
    <row r="8588" spans="1:21" x14ac:dyDescent="0.35">
      <c r="A8588" s="1">
        <v>43046</v>
      </c>
      <c r="B8588" t="s">
        <v>873</v>
      </c>
      <c r="C8588" t="s">
        <v>13</v>
      </c>
      <c r="D8588" t="s">
        <v>435</v>
      </c>
      <c r="E8588">
        <v>1287.45</v>
      </c>
      <c r="F8588">
        <v>5</v>
      </c>
      <c r="G8588">
        <v>0</v>
      </c>
      <c r="H8588">
        <v>244.6155</v>
      </c>
      <c r="U8588">
        <v>244.6155</v>
      </c>
    </row>
    <row r="8589" spans="1:21" x14ac:dyDescent="0.35">
      <c r="A8589" s="1">
        <v>43046</v>
      </c>
      <c r="B8589" t="s">
        <v>873</v>
      </c>
      <c r="C8589" t="s">
        <v>13</v>
      </c>
      <c r="D8589" t="s">
        <v>1274</v>
      </c>
      <c r="E8589">
        <v>168.1</v>
      </c>
      <c r="F8589">
        <v>5</v>
      </c>
      <c r="G8589">
        <v>0</v>
      </c>
      <c r="H8589">
        <v>43.706000000000003</v>
      </c>
      <c r="U8589">
        <v>43.706000000000003</v>
      </c>
    </row>
    <row r="8590" spans="1:21" x14ac:dyDescent="0.35">
      <c r="A8590" t="s">
        <v>2623</v>
      </c>
      <c r="B8590" t="s">
        <v>2398</v>
      </c>
      <c r="C8590" t="s">
        <v>55</v>
      </c>
      <c r="D8590" t="s">
        <v>1035</v>
      </c>
      <c r="E8590">
        <v>51.968000000000004</v>
      </c>
      <c r="F8590">
        <v>2</v>
      </c>
      <c r="G8590">
        <v>0.2</v>
      </c>
      <c r="H8590">
        <v>-10.393599999999999</v>
      </c>
      <c r="U8590">
        <v>-10.393599999999999</v>
      </c>
    </row>
    <row r="8591" spans="1:21" x14ac:dyDescent="0.35">
      <c r="A8591" t="s">
        <v>2451</v>
      </c>
      <c r="B8591" t="s">
        <v>1526</v>
      </c>
      <c r="C8591" t="s">
        <v>55</v>
      </c>
      <c r="D8591" t="s">
        <v>166</v>
      </c>
      <c r="E8591">
        <v>4.7679999999999998</v>
      </c>
      <c r="F8591">
        <v>2</v>
      </c>
      <c r="G8591">
        <v>0.2</v>
      </c>
      <c r="H8591">
        <v>0.4768</v>
      </c>
      <c r="U8591">
        <v>0.4768</v>
      </c>
    </row>
    <row r="8592" spans="1:21" x14ac:dyDescent="0.35">
      <c r="A8592" t="s">
        <v>1062</v>
      </c>
      <c r="B8592" t="s">
        <v>379</v>
      </c>
      <c r="C8592" t="s">
        <v>55</v>
      </c>
      <c r="D8592" t="s">
        <v>2334</v>
      </c>
      <c r="E8592">
        <v>7.98</v>
      </c>
      <c r="F8592">
        <v>3</v>
      </c>
      <c r="G8592">
        <v>0</v>
      </c>
      <c r="H8592">
        <v>3.9102000000000001</v>
      </c>
      <c r="U8592">
        <v>3.9102000000000001</v>
      </c>
    </row>
    <row r="8593" spans="1:21" x14ac:dyDescent="0.35">
      <c r="A8593" t="s">
        <v>2170</v>
      </c>
      <c r="B8593" t="s">
        <v>16</v>
      </c>
      <c r="C8593" t="s">
        <v>13</v>
      </c>
      <c r="D8593" t="s">
        <v>314</v>
      </c>
      <c r="E8593">
        <v>18.687999999999999</v>
      </c>
      <c r="F8593">
        <v>2</v>
      </c>
      <c r="G8593">
        <v>0.2</v>
      </c>
      <c r="H8593">
        <v>7.008</v>
      </c>
      <c r="U8593">
        <v>7.008</v>
      </c>
    </row>
    <row r="8594" spans="1:21" x14ac:dyDescent="0.35">
      <c r="A8594" t="s">
        <v>2170</v>
      </c>
      <c r="B8594" t="s">
        <v>16</v>
      </c>
      <c r="C8594" t="s">
        <v>13</v>
      </c>
      <c r="D8594" t="s">
        <v>2582</v>
      </c>
      <c r="E8594">
        <v>11.664</v>
      </c>
      <c r="F8594">
        <v>3</v>
      </c>
      <c r="G8594">
        <v>0.2</v>
      </c>
      <c r="H8594">
        <v>3.3534000000000002</v>
      </c>
      <c r="U8594">
        <v>3.3534000000000002</v>
      </c>
    </row>
    <row r="8595" spans="1:21" x14ac:dyDescent="0.35">
      <c r="A8595" s="1">
        <v>42989</v>
      </c>
      <c r="B8595" t="s">
        <v>1228</v>
      </c>
      <c r="C8595" t="s">
        <v>8</v>
      </c>
      <c r="D8595" t="s">
        <v>809</v>
      </c>
      <c r="E8595">
        <v>191.976</v>
      </c>
      <c r="F8595">
        <v>3</v>
      </c>
      <c r="G8595">
        <v>0.2</v>
      </c>
      <c r="H8595">
        <v>38.395200000000003</v>
      </c>
      <c r="U8595">
        <v>38.395200000000003</v>
      </c>
    </row>
    <row r="8596" spans="1:21" x14ac:dyDescent="0.35">
      <c r="A8596" s="1">
        <v>42989</v>
      </c>
      <c r="B8596" t="s">
        <v>1228</v>
      </c>
      <c r="C8596" t="s">
        <v>8</v>
      </c>
      <c r="D8596" t="s">
        <v>2679</v>
      </c>
      <c r="E8596">
        <v>499.16800000000001</v>
      </c>
      <c r="F8596">
        <v>4</v>
      </c>
      <c r="G8596">
        <v>0.2</v>
      </c>
      <c r="H8596">
        <v>31.198</v>
      </c>
      <c r="U8596">
        <v>31.198</v>
      </c>
    </row>
    <row r="8597" spans="1:21" x14ac:dyDescent="0.35">
      <c r="A8597" s="1">
        <v>41764</v>
      </c>
      <c r="B8597" t="s">
        <v>952</v>
      </c>
      <c r="C8597" t="s">
        <v>8</v>
      </c>
      <c r="D8597" t="s">
        <v>583</v>
      </c>
      <c r="E8597">
        <v>11.88</v>
      </c>
      <c r="F8597">
        <v>2</v>
      </c>
      <c r="G8597">
        <v>0</v>
      </c>
      <c r="H8597">
        <v>5.3460000000000001</v>
      </c>
      <c r="U8597">
        <v>5.3460000000000001</v>
      </c>
    </row>
    <row r="8598" spans="1:21" x14ac:dyDescent="0.35">
      <c r="A8598" s="1">
        <v>41764</v>
      </c>
      <c r="B8598" t="s">
        <v>952</v>
      </c>
      <c r="C8598" t="s">
        <v>8</v>
      </c>
      <c r="D8598" t="s">
        <v>75</v>
      </c>
      <c r="E8598">
        <v>35.44</v>
      </c>
      <c r="F8598">
        <v>1</v>
      </c>
      <c r="G8598">
        <v>0</v>
      </c>
      <c r="H8598">
        <v>16.6568</v>
      </c>
      <c r="U8598">
        <v>16.6568</v>
      </c>
    </row>
    <row r="8599" spans="1:21" x14ac:dyDescent="0.35">
      <c r="A8599" t="s">
        <v>799</v>
      </c>
      <c r="B8599" t="s">
        <v>224</v>
      </c>
      <c r="C8599" t="s">
        <v>13</v>
      </c>
      <c r="D8599" t="s">
        <v>2656</v>
      </c>
      <c r="E8599">
        <v>67.135999999999996</v>
      </c>
      <c r="F8599">
        <v>4</v>
      </c>
      <c r="G8599">
        <v>0.2</v>
      </c>
      <c r="H8599">
        <v>25.175999999999998</v>
      </c>
      <c r="U8599">
        <v>25.175999999999998</v>
      </c>
    </row>
    <row r="8600" spans="1:21" x14ac:dyDescent="0.35">
      <c r="A8600" t="s">
        <v>160</v>
      </c>
      <c r="B8600" t="s">
        <v>2142</v>
      </c>
      <c r="C8600" t="s">
        <v>13</v>
      </c>
      <c r="D8600" t="s">
        <v>1298</v>
      </c>
      <c r="E8600">
        <v>4.32</v>
      </c>
      <c r="F8600">
        <v>3</v>
      </c>
      <c r="G8600">
        <v>0.2</v>
      </c>
      <c r="H8600">
        <v>1.512</v>
      </c>
      <c r="U8600">
        <v>1.512</v>
      </c>
    </row>
    <row r="8601" spans="1:21" x14ac:dyDescent="0.35">
      <c r="A8601" t="s">
        <v>160</v>
      </c>
      <c r="B8601" t="s">
        <v>2142</v>
      </c>
      <c r="C8601" t="s">
        <v>13</v>
      </c>
      <c r="D8601" t="s">
        <v>1695</v>
      </c>
      <c r="E8601">
        <v>14.94</v>
      </c>
      <c r="F8601">
        <v>3</v>
      </c>
      <c r="G8601">
        <v>0</v>
      </c>
      <c r="H8601">
        <v>7.0217999999999998</v>
      </c>
      <c r="U8601">
        <v>7.0217999999999998</v>
      </c>
    </row>
    <row r="8602" spans="1:21" x14ac:dyDescent="0.35">
      <c r="A8602" t="s">
        <v>160</v>
      </c>
      <c r="B8602" t="s">
        <v>2142</v>
      </c>
      <c r="C8602" t="s">
        <v>13</v>
      </c>
      <c r="D8602" t="s">
        <v>2006</v>
      </c>
      <c r="E8602">
        <v>40.54</v>
      </c>
      <c r="F8602">
        <v>2</v>
      </c>
      <c r="G8602">
        <v>0</v>
      </c>
      <c r="H8602">
        <v>11.3512</v>
      </c>
      <c r="U8602">
        <v>11.3512</v>
      </c>
    </row>
    <row r="8603" spans="1:21" x14ac:dyDescent="0.35">
      <c r="A8603" t="s">
        <v>160</v>
      </c>
      <c r="B8603" t="s">
        <v>2142</v>
      </c>
      <c r="C8603" t="s">
        <v>13</v>
      </c>
      <c r="D8603" t="s">
        <v>2085</v>
      </c>
      <c r="E8603">
        <v>7.3120000000000003</v>
      </c>
      <c r="F8603">
        <v>1</v>
      </c>
      <c r="G8603">
        <v>0.2</v>
      </c>
      <c r="H8603">
        <v>2.5592000000000001</v>
      </c>
      <c r="U8603">
        <v>2.5592000000000001</v>
      </c>
    </row>
    <row r="8604" spans="1:21" x14ac:dyDescent="0.35">
      <c r="A8604" t="s">
        <v>963</v>
      </c>
      <c r="B8604" t="s">
        <v>1185</v>
      </c>
      <c r="C8604" t="s">
        <v>13</v>
      </c>
      <c r="D8604" t="s">
        <v>2314</v>
      </c>
      <c r="E8604">
        <v>475.94400000000002</v>
      </c>
      <c r="F8604">
        <v>7</v>
      </c>
      <c r="G8604">
        <v>0.2</v>
      </c>
      <c r="H8604">
        <v>59.493000000000002</v>
      </c>
      <c r="U8604">
        <v>59.493000000000002</v>
      </c>
    </row>
    <row r="8605" spans="1:21" x14ac:dyDescent="0.35">
      <c r="A8605" s="1">
        <v>42430</v>
      </c>
      <c r="B8605" t="s">
        <v>482</v>
      </c>
      <c r="C8605" t="s">
        <v>35</v>
      </c>
      <c r="D8605" t="s">
        <v>1918</v>
      </c>
      <c r="E8605">
        <v>30.08</v>
      </c>
      <c r="F8605">
        <v>2</v>
      </c>
      <c r="G8605">
        <v>0.2</v>
      </c>
      <c r="H8605">
        <v>-5.2640000000000002</v>
      </c>
      <c r="U8605">
        <v>-5.2640000000000002</v>
      </c>
    </row>
    <row r="8606" spans="1:21" x14ac:dyDescent="0.35">
      <c r="A8606" s="1">
        <v>42430</v>
      </c>
      <c r="B8606" t="s">
        <v>482</v>
      </c>
      <c r="C8606" t="s">
        <v>35</v>
      </c>
      <c r="D8606" t="s">
        <v>2465</v>
      </c>
      <c r="E8606">
        <v>165.6</v>
      </c>
      <c r="F8606">
        <v>3</v>
      </c>
      <c r="G8606">
        <v>0.2</v>
      </c>
      <c r="H8606">
        <v>-6.21</v>
      </c>
      <c r="U8606">
        <v>-6.21</v>
      </c>
    </row>
    <row r="8607" spans="1:21" x14ac:dyDescent="0.35">
      <c r="A8607" s="1">
        <v>42430</v>
      </c>
      <c r="B8607" t="s">
        <v>482</v>
      </c>
      <c r="C8607" t="s">
        <v>35</v>
      </c>
      <c r="D8607" t="s">
        <v>2205</v>
      </c>
      <c r="E8607">
        <v>180.96</v>
      </c>
      <c r="F8607">
        <v>5</v>
      </c>
      <c r="G8607">
        <v>0.2</v>
      </c>
      <c r="H8607">
        <v>13.571999999999999</v>
      </c>
      <c r="U8607">
        <v>13.571999999999999</v>
      </c>
    </row>
    <row r="8608" spans="1:21" x14ac:dyDescent="0.35">
      <c r="A8608" t="s">
        <v>958</v>
      </c>
      <c r="B8608" t="s">
        <v>1385</v>
      </c>
      <c r="C8608" t="s">
        <v>55</v>
      </c>
      <c r="D8608" t="s">
        <v>1030</v>
      </c>
      <c r="E8608">
        <v>23.18</v>
      </c>
      <c r="F8608">
        <v>2</v>
      </c>
      <c r="G8608">
        <v>0</v>
      </c>
      <c r="H8608">
        <v>7.6494</v>
      </c>
      <c r="U8608">
        <v>7.6494</v>
      </c>
    </row>
    <row r="8609" spans="1:21" x14ac:dyDescent="0.35">
      <c r="A8609" s="1">
        <v>41735</v>
      </c>
      <c r="B8609" t="s">
        <v>2027</v>
      </c>
      <c r="C8609" t="s">
        <v>55</v>
      </c>
      <c r="D8609" t="s">
        <v>1849</v>
      </c>
      <c r="E8609">
        <v>56.96</v>
      </c>
      <c r="F8609">
        <v>2</v>
      </c>
      <c r="G8609">
        <v>0</v>
      </c>
      <c r="H8609">
        <v>21.075199999999999</v>
      </c>
      <c r="U8609">
        <v>21.075199999999999</v>
      </c>
    </row>
    <row r="8610" spans="1:21" x14ac:dyDescent="0.35">
      <c r="A8610" s="1">
        <v>41735</v>
      </c>
      <c r="B8610" t="s">
        <v>2027</v>
      </c>
      <c r="C8610" t="s">
        <v>55</v>
      </c>
      <c r="D8610" t="s">
        <v>1703</v>
      </c>
      <c r="E8610">
        <v>15.56</v>
      </c>
      <c r="F8610">
        <v>4</v>
      </c>
      <c r="G8610">
        <v>0</v>
      </c>
      <c r="H8610">
        <v>4.0456000000000003</v>
      </c>
      <c r="U8610">
        <v>4.0456000000000003</v>
      </c>
    </row>
    <row r="8611" spans="1:21" x14ac:dyDescent="0.35">
      <c r="A8611" s="1">
        <v>41735</v>
      </c>
      <c r="B8611" t="s">
        <v>2027</v>
      </c>
      <c r="C8611" t="s">
        <v>55</v>
      </c>
      <c r="D8611" t="s">
        <v>1055</v>
      </c>
      <c r="E8611">
        <v>353.56799999999998</v>
      </c>
      <c r="F8611">
        <v>2</v>
      </c>
      <c r="G8611">
        <v>0.2</v>
      </c>
      <c r="H8611">
        <v>-44.195999999999998</v>
      </c>
      <c r="U8611">
        <v>-44.195999999999998</v>
      </c>
    </row>
    <row r="8612" spans="1:21" x14ac:dyDescent="0.35">
      <c r="A8612" s="1">
        <v>41735</v>
      </c>
      <c r="B8612" t="s">
        <v>2027</v>
      </c>
      <c r="C8612" t="s">
        <v>55</v>
      </c>
      <c r="D8612" t="s">
        <v>1339</v>
      </c>
      <c r="E8612">
        <v>13.96</v>
      </c>
      <c r="F8612">
        <v>2</v>
      </c>
      <c r="G8612">
        <v>0</v>
      </c>
      <c r="H8612">
        <v>6.7008000000000001</v>
      </c>
      <c r="U8612">
        <v>6.7008000000000001</v>
      </c>
    </row>
    <row r="8613" spans="1:21" x14ac:dyDescent="0.35">
      <c r="A8613" t="s">
        <v>170</v>
      </c>
      <c r="B8613" t="s">
        <v>1259</v>
      </c>
      <c r="C8613" t="s">
        <v>13</v>
      </c>
      <c r="D8613" t="s">
        <v>2130</v>
      </c>
      <c r="E8613">
        <v>82.95</v>
      </c>
      <c r="F8613">
        <v>5</v>
      </c>
      <c r="G8613">
        <v>0</v>
      </c>
      <c r="H8613">
        <v>29.032499999999999</v>
      </c>
      <c r="U8613">
        <v>29.032499999999999</v>
      </c>
    </row>
    <row r="8614" spans="1:21" x14ac:dyDescent="0.35">
      <c r="A8614" t="s">
        <v>479</v>
      </c>
      <c r="B8614" t="s">
        <v>1553</v>
      </c>
      <c r="C8614" t="s">
        <v>13</v>
      </c>
      <c r="D8614" t="s">
        <v>755</v>
      </c>
      <c r="E8614">
        <v>39.68</v>
      </c>
      <c r="F8614">
        <v>2</v>
      </c>
      <c r="G8614">
        <v>0</v>
      </c>
      <c r="H8614">
        <v>10.316800000000001</v>
      </c>
      <c r="U8614">
        <v>10.316800000000001</v>
      </c>
    </row>
    <row r="8615" spans="1:21" x14ac:dyDescent="0.35">
      <c r="A8615" s="1">
        <v>42624</v>
      </c>
      <c r="B8615" t="s">
        <v>252</v>
      </c>
      <c r="C8615" t="s">
        <v>13</v>
      </c>
      <c r="D8615" t="s">
        <v>519</v>
      </c>
      <c r="E8615">
        <v>479.97</v>
      </c>
      <c r="F8615">
        <v>3</v>
      </c>
      <c r="G8615">
        <v>0</v>
      </c>
      <c r="H8615">
        <v>177.5889</v>
      </c>
      <c r="U8615">
        <v>177.5889</v>
      </c>
    </row>
    <row r="8616" spans="1:21" x14ac:dyDescent="0.35">
      <c r="A8616" s="1">
        <v>42652</v>
      </c>
      <c r="B8616" t="s">
        <v>1526</v>
      </c>
      <c r="C8616" t="s">
        <v>13</v>
      </c>
      <c r="D8616" t="s">
        <v>2498</v>
      </c>
      <c r="E8616">
        <v>7.38</v>
      </c>
      <c r="F8616">
        <v>2</v>
      </c>
      <c r="G8616">
        <v>0</v>
      </c>
      <c r="H8616">
        <v>3.4685999999999999</v>
      </c>
      <c r="U8616">
        <v>3.4685999999999999</v>
      </c>
    </row>
    <row r="8617" spans="1:21" x14ac:dyDescent="0.35">
      <c r="A8617" s="1">
        <v>42652</v>
      </c>
      <c r="B8617" t="s">
        <v>1526</v>
      </c>
      <c r="C8617" t="s">
        <v>13</v>
      </c>
      <c r="D8617" t="s">
        <v>583</v>
      </c>
      <c r="E8617">
        <v>14.256</v>
      </c>
      <c r="F8617">
        <v>3</v>
      </c>
      <c r="G8617">
        <v>0.2</v>
      </c>
      <c r="H8617">
        <v>4.4550000000000001</v>
      </c>
      <c r="U8617">
        <v>4.4550000000000001</v>
      </c>
    </row>
    <row r="8618" spans="1:21" x14ac:dyDescent="0.35">
      <c r="A8618" s="1">
        <v>42652</v>
      </c>
      <c r="B8618" t="s">
        <v>1526</v>
      </c>
      <c r="C8618" t="s">
        <v>13</v>
      </c>
      <c r="D8618" t="s">
        <v>1426</v>
      </c>
      <c r="E8618">
        <v>81.98</v>
      </c>
      <c r="F8618">
        <v>2</v>
      </c>
      <c r="G8618">
        <v>0</v>
      </c>
      <c r="H8618">
        <v>40.170200000000001</v>
      </c>
      <c r="U8618">
        <v>40.170200000000001</v>
      </c>
    </row>
    <row r="8619" spans="1:21" x14ac:dyDescent="0.35">
      <c r="A8619" s="1">
        <v>42652</v>
      </c>
      <c r="B8619" t="s">
        <v>1526</v>
      </c>
      <c r="C8619" t="s">
        <v>13</v>
      </c>
      <c r="D8619" t="s">
        <v>1270</v>
      </c>
      <c r="E8619">
        <v>39.624000000000002</v>
      </c>
      <c r="F8619">
        <v>3</v>
      </c>
      <c r="G8619">
        <v>0.2</v>
      </c>
      <c r="H8619">
        <v>13.868399999999999</v>
      </c>
      <c r="U8619">
        <v>13.868399999999999</v>
      </c>
    </row>
    <row r="8620" spans="1:21" x14ac:dyDescent="0.35">
      <c r="A8620" s="1">
        <v>42797</v>
      </c>
      <c r="B8620" t="s">
        <v>1396</v>
      </c>
      <c r="C8620" t="s">
        <v>13</v>
      </c>
      <c r="D8620" t="s">
        <v>1256</v>
      </c>
      <c r="E8620">
        <v>399.67200000000003</v>
      </c>
      <c r="F8620">
        <v>7</v>
      </c>
      <c r="G8620">
        <v>0.2</v>
      </c>
      <c r="H8620">
        <v>-14.9877</v>
      </c>
      <c r="U8620">
        <v>-14.9877</v>
      </c>
    </row>
    <row r="8621" spans="1:21" x14ac:dyDescent="0.35">
      <c r="A8621" s="1">
        <v>42956</v>
      </c>
      <c r="B8621" t="s">
        <v>1191</v>
      </c>
      <c r="C8621" t="s">
        <v>55</v>
      </c>
      <c r="D8621" t="s">
        <v>2415</v>
      </c>
      <c r="E8621">
        <v>65.12</v>
      </c>
      <c r="F8621">
        <v>4</v>
      </c>
      <c r="G8621">
        <v>0</v>
      </c>
      <c r="H8621">
        <v>16.9312</v>
      </c>
      <c r="U8621">
        <v>16.9312</v>
      </c>
    </row>
    <row r="8622" spans="1:21" x14ac:dyDescent="0.35">
      <c r="A8622" s="1">
        <v>42897</v>
      </c>
      <c r="B8622" t="s">
        <v>2364</v>
      </c>
      <c r="C8622" t="s">
        <v>35</v>
      </c>
      <c r="D8622" t="s">
        <v>1196</v>
      </c>
      <c r="E8622">
        <v>30.56</v>
      </c>
      <c r="F8622">
        <v>5</v>
      </c>
      <c r="G8622">
        <v>0.6</v>
      </c>
      <c r="H8622">
        <v>-19.864000000000001</v>
      </c>
      <c r="U8622">
        <v>-19.864000000000001</v>
      </c>
    </row>
    <row r="8623" spans="1:21" x14ac:dyDescent="0.35">
      <c r="A8623" t="s">
        <v>2112</v>
      </c>
      <c r="B8623" t="s">
        <v>1430</v>
      </c>
      <c r="C8623" t="s">
        <v>8</v>
      </c>
      <c r="D8623" t="s">
        <v>202</v>
      </c>
      <c r="E8623">
        <v>20.768000000000001</v>
      </c>
      <c r="F8623">
        <v>2</v>
      </c>
      <c r="G8623">
        <v>0.2</v>
      </c>
      <c r="H8623">
        <v>2.3363999999999998</v>
      </c>
      <c r="U8623">
        <v>2.3363999999999998</v>
      </c>
    </row>
    <row r="8624" spans="1:21" x14ac:dyDescent="0.35">
      <c r="A8624" t="s">
        <v>1819</v>
      </c>
      <c r="B8624" t="s">
        <v>2162</v>
      </c>
      <c r="C8624" t="s">
        <v>13</v>
      </c>
      <c r="D8624" t="s">
        <v>502</v>
      </c>
      <c r="E8624">
        <v>39.808</v>
      </c>
      <c r="F8624">
        <v>4</v>
      </c>
      <c r="G8624">
        <v>0.2</v>
      </c>
      <c r="H8624">
        <v>3.9807999999999999</v>
      </c>
      <c r="U8624">
        <v>3.9807999999999999</v>
      </c>
    </row>
    <row r="8625" spans="1:21" x14ac:dyDescent="0.35">
      <c r="A8625" t="s">
        <v>210</v>
      </c>
      <c r="B8625" t="s">
        <v>975</v>
      </c>
      <c r="C8625" t="s">
        <v>8</v>
      </c>
      <c r="D8625" t="s">
        <v>1765</v>
      </c>
      <c r="E8625">
        <v>121.104</v>
      </c>
      <c r="F8625">
        <v>6</v>
      </c>
      <c r="G8625">
        <v>0.7</v>
      </c>
      <c r="H8625">
        <v>-100.92</v>
      </c>
      <c r="U8625">
        <v>-100.92</v>
      </c>
    </row>
    <row r="8626" spans="1:21" x14ac:dyDescent="0.35">
      <c r="A8626" t="s">
        <v>210</v>
      </c>
      <c r="B8626" t="s">
        <v>975</v>
      </c>
      <c r="C8626" t="s">
        <v>8</v>
      </c>
      <c r="D8626" t="s">
        <v>1829</v>
      </c>
      <c r="E8626">
        <v>111.96</v>
      </c>
      <c r="F8626">
        <v>5</v>
      </c>
      <c r="G8626">
        <v>0.2</v>
      </c>
      <c r="H8626">
        <v>-1.3995</v>
      </c>
      <c r="U8626">
        <v>-1.3995</v>
      </c>
    </row>
    <row r="8627" spans="1:21" x14ac:dyDescent="0.35">
      <c r="A8627" s="1">
        <v>42228</v>
      </c>
      <c r="B8627" t="s">
        <v>1553</v>
      </c>
      <c r="C8627" t="s">
        <v>13</v>
      </c>
      <c r="D8627" t="s">
        <v>1942</v>
      </c>
      <c r="E8627">
        <v>15.696</v>
      </c>
      <c r="F8627">
        <v>3</v>
      </c>
      <c r="G8627">
        <v>0.2</v>
      </c>
      <c r="H8627">
        <v>5.1012000000000004</v>
      </c>
      <c r="U8627">
        <v>5.1012000000000004</v>
      </c>
    </row>
    <row r="8628" spans="1:21" x14ac:dyDescent="0.35">
      <c r="A8628" s="1">
        <v>42194</v>
      </c>
      <c r="B8628" t="s">
        <v>553</v>
      </c>
      <c r="C8628" t="s">
        <v>55</v>
      </c>
      <c r="D8628" t="s">
        <v>1980</v>
      </c>
      <c r="E8628">
        <v>70.260000000000005</v>
      </c>
      <c r="F8628">
        <v>3</v>
      </c>
      <c r="G8628">
        <v>0</v>
      </c>
      <c r="H8628">
        <v>18.970199999999998</v>
      </c>
      <c r="U8628">
        <v>18.970199999999998</v>
      </c>
    </row>
    <row r="8629" spans="1:21" x14ac:dyDescent="0.35">
      <c r="A8629" s="1">
        <v>42194</v>
      </c>
      <c r="B8629" t="s">
        <v>553</v>
      </c>
      <c r="C8629" t="s">
        <v>55</v>
      </c>
      <c r="D8629" t="s">
        <v>2385</v>
      </c>
      <c r="E8629">
        <v>90</v>
      </c>
      <c r="F8629">
        <v>5</v>
      </c>
      <c r="G8629">
        <v>0</v>
      </c>
      <c r="H8629">
        <v>16.2</v>
      </c>
      <c r="U8629">
        <v>16.2</v>
      </c>
    </row>
    <row r="8630" spans="1:21" x14ac:dyDescent="0.35">
      <c r="A8630" s="1">
        <v>42194</v>
      </c>
      <c r="B8630" t="s">
        <v>553</v>
      </c>
      <c r="C8630" t="s">
        <v>55</v>
      </c>
      <c r="D8630" t="s">
        <v>974</v>
      </c>
      <c r="E8630">
        <v>6.0960000000000001</v>
      </c>
      <c r="F8630">
        <v>2</v>
      </c>
      <c r="G8630">
        <v>0.2</v>
      </c>
      <c r="H8630">
        <v>2.0573999999999999</v>
      </c>
      <c r="U8630">
        <v>2.0573999999999999</v>
      </c>
    </row>
    <row r="8631" spans="1:21" x14ac:dyDescent="0.35">
      <c r="A8631" s="1">
        <v>42194</v>
      </c>
      <c r="B8631" t="s">
        <v>553</v>
      </c>
      <c r="C8631" t="s">
        <v>55</v>
      </c>
      <c r="D8631" t="s">
        <v>2168</v>
      </c>
      <c r="E8631">
        <v>481.17599999999999</v>
      </c>
      <c r="F8631">
        <v>2</v>
      </c>
      <c r="G8631">
        <v>0.4</v>
      </c>
      <c r="H8631">
        <v>-120.294</v>
      </c>
      <c r="U8631">
        <v>-120.294</v>
      </c>
    </row>
    <row r="8632" spans="1:21" x14ac:dyDescent="0.35">
      <c r="A8632" s="1">
        <v>42194</v>
      </c>
      <c r="B8632" t="s">
        <v>553</v>
      </c>
      <c r="C8632" t="s">
        <v>55</v>
      </c>
      <c r="D8632" t="s">
        <v>1380</v>
      </c>
      <c r="E8632">
        <v>7.24</v>
      </c>
      <c r="F8632">
        <v>4</v>
      </c>
      <c r="G8632">
        <v>0</v>
      </c>
      <c r="H8632">
        <v>2.3892000000000002</v>
      </c>
      <c r="U8632">
        <v>2.3892000000000002</v>
      </c>
    </row>
    <row r="8633" spans="1:21" x14ac:dyDescent="0.35">
      <c r="A8633" t="s">
        <v>2626</v>
      </c>
      <c r="B8633" t="s">
        <v>901</v>
      </c>
      <c r="C8633" t="s">
        <v>55</v>
      </c>
      <c r="D8633" t="s">
        <v>1122</v>
      </c>
      <c r="E8633">
        <v>177.45</v>
      </c>
      <c r="F8633">
        <v>5</v>
      </c>
      <c r="G8633">
        <v>0.5</v>
      </c>
      <c r="H8633">
        <v>-78.078000000000003</v>
      </c>
      <c r="U8633">
        <v>-78.078000000000003</v>
      </c>
    </row>
    <row r="8634" spans="1:21" x14ac:dyDescent="0.35">
      <c r="A8634" t="s">
        <v>2626</v>
      </c>
      <c r="B8634" t="s">
        <v>901</v>
      </c>
      <c r="C8634" t="s">
        <v>55</v>
      </c>
      <c r="D8634" t="s">
        <v>1215</v>
      </c>
      <c r="E8634">
        <v>1369.7639999999999</v>
      </c>
      <c r="F8634">
        <v>6</v>
      </c>
      <c r="G8634">
        <v>0.7</v>
      </c>
      <c r="H8634">
        <v>-913.17600000000004</v>
      </c>
      <c r="U8634">
        <v>-913.17600000000004</v>
      </c>
    </row>
    <row r="8635" spans="1:21" x14ac:dyDescent="0.35">
      <c r="A8635" t="s">
        <v>2626</v>
      </c>
      <c r="B8635" t="s">
        <v>901</v>
      </c>
      <c r="C8635" t="s">
        <v>55</v>
      </c>
      <c r="D8635" t="s">
        <v>2535</v>
      </c>
      <c r="E8635">
        <v>9.48</v>
      </c>
      <c r="F8635">
        <v>3</v>
      </c>
      <c r="G8635">
        <v>0.2</v>
      </c>
      <c r="H8635">
        <v>0.71099999999999997</v>
      </c>
      <c r="U8635">
        <v>0.71099999999999997</v>
      </c>
    </row>
    <row r="8636" spans="1:21" x14ac:dyDescent="0.35">
      <c r="A8636" t="s">
        <v>1220</v>
      </c>
      <c r="B8636" t="s">
        <v>1061</v>
      </c>
      <c r="C8636" t="s">
        <v>55</v>
      </c>
      <c r="D8636" t="s">
        <v>9</v>
      </c>
      <c r="E8636">
        <v>130.97999999999999</v>
      </c>
      <c r="F8636">
        <v>2</v>
      </c>
      <c r="G8636">
        <v>0.5</v>
      </c>
      <c r="H8636">
        <v>-89.066400000000002</v>
      </c>
      <c r="U8636">
        <v>-89.066400000000002</v>
      </c>
    </row>
    <row r="8637" spans="1:21" x14ac:dyDescent="0.35">
      <c r="A8637" t="s">
        <v>2511</v>
      </c>
      <c r="B8637" t="s">
        <v>2040</v>
      </c>
      <c r="C8637" t="s">
        <v>8</v>
      </c>
      <c r="D8637" t="s">
        <v>2618</v>
      </c>
      <c r="E8637">
        <v>174.95</v>
      </c>
      <c r="F8637">
        <v>5</v>
      </c>
      <c r="G8637">
        <v>0</v>
      </c>
      <c r="H8637">
        <v>45.487000000000002</v>
      </c>
      <c r="U8637">
        <v>45.487000000000002</v>
      </c>
    </row>
    <row r="8638" spans="1:21" x14ac:dyDescent="0.35">
      <c r="A8638" t="s">
        <v>2511</v>
      </c>
      <c r="B8638" t="s">
        <v>2040</v>
      </c>
      <c r="C8638" t="s">
        <v>8</v>
      </c>
      <c r="D8638" t="s">
        <v>994</v>
      </c>
      <c r="E8638">
        <v>826</v>
      </c>
      <c r="F8638">
        <v>5</v>
      </c>
      <c r="G8638">
        <v>0</v>
      </c>
      <c r="H8638">
        <v>214.76</v>
      </c>
      <c r="U8638">
        <v>214.76</v>
      </c>
    </row>
    <row r="8639" spans="1:21" x14ac:dyDescent="0.35">
      <c r="A8639" t="s">
        <v>1413</v>
      </c>
      <c r="B8639" t="s">
        <v>146</v>
      </c>
      <c r="C8639" t="s">
        <v>13</v>
      </c>
      <c r="D8639" t="s">
        <v>135</v>
      </c>
      <c r="E8639">
        <v>139.58000000000001</v>
      </c>
      <c r="F8639">
        <v>7</v>
      </c>
      <c r="G8639">
        <v>0</v>
      </c>
      <c r="H8639">
        <v>39.0824</v>
      </c>
      <c r="U8639">
        <v>39.0824</v>
      </c>
    </row>
    <row r="8640" spans="1:21" x14ac:dyDescent="0.35">
      <c r="A8640" t="s">
        <v>1099</v>
      </c>
      <c r="B8640" t="s">
        <v>738</v>
      </c>
      <c r="C8640" t="s">
        <v>35</v>
      </c>
      <c r="D8640" t="s">
        <v>1798</v>
      </c>
      <c r="E8640">
        <v>399.95</v>
      </c>
      <c r="F8640">
        <v>5</v>
      </c>
      <c r="G8640">
        <v>0</v>
      </c>
      <c r="H8640">
        <v>143.982</v>
      </c>
      <c r="U8640">
        <v>143.982</v>
      </c>
    </row>
    <row r="8641" spans="1:21" x14ac:dyDescent="0.35">
      <c r="A8641" t="s">
        <v>1833</v>
      </c>
      <c r="B8641" t="s">
        <v>701</v>
      </c>
      <c r="C8641" t="s">
        <v>8</v>
      </c>
      <c r="D8641" t="s">
        <v>1538</v>
      </c>
      <c r="E8641">
        <v>12.39</v>
      </c>
      <c r="F8641">
        <v>3</v>
      </c>
      <c r="G8641">
        <v>0</v>
      </c>
      <c r="H8641">
        <v>5.8232999999999997</v>
      </c>
      <c r="U8641">
        <v>5.8232999999999997</v>
      </c>
    </row>
    <row r="8642" spans="1:21" x14ac:dyDescent="0.35">
      <c r="A8642" s="1">
        <v>43070</v>
      </c>
      <c r="B8642" t="s">
        <v>436</v>
      </c>
      <c r="C8642" t="s">
        <v>35</v>
      </c>
      <c r="D8642" t="s">
        <v>1215</v>
      </c>
      <c r="E8642">
        <v>760.98</v>
      </c>
      <c r="F8642">
        <v>5</v>
      </c>
      <c r="G8642">
        <v>0.8</v>
      </c>
      <c r="H8642">
        <v>-1141.47</v>
      </c>
      <c r="U8642">
        <v>-1141.47</v>
      </c>
    </row>
    <row r="8643" spans="1:21" x14ac:dyDescent="0.35">
      <c r="A8643" s="1">
        <v>42778</v>
      </c>
      <c r="B8643" t="s">
        <v>2063</v>
      </c>
      <c r="C8643" t="s">
        <v>13</v>
      </c>
      <c r="D8643" t="s">
        <v>840</v>
      </c>
      <c r="E8643">
        <v>67.86</v>
      </c>
      <c r="F8643">
        <v>6</v>
      </c>
      <c r="G8643">
        <v>0.7</v>
      </c>
      <c r="H8643">
        <v>-45.24</v>
      </c>
      <c r="U8643">
        <v>-45.24</v>
      </c>
    </row>
    <row r="8644" spans="1:21" x14ac:dyDescent="0.35">
      <c r="A8644" s="1">
        <v>42227</v>
      </c>
      <c r="B8644" t="s">
        <v>1366</v>
      </c>
      <c r="C8644" t="s">
        <v>8</v>
      </c>
      <c r="D8644" t="s">
        <v>564</v>
      </c>
      <c r="E8644">
        <v>31.504000000000001</v>
      </c>
      <c r="F8644">
        <v>11</v>
      </c>
      <c r="G8644">
        <v>0.2</v>
      </c>
      <c r="H8644">
        <v>11.814</v>
      </c>
      <c r="U8644">
        <v>11.814</v>
      </c>
    </row>
    <row r="8645" spans="1:21" x14ac:dyDescent="0.35">
      <c r="A8645" s="1">
        <v>42227</v>
      </c>
      <c r="B8645" t="s">
        <v>1366</v>
      </c>
      <c r="C8645" t="s">
        <v>8</v>
      </c>
      <c r="D8645" t="s">
        <v>2471</v>
      </c>
      <c r="E8645">
        <v>5.04</v>
      </c>
      <c r="F8645">
        <v>1</v>
      </c>
      <c r="G8645">
        <v>0.2</v>
      </c>
      <c r="H8645">
        <v>1.6379999999999999</v>
      </c>
      <c r="U8645">
        <v>1.6379999999999999</v>
      </c>
    </row>
    <row r="8646" spans="1:21" x14ac:dyDescent="0.35">
      <c r="A8646" s="1">
        <v>42227</v>
      </c>
      <c r="B8646" t="s">
        <v>1366</v>
      </c>
      <c r="C8646" t="s">
        <v>8</v>
      </c>
      <c r="D8646" t="s">
        <v>778</v>
      </c>
      <c r="E8646">
        <v>39.878999999999998</v>
      </c>
      <c r="F8646">
        <v>7</v>
      </c>
      <c r="G8646">
        <v>0.7</v>
      </c>
      <c r="H8646">
        <v>-29.244599999999998</v>
      </c>
      <c r="U8646">
        <v>-29.244599999999998</v>
      </c>
    </row>
    <row r="8647" spans="1:21" x14ac:dyDescent="0.35">
      <c r="A8647" s="1">
        <v>42227</v>
      </c>
      <c r="B8647" t="s">
        <v>1366</v>
      </c>
      <c r="C8647" t="s">
        <v>8</v>
      </c>
      <c r="D8647" t="s">
        <v>619</v>
      </c>
      <c r="E8647">
        <v>4.7119999999999997</v>
      </c>
      <c r="F8647">
        <v>1</v>
      </c>
      <c r="G8647">
        <v>0.2</v>
      </c>
      <c r="H8647">
        <v>1.4136</v>
      </c>
      <c r="U8647">
        <v>1.4136</v>
      </c>
    </row>
    <row r="8648" spans="1:21" x14ac:dyDescent="0.35">
      <c r="A8648" t="s">
        <v>1658</v>
      </c>
      <c r="B8648" t="s">
        <v>2383</v>
      </c>
      <c r="C8648" t="s">
        <v>13</v>
      </c>
      <c r="D8648" t="s">
        <v>340</v>
      </c>
      <c r="E8648">
        <v>194.352</v>
      </c>
      <c r="F8648">
        <v>3</v>
      </c>
      <c r="G8648">
        <v>0.2</v>
      </c>
      <c r="H8648">
        <v>19.435199999999998</v>
      </c>
      <c r="U8648">
        <v>19.435199999999998</v>
      </c>
    </row>
    <row r="8649" spans="1:21" x14ac:dyDescent="0.35">
      <c r="A8649" s="1">
        <v>42136</v>
      </c>
      <c r="B8649" t="s">
        <v>2196</v>
      </c>
      <c r="C8649" t="s">
        <v>8</v>
      </c>
      <c r="D8649" t="s">
        <v>427</v>
      </c>
      <c r="E8649">
        <v>97.424000000000007</v>
      </c>
      <c r="F8649">
        <v>2</v>
      </c>
      <c r="G8649">
        <v>0.2</v>
      </c>
      <c r="H8649">
        <v>10.9602</v>
      </c>
      <c r="U8649">
        <v>10.9602</v>
      </c>
    </row>
    <row r="8650" spans="1:21" x14ac:dyDescent="0.35">
      <c r="A8650" t="s">
        <v>2283</v>
      </c>
      <c r="B8650" t="s">
        <v>2221</v>
      </c>
      <c r="C8650" t="s">
        <v>8</v>
      </c>
      <c r="D8650" t="s">
        <v>1253</v>
      </c>
      <c r="E8650">
        <v>704.76</v>
      </c>
      <c r="F8650">
        <v>5</v>
      </c>
      <c r="G8650">
        <v>0.2</v>
      </c>
      <c r="H8650">
        <v>26.4285</v>
      </c>
      <c r="U8650">
        <v>26.4285</v>
      </c>
    </row>
    <row r="8651" spans="1:21" x14ac:dyDescent="0.35">
      <c r="A8651" t="s">
        <v>2283</v>
      </c>
      <c r="B8651" t="s">
        <v>2221</v>
      </c>
      <c r="C8651" t="s">
        <v>8</v>
      </c>
      <c r="D8651" t="s">
        <v>879</v>
      </c>
      <c r="E8651">
        <v>27.396000000000001</v>
      </c>
      <c r="F8651">
        <v>3</v>
      </c>
      <c r="G8651">
        <v>0.7</v>
      </c>
      <c r="H8651">
        <v>-20.090399999999999</v>
      </c>
      <c r="U8651">
        <v>-20.090399999999999</v>
      </c>
    </row>
    <row r="8652" spans="1:21" x14ac:dyDescent="0.35">
      <c r="A8652" t="s">
        <v>428</v>
      </c>
      <c r="B8652" t="s">
        <v>1020</v>
      </c>
      <c r="C8652" t="s">
        <v>13</v>
      </c>
      <c r="D8652" t="s">
        <v>2563</v>
      </c>
      <c r="E8652">
        <v>5.7</v>
      </c>
      <c r="F8652">
        <v>5</v>
      </c>
      <c r="G8652">
        <v>0</v>
      </c>
      <c r="H8652">
        <v>2.6789999999999998</v>
      </c>
      <c r="U8652">
        <v>2.6789999999999998</v>
      </c>
    </row>
    <row r="8653" spans="1:21" x14ac:dyDescent="0.35">
      <c r="A8653" t="s">
        <v>428</v>
      </c>
      <c r="B8653" t="s">
        <v>1020</v>
      </c>
      <c r="C8653" t="s">
        <v>13</v>
      </c>
      <c r="D8653" t="s">
        <v>546</v>
      </c>
      <c r="E8653">
        <v>14.19</v>
      </c>
      <c r="F8653">
        <v>3</v>
      </c>
      <c r="G8653">
        <v>0</v>
      </c>
      <c r="H8653">
        <v>5.5340999999999996</v>
      </c>
      <c r="U8653">
        <v>5.5340999999999996</v>
      </c>
    </row>
    <row r="8654" spans="1:21" x14ac:dyDescent="0.35">
      <c r="A8654" t="s">
        <v>428</v>
      </c>
      <c r="B8654" t="s">
        <v>1020</v>
      </c>
      <c r="C8654" t="s">
        <v>13</v>
      </c>
      <c r="D8654" t="s">
        <v>922</v>
      </c>
      <c r="E8654">
        <v>7.3</v>
      </c>
      <c r="F8654">
        <v>2</v>
      </c>
      <c r="G8654">
        <v>0</v>
      </c>
      <c r="H8654">
        <v>2.19</v>
      </c>
      <c r="U8654">
        <v>2.19</v>
      </c>
    </row>
    <row r="8655" spans="1:21" x14ac:dyDescent="0.35">
      <c r="A8655" t="s">
        <v>428</v>
      </c>
      <c r="B8655" t="s">
        <v>1020</v>
      </c>
      <c r="C8655" t="s">
        <v>13</v>
      </c>
      <c r="D8655" t="s">
        <v>1059</v>
      </c>
      <c r="E8655">
        <v>199.98</v>
      </c>
      <c r="F8655">
        <v>2</v>
      </c>
      <c r="G8655">
        <v>0</v>
      </c>
      <c r="H8655">
        <v>75.992400000000004</v>
      </c>
      <c r="U8655">
        <v>75.992400000000004</v>
      </c>
    </row>
    <row r="8656" spans="1:21" x14ac:dyDescent="0.35">
      <c r="A8656" t="s">
        <v>428</v>
      </c>
      <c r="B8656" t="s">
        <v>1020</v>
      </c>
      <c r="C8656" t="s">
        <v>13</v>
      </c>
      <c r="D8656" t="s">
        <v>2350</v>
      </c>
      <c r="E8656">
        <v>144.96</v>
      </c>
      <c r="F8656">
        <v>4</v>
      </c>
      <c r="G8656">
        <v>0</v>
      </c>
      <c r="H8656">
        <v>60.883200000000002</v>
      </c>
      <c r="U8656">
        <v>60.883200000000002</v>
      </c>
    </row>
    <row r="8657" spans="1:21" x14ac:dyDescent="0.35">
      <c r="A8657" t="s">
        <v>428</v>
      </c>
      <c r="B8657" t="s">
        <v>1020</v>
      </c>
      <c r="C8657" t="s">
        <v>13</v>
      </c>
      <c r="D8657" t="s">
        <v>1670</v>
      </c>
      <c r="E8657">
        <v>118</v>
      </c>
      <c r="F8657">
        <v>2</v>
      </c>
      <c r="G8657">
        <v>0</v>
      </c>
      <c r="H8657">
        <v>20.059999999999999</v>
      </c>
      <c r="U8657">
        <v>20.059999999999999</v>
      </c>
    </row>
    <row r="8658" spans="1:21" x14ac:dyDescent="0.35">
      <c r="A8658" t="s">
        <v>428</v>
      </c>
      <c r="B8658" t="s">
        <v>1020</v>
      </c>
      <c r="C8658" t="s">
        <v>13</v>
      </c>
      <c r="D8658" t="s">
        <v>2240</v>
      </c>
      <c r="E8658">
        <v>48.94</v>
      </c>
      <c r="F8658">
        <v>1</v>
      </c>
      <c r="G8658">
        <v>0</v>
      </c>
      <c r="H8658">
        <v>24.47</v>
      </c>
      <c r="U8658">
        <v>24.47</v>
      </c>
    </row>
    <row r="8659" spans="1:21" x14ac:dyDescent="0.35">
      <c r="A8659" t="s">
        <v>428</v>
      </c>
      <c r="B8659" t="s">
        <v>1020</v>
      </c>
      <c r="C8659" t="s">
        <v>13</v>
      </c>
      <c r="D8659" t="s">
        <v>1917</v>
      </c>
      <c r="E8659">
        <v>22.66</v>
      </c>
      <c r="F8659">
        <v>2</v>
      </c>
      <c r="G8659">
        <v>0</v>
      </c>
      <c r="H8659">
        <v>9.7438000000000002</v>
      </c>
      <c r="U8659">
        <v>9.7438000000000002</v>
      </c>
    </row>
    <row r="8660" spans="1:21" x14ac:dyDescent="0.35">
      <c r="A8660" t="s">
        <v>1549</v>
      </c>
      <c r="B8660" t="s">
        <v>156</v>
      </c>
      <c r="C8660" t="s">
        <v>35</v>
      </c>
      <c r="D8660" t="s">
        <v>1391</v>
      </c>
      <c r="E8660">
        <v>0.83599999999999997</v>
      </c>
      <c r="F8660">
        <v>1</v>
      </c>
      <c r="G8660">
        <v>0.8</v>
      </c>
      <c r="H8660">
        <v>-1.3375999999999999</v>
      </c>
      <c r="U8660">
        <v>-1.3375999999999999</v>
      </c>
    </row>
    <row r="8661" spans="1:21" x14ac:dyDescent="0.35">
      <c r="A8661" s="1">
        <v>42438</v>
      </c>
      <c r="B8661" t="s">
        <v>2023</v>
      </c>
      <c r="C8661" t="s">
        <v>55</v>
      </c>
      <c r="D8661" t="s">
        <v>2204</v>
      </c>
      <c r="E8661">
        <v>30.96</v>
      </c>
      <c r="F8661">
        <v>6</v>
      </c>
      <c r="G8661">
        <v>0.2</v>
      </c>
      <c r="H8661">
        <v>11.223000000000001</v>
      </c>
      <c r="U8661">
        <v>11.223000000000001</v>
      </c>
    </row>
    <row r="8662" spans="1:21" x14ac:dyDescent="0.35">
      <c r="A8662" t="s">
        <v>1875</v>
      </c>
      <c r="B8662" t="s">
        <v>1790</v>
      </c>
      <c r="C8662" t="s">
        <v>8</v>
      </c>
      <c r="D8662" t="s">
        <v>1795</v>
      </c>
      <c r="E8662">
        <v>723.92</v>
      </c>
      <c r="F8662">
        <v>5</v>
      </c>
      <c r="G8662">
        <v>0.2</v>
      </c>
      <c r="H8662">
        <v>-81.441000000000003</v>
      </c>
      <c r="U8662">
        <v>-81.441000000000003</v>
      </c>
    </row>
    <row r="8663" spans="1:21" x14ac:dyDescent="0.35">
      <c r="A8663" s="1">
        <v>42343</v>
      </c>
      <c r="B8663" t="s">
        <v>1753</v>
      </c>
      <c r="C8663" t="s">
        <v>35</v>
      </c>
      <c r="D8663" t="s">
        <v>2500</v>
      </c>
      <c r="E8663">
        <v>21.968</v>
      </c>
      <c r="F8663">
        <v>4</v>
      </c>
      <c r="G8663">
        <v>0.6</v>
      </c>
      <c r="H8663">
        <v>-15.9268</v>
      </c>
      <c r="U8663">
        <v>-15.9268</v>
      </c>
    </row>
    <row r="8664" spans="1:21" x14ac:dyDescent="0.35">
      <c r="A8664" s="1">
        <v>42343</v>
      </c>
      <c r="B8664" t="s">
        <v>1753</v>
      </c>
      <c r="C8664" t="s">
        <v>35</v>
      </c>
      <c r="D8664" t="s">
        <v>1593</v>
      </c>
      <c r="E8664">
        <v>619.15200000000004</v>
      </c>
      <c r="F8664">
        <v>6</v>
      </c>
      <c r="G8664">
        <v>0.2</v>
      </c>
      <c r="H8664">
        <v>69.654600000000002</v>
      </c>
      <c r="U8664">
        <v>69.654600000000002</v>
      </c>
    </row>
    <row r="8665" spans="1:21" x14ac:dyDescent="0.35">
      <c r="A8665" s="1">
        <v>42343</v>
      </c>
      <c r="B8665" t="s">
        <v>1753</v>
      </c>
      <c r="C8665" t="s">
        <v>35</v>
      </c>
      <c r="D8665" t="s">
        <v>1077</v>
      </c>
      <c r="E8665">
        <v>127.904</v>
      </c>
      <c r="F8665">
        <v>7</v>
      </c>
      <c r="G8665">
        <v>0.2</v>
      </c>
      <c r="H8665">
        <v>41.568800000000003</v>
      </c>
      <c r="U8665">
        <v>41.568800000000003</v>
      </c>
    </row>
    <row r="8666" spans="1:21" x14ac:dyDescent="0.35">
      <c r="A8666" t="s">
        <v>2370</v>
      </c>
      <c r="B8666" t="s">
        <v>1041</v>
      </c>
      <c r="C8666" t="s">
        <v>13</v>
      </c>
      <c r="D8666" t="s">
        <v>1862</v>
      </c>
      <c r="E8666">
        <v>94.2</v>
      </c>
      <c r="F8666">
        <v>5</v>
      </c>
      <c r="G8666">
        <v>0</v>
      </c>
      <c r="H8666">
        <v>39.564</v>
      </c>
      <c r="U8666">
        <v>39.564</v>
      </c>
    </row>
    <row r="8667" spans="1:21" x14ac:dyDescent="0.35">
      <c r="A8667" t="s">
        <v>1323</v>
      </c>
      <c r="B8667" t="s">
        <v>2382</v>
      </c>
      <c r="C8667" t="s">
        <v>13</v>
      </c>
      <c r="D8667" t="s">
        <v>1018</v>
      </c>
      <c r="E8667">
        <v>49.5</v>
      </c>
      <c r="F8667">
        <v>5</v>
      </c>
      <c r="G8667">
        <v>0</v>
      </c>
      <c r="H8667">
        <v>13.365</v>
      </c>
      <c r="U8667">
        <v>13.365</v>
      </c>
    </row>
    <row r="8668" spans="1:21" x14ac:dyDescent="0.35">
      <c r="A8668" t="s">
        <v>1628</v>
      </c>
      <c r="B8668" t="s">
        <v>2723</v>
      </c>
      <c r="C8668" t="s">
        <v>55</v>
      </c>
      <c r="D8668" t="s">
        <v>2407</v>
      </c>
      <c r="E8668">
        <v>16.52</v>
      </c>
      <c r="F8668">
        <v>5</v>
      </c>
      <c r="G8668">
        <v>0.2</v>
      </c>
      <c r="H8668">
        <v>1.6519999999999999</v>
      </c>
      <c r="U8668">
        <v>1.6519999999999999</v>
      </c>
    </row>
    <row r="8669" spans="1:21" x14ac:dyDescent="0.35">
      <c r="A8669" t="s">
        <v>989</v>
      </c>
      <c r="B8669" t="s">
        <v>1806</v>
      </c>
      <c r="C8669" t="s">
        <v>13</v>
      </c>
      <c r="D8669" t="s">
        <v>316</v>
      </c>
      <c r="E8669">
        <v>55.36</v>
      </c>
      <c r="F8669">
        <v>4</v>
      </c>
      <c r="G8669">
        <v>0.2</v>
      </c>
      <c r="H8669">
        <v>19.376000000000001</v>
      </c>
      <c r="U8669">
        <v>19.376000000000001</v>
      </c>
    </row>
    <row r="8670" spans="1:21" x14ac:dyDescent="0.35">
      <c r="A8670" t="s">
        <v>989</v>
      </c>
      <c r="B8670" t="s">
        <v>1806</v>
      </c>
      <c r="C8670" t="s">
        <v>13</v>
      </c>
      <c r="D8670" t="s">
        <v>2560</v>
      </c>
      <c r="E8670">
        <v>11.56</v>
      </c>
      <c r="F8670">
        <v>1</v>
      </c>
      <c r="G8670">
        <v>0.2</v>
      </c>
      <c r="H8670">
        <v>3.7570000000000001</v>
      </c>
      <c r="U8670">
        <v>3.7570000000000001</v>
      </c>
    </row>
    <row r="8671" spans="1:21" x14ac:dyDescent="0.35">
      <c r="A8671" t="s">
        <v>595</v>
      </c>
      <c r="B8671" t="s">
        <v>1690</v>
      </c>
      <c r="C8671" t="s">
        <v>13</v>
      </c>
      <c r="D8671" t="s">
        <v>75</v>
      </c>
      <c r="E8671">
        <v>17.12</v>
      </c>
      <c r="F8671">
        <v>4</v>
      </c>
      <c r="G8671">
        <v>0</v>
      </c>
      <c r="H8671">
        <v>7.7039999999999997</v>
      </c>
      <c r="U8671">
        <v>7.7039999999999997</v>
      </c>
    </row>
    <row r="8672" spans="1:21" x14ac:dyDescent="0.35">
      <c r="A8672" t="s">
        <v>1458</v>
      </c>
      <c r="B8672" t="s">
        <v>189</v>
      </c>
      <c r="C8672" t="s">
        <v>55</v>
      </c>
      <c r="D8672" t="s">
        <v>2447</v>
      </c>
      <c r="E8672">
        <v>182.352</v>
      </c>
      <c r="F8672">
        <v>3</v>
      </c>
      <c r="G8672">
        <v>0.2</v>
      </c>
      <c r="H8672">
        <v>-18.235199999999999</v>
      </c>
      <c r="U8672">
        <v>-18.235199999999999</v>
      </c>
    </row>
    <row r="8673" spans="1:21" x14ac:dyDescent="0.35">
      <c r="A8673" t="s">
        <v>1458</v>
      </c>
      <c r="B8673" t="s">
        <v>189</v>
      </c>
      <c r="C8673" t="s">
        <v>55</v>
      </c>
      <c r="D8673" t="s">
        <v>463</v>
      </c>
      <c r="E8673">
        <v>118.16</v>
      </c>
      <c r="F8673">
        <v>2</v>
      </c>
      <c r="G8673">
        <v>0.2</v>
      </c>
      <c r="H8673">
        <v>-25.109000000000002</v>
      </c>
      <c r="U8673">
        <v>-25.109000000000002</v>
      </c>
    </row>
    <row r="8674" spans="1:21" x14ac:dyDescent="0.35">
      <c r="A8674" t="s">
        <v>2427</v>
      </c>
      <c r="B8674" t="s">
        <v>1935</v>
      </c>
      <c r="C8674" t="s">
        <v>35</v>
      </c>
      <c r="D8674" t="s">
        <v>526</v>
      </c>
      <c r="E8674">
        <v>18.367999999999999</v>
      </c>
      <c r="F8674">
        <v>2</v>
      </c>
      <c r="G8674">
        <v>0.2</v>
      </c>
      <c r="H8674">
        <v>6.1992000000000003</v>
      </c>
      <c r="U8674">
        <v>6.1992000000000003</v>
      </c>
    </row>
    <row r="8675" spans="1:21" x14ac:dyDescent="0.35">
      <c r="A8675" t="s">
        <v>2427</v>
      </c>
      <c r="B8675" t="s">
        <v>1935</v>
      </c>
      <c r="C8675" t="s">
        <v>35</v>
      </c>
      <c r="D8675" t="s">
        <v>250</v>
      </c>
      <c r="E8675">
        <v>600.55799999999999</v>
      </c>
      <c r="F8675">
        <v>3</v>
      </c>
      <c r="G8675">
        <v>0.3</v>
      </c>
      <c r="H8675">
        <v>-8.5793999999999997</v>
      </c>
      <c r="U8675">
        <v>-8.5793999999999997</v>
      </c>
    </row>
    <row r="8676" spans="1:21" x14ac:dyDescent="0.35">
      <c r="A8676" t="s">
        <v>2427</v>
      </c>
      <c r="B8676" t="s">
        <v>1935</v>
      </c>
      <c r="C8676" t="s">
        <v>35</v>
      </c>
      <c r="D8676" t="s">
        <v>398</v>
      </c>
      <c r="E8676">
        <v>50.351999999999997</v>
      </c>
      <c r="F8676">
        <v>3</v>
      </c>
      <c r="G8676">
        <v>0.2</v>
      </c>
      <c r="H8676">
        <v>-8.1821999999999999</v>
      </c>
      <c r="U8676">
        <v>-8.1821999999999999</v>
      </c>
    </row>
    <row r="8677" spans="1:21" x14ac:dyDescent="0.35">
      <c r="A8677" t="s">
        <v>2427</v>
      </c>
      <c r="B8677" t="s">
        <v>1935</v>
      </c>
      <c r="C8677" t="s">
        <v>35</v>
      </c>
      <c r="D8677" t="s">
        <v>939</v>
      </c>
      <c r="E8677">
        <v>28.032</v>
      </c>
      <c r="F8677">
        <v>6</v>
      </c>
      <c r="G8677">
        <v>0.2</v>
      </c>
      <c r="H8677">
        <v>3.504</v>
      </c>
      <c r="U8677">
        <v>3.504</v>
      </c>
    </row>
    <row r="8678" spans="1:21" x14ac:dyDescent="0.35">
      <c r="A8678" t="s">
        <v>2427</v>
      </c>
      <c r="B8678" t="s">
        <v>1935</v>
      </c>
      <c r="C8678" t="s">
        <v>35</v>
      </c>
      <c r="D8678" t="s">
        <v>2187</v>
      </c>
      <c r="E8678">
        <v>7.6920000000000002</v>
      </c>
      <c r="F8678">
        <v>1</v>
      </c>
      <c r="G8678">
        <v>0.6</v>
      </c>
      <c r="H8678">
        <v>-3.6537000000000002</v>
      </c>
      <c r="U8678">
        <v>-3.6537000000000002</v>
      </c>
    </row>
    <row r="8679" spans="1:21" x14ac:dyDescent="0.35">
      <c r="A8679" t="s">
        <v>762</v>
      </c>
      <c r="B8679" t="s">
        <v>571</v>
      </c>
      <c r="C8679" t="s">
        <v>35</v>
      </c>
      <c r="D8679" t="s">
        <v>1810</v>
      </c>
      <c r="E8679">
        <v>517.40499999999997</v>
      </c>
      <c r="F8679">
        <v>5</v>
      </c>
      <c r="G8679">
        <v>0.3</v>
      </c>
      <c r="H8679">
        <v>-81.3065</v>
      </c>
      <c r="U8679">
        <v>-81.3065</v>
      </c>
    </row>
    <row r="8680" spans="1:21" x14ac:dyDescent="0.35">
      <c r="A8680" s="1">
        <v>42409</v>
      </c>
      <c r="B8680" t="s">
        <v>1065</v>
      </c>
      <c r="C8680" t="s">
        <v>35</v>
      </c>
      <c r="D8680" t="s">
        <v>1130</v>
      </c>
      <c r="E8680">
        <v>8.6080000000000005</v>
      </c>
      <c r="F8680">
        <v>8</v>
      </c>
      <c r="G8680">
        <v>0.8</v>
      </c>
      <c r="H8680">
        <v>-13.3424</v>
      </c>
      <c r="U8680">
        <v>-13.3424</v>
      </c>
    </row>
    <row r="8681" spans="1:21" x14ac:dyDescent="0.35">
      <c r="A8681" s="1">
        <v>42409</v>
      </c>
      <c r="B8681" t="s">
        <v>1065</v>
      </c>
      <c r="C8681" t="s">
        <v>35</v>
      </c>
      <c r="D8681" t="s">
        <v>1209</v>
      </c>
      <c r="E8681">
        <v>159.56</v>
      </c>
      <c r="F8681">
        <v>5</v>
      </c>
      <c r="G8681">
        <v>0.2</v>
      </c>
      <c r="H8681">
        <v>33.906500000000001</v>
      </c>
      <c r="U8681">
        <v>33.906500000000001</v>
      </c>
    </row>
    <row r="8682" spans="1:21" x14ac:dyDescent="0.35">
      <c r="A8682" s="1">
        <v>42381</v>
      </c>
      <c r="B8682" t="s">
        <v>272</v>
      </c>
      <c r="C8682" t="s">
        <v>8</v>
      </c>
      <c r="D8682" t="s">
        <v>448</v>
      </c>
      <c r="E8682">
        <v>2104.5500000000002</v>
      </c>
      <c r="F8682">
        <v>7</v>
      </c>
      <c r="G8682">
        <v>0</v>
      </c>
      <c r="H8682">
        <v>694.50149999999996</v>
      </c>
      <c r="U8682">
        <v>694.50149999999996</v>
      </c>
    </row>
    <row r="8683" spans="1:21" x14ac:dyDescent="0.35">
      <c r="A8683" s="1">
        <v>42381</v>
      </c>
      <c r="B8683" t="s">
        <v>272</v>
      </c>
      <c r="C8683" t="s">
        <v>8</v>
      </c>
      <c r="D8683" t="s">
        <v>1073</v>
      </c>
      <c r="E8683">
        <v>40.700000000000003</v>
      </c>
      <c r="F8683">
        <v>5</v>
      </c>
      <c r="G8683">
        <v>0</v>
      </c>
      <c r="H8683">
        <v>11.803000000000001</v>
      </c>
      <c r="U8683">
        <v>11.803000000000001</v>
      </c>
    </row>
    <row r="8684" spans="1:21" x14ac:dyDescent="0.35">
      <c r="A8684" s="1">
        <v>41770</v>
      </c>
      <c r="B8684" t="s">
        <v>1004</v>
      </c>
      <c r="C8684" t="s">
        <v>8</v>
      </c>
      <c r="D8684" t="s">
        <v>2150</v>
      </c>
      <c r="E8684">
        <v>47.79</v>
      </c>
      <c r="F8684">
        <v>3</v>
      </c>
      <c r="G8684">
        <v>0</v>
      </c>
      <c r="H8684">
        <v>16.2486</v>
      </c>
      <c r="U8684">
        <v>16.2486</v>
      </c>
    </row>
    <row r="8685" spans="1:21" x14ac:dyDescent="0.35">
      <c r="A8685" t="s">
        <v>1875</v>
      </c>
      <c r="B8685" t="s">
        <v>1302</v>
      </c>
      <c r="C8685" t="s">
        <v>13</v>
      </c>
      <c r="D8685" t="s">
        <v>1199</v>
      </c>
      <c r="E8685">
        <v>5.16</v>
      </c>
      <c r="F8685">
        <v>2</v>
      </c>
      <c r="G8685">
        <v>0</v>
      </c>
      <c r="H8685">
        <v>1.3415999999999999</v>
      </c>
      <c r="U8685">
        <v>1.3415999999999999</v>
      </c>
    </row>
    <row r="8686" spans="1:21" x14ac:dyDescent="0.35">
      <c r="A8686" t="s">
        <v>786</v>
      </c>
      <c r="B8686" t="s">
        <v>776</v>
      </c>
      <c r="C8686" t="s">
        <v>13</v>
      </c>
      <c r="D8686" t="s">
        <v>806</v>
      </c>
      <c r="E8686">
        <v>21.21</v>
      </c>
      <c r="F8686">
        <v>7</v>
      </c>
      <c r="G8686">
        <v>0</v>
      </c>
      <c r="H8686">
        <v>4.4541000000000004</v>
      </c>
      <c r="U8686">
        <v>4.4541000000000004</v>
      </c>
    </row>
    <row r="8687" spans="1:21" x14ac:dyDescent="0.35">
      <c r="A8687" t="s">
        <v>954</v>
      </c>
      <c r="B8687" t="s">
        <v>1634</v>
      </c>
      <c r="C8687" t="s">
        <v>55</v>
      </c>
      <c r="D8687" t="s">
        <v>1954</v>
      </c>
      <c r="E8687">
        <v>96.36</v>
      </c>
      <c r="F8687">
        <v>6</v>
      </c>
      <c r="G8687">
        <v>0</v>
      </c>
      <c r="H8687">
        <v>25.053599999999999</v>
      </c>
      <c r="U8687">
        <v>25.053599999999999</v>
      </c>
    </row>
    <row r="8688" spans="1:21" x14ac:dyDescent="0.35">
      <c r="A8688" t="s">
        <v>801</v>
      </c>
      <c r="B8688" t="s">
        <v>1264</v>
      </c>
      <c r="C8688" t="s">
        <v>13</v>
      </c>
      <c r="D8688" t="s">
        <v>779</v>
      </c>
      <c r="E8688">
        <v>231.72</v>
      </c>
      <c r="F8688">
        <v>2</v>
      </c>
      <c r="G8688">
        <v>0</v>
      </c>
      <c r="H8688">
        <v>11.586</v>
      </c>
      <c r="U8688">
        <v>11.586</v>
      </c>
    </row>
    <row r="8689" spans="1:21" x14ac:dyDescent="0.35">
      <c r="A8689" t="s">
        <v>801</v>
      </c>
      <c r="B8689" t="s">
        <v>1264</v>
      </c>
      <c r="C8689" t="s">
        <v>13</v>
      </c>
      <c r="D8689" t="s">
        <v>564</v>
      </c>
      <c r="E8689">
        <v>17.899999999999999</v>
      </c>
      <c r="F8689">
        <v>5</v>
      </c>
      <c r="G8689">
        <v>0</v>
      </c>
      <c r="H8689">
        <v>8.9499999999999993</v>
      </c>
      <c r="U8689">
        <v>8.9499999999999993</v>
      </c>
    </row>
    <row r="8690" spans="1:21" x14ac:dyDescent="0.35">
      <c r="A8690" t="s">
        <v>801</v>
      </c>
      <c r="B8690" t="s">
        <v>1264</v>
      </c>
      <c r="C8690" t="s">
        <v>13</v>
      </c>
      <c r="D8690" t="s">
        <v>1521</v>
      </c>
      <c r="E8690">
        <v>12.48</v>
      </c>
      <c r="F8690">
        <v>2</v>
      </c>
      <c r="G8690">
        <v>0</v>
      </c>
      <c r="H8690">
        <v>5.6159999999999997</v>
      </c>
      <c r="U8690">
        <v>5.6159999999999997</v>
      </c>
    </row>
    <row r="8691" spans="1:21" x14ac:dyDescent="0.35">
      <c r="A8691" t="s">
        <v>247</v>
      </c>
      <c r="B8691" t="s">
        <v>2273</v>
      </c>
      <c r="C8691" t="s">
        <v>55</v>
      </c>
      <c r="D8691" t="s">
        <v>1933</v>
      </c>
      <c r="E8691">
        <v>8.016</v>
      </c>
      <c r="F8691">
        <v>3</v>
      </c>
      <c r="G8691">
        <v>0.2</v>
      </c>
      <c r="H8691">
        <v>1.1022000000000001</v>
      </c>
      <c r="U8691">
        <v>1.1022000000000001</v>
      </c>
    </row>
    <row r="8692" spans="1:21" x14ac:dyDescent="0.35">
      <c r="A8692" t="s">
        <v>2588</v>
      </c>
      <c r="B8692" t="s">
        <v>294</v>
      </c>
      <c r="C8692" t="s">
        <v>55</v>
      </c>
      <c r="D8692" t="s">
        <v>1674</v>
      </c>
      <c r="E8692">
        <v>259.89600000000002</v>
      </c>
      <c r="F8692">
        <v>2</v>
      </c>
      <c r="G8692">
        <v>0.4</v>
      </c>
      <c r="H8692">
        <v>-56.3108</v>
      </c>
      <c r="U8692">
        <v>-56.3108</v>
      </c>
    </row>
    <row r="8693" spans="1:21" x14ac:dyDescent="0.35">
      <c r="A8693" t="s">
        <v>2588</v>
      </c>
      <c r="B8693" t="s">
        <v>294</v>
      </c>
      <c r="C8693" t="s">
        <v>55</v>
      </c>
      <c r="D8693" t="s">
        <v>1317</v>
      </c>
      <c r="E8693">
        <v>247.18799999999999</v>
      </c>
      <c r="F8693">
        <v>2</v>
      </c>
      <c r="G8693">
        <v>0.4</v>
      </c>
      <c r="H8693">
        <v>-49.437600000000003</v>
      </c>
      <c r="U8693">
        <v>-49.437600000000003</v>
      </c>
    </row>
    <row r="8694" spans="1:21" x14ac:dyDescent="0.35">
      <c r="A8694" t="s">
        <v>2588</v>
      </c>
      <c r="B8694" t="s">
        <v>294</v>
      </c>
      <c r="C8694" t="s">
        <v>55</v>
      </c>
      <c r="D8694" t="s">
        <v>2332</v>
      </c>
      <c r="E8694">
        <v>279.95999999999998</v>
      </c>
      <c r="F8694">
        <v>5</v>
      </c>
      <c r="G8694">
        <v>0.2</v>
      </c>
      <c r="H8694">
        <v>48.993000000000002</v>
      </c>
      <c r="U8694">
        <v>48.993000000000002</v>
      </c>
    </row>
    <row r="8695" spans="1:21" x14ac:dyDescent="0.35">
      <c r="A8695" t="s">
        <v>1227</v>
      </c>
      <c r="B8695" t="s">
        <v>1806</v>
      </c>
      <c r="C8695" t="s">
        <v>13</v>
      </c>
      <c r="D8695" t="s">
        <v>561</v>
      </c>
      <c r="E8695">
        <v>450</v>
      </c>
      <c r="F8695">
        <v>5</v>
      </c>
      <c r="G8695">
        <v>0</v>
      </c>
      <c r="H8695">
        <v>162</v>
      </c>
      <c r="U8695">
        <v>162</v>
      </c>
    </row>
    <row r="8696" spans="1:21" x14ac:dyDescent="0.35">
      <c r="A8696" t="s">
        <v>1949</v>
      </c>
      <c r="B8696" t="s">
        <v>538</v>
      </c>
      <c r="C8696" t="s">
        <v>35</v>
      </c>
      <c r="D8696" t="s">
        <v>999</v>
      </c>
      <c r="E8696">
        <v>19.440000000000001</v>
      </c>
      <c r="F8696">
        <v>3</v>
      </c>
      <c r="G8696">
        <v>0</v>
      </c>
      <c r="H8696">
        <v>9.5256000000000007</v>
      </c>
      <c r="U8696">
        <v>9.5256000000000007</v>
      </c>
    </row>
    <row r="8697" spans="1:21" x14ac:dyDescent="0.35">
      <c r="A8697" t="s">
        <v>86</v>
      </c>
      <c r="B8697" t="s">
        <v>172</v>
      </c>
      <c r="C8697" t="s">
        <v>13</v>
      </c>
      <c r="D8697" t="s">
        <v>433</v>
      </c>
      <c r="E8697">
        <v>300.904</v>
      </c>
      <c r="F8697">
        <v>1</v>
      </c>
      <c r="G8697">
        <v>0.2</v>
      </c>
      <c r="H8697">
        <v>11.283899999999999</v>
      </c>
      <c r="U8697">
        <v>11.283899999999999</v>
      </c>
    </row>
    <row r="8698" spans="1:21" x14ac:dyDescent="0.35">
      <c r="A8698" t="s">
        <v>596</v>
      </c>
      <c r="B8698" t="s">
        <v>551</v>
      </c>
      <c r="C8698" t="s">
        <v>8</v>
      </c>
      <c r="D8698" t="s">
        <v>2032</v>
      </c>
      <c r="E8698">
        <v>239.976</v>
      </c>
      <c r="F8698">
        <v>3</v>
      </c>
      <c r="G8698">
        <v>0.2</v>
      </c>
      <c r="H8698">
        <v>26.997299999999999</v>
      </c>
      <c r="U8698">
        <v>26.997299999999999</v>
      </c>
    </row>
    <row r="8699" spans="1:21" x14ac:dyDescent="0.35">
      <c r="A8699" t="s">
        <v>596</v>
      </c>
      <c r="B8699" t="s">
        <v>551</v>
      </c>
      <c r="C8699" t="s">
        <v>8</v>
      </c>
      <c r="D8699" t="s">
        <v>441</v>
      </c>
      <c r="E8699">
        <v>31.167999999999999</v>
      </c>
      <c r="F8699">
        <v>4</v>
      </c>
      <c r="G8699">
        <v>0.2</v>
      </c>
      <c r="H8699">
        <v>9.3504000000000005</v>
      </c>
      <c r="U8699">
        <v>9.3504000000000005</v>
      </c>
    </row>
    <row r="8700" spans="1:21" x14ac:dyDescent="0.35">
      <c r="A8700" t="s">
        <v>596</v>
      </c>
      <c r="B8700" t="s">
        <v>551</v>
      </c>
      <c r="C8700" t="s">
        <v>8</v>
      </c>
      <c r="D8700" t="s">
        <v>2363</v>
      </c>
      <c r="E8700">
        <v>120.96</v>
      </c>
      <c r="F8700">
        <v>2</v>
      </c>
      <c r="G8700">
        <v>0.4</v>
      </c>
      <c r="H8700">
        <v>-28.224</v>
      </c>
      <c r="U8700">
        <v>-28.224</v>
      </c>
    </row>
    <row r="8701" spans="1:21" x14ac:dyDescent="0.35">
      <c r="A8701" t="s">
        <v>596</v>
      </c>
      <c r="B8701" t="s">
        <v>551</v>
      </c>
      <c r="C8701" t="s">
        <v>8</v>
      </c>
      <c r="D8701" t="s">
        <v>1304</v>
      </c>
      <c r="E8701">
        <v>2239.9360000000001</v>
      </c>
      <c r="F8701">
        <v>8</v>
      </c>
      <c r="G8701">
        <v>0.2</v>
      </c>
      <c r="H8701">
        <v>223.99359999999999</v>
      </c>
      <c r="U8701">
        <v>223.99359999999999</v>
      </c>
    </row>
    <row r="8702" spans="1:21" x14ac:dyDescent="0.35">
      <c r="A8702" t="s">
        <v>596</v>
      </c>
      <c r="B8702" t="s">
        <v>551</v>
      </c>
      <c r="C8702" t="s">
        <v>8</v>
      </c>
      <c r="D8702" t="s">
        <v>691</v>
      </c>
      <c r="E8702">
        <v>76.608000000000004</v>
      </c>
      <c r="F8702">
        <v>8</v>
      </c>
      <c r="G8702">
        <v>0.2</v>
      </c>
      <c r="H8702">
        <v>6.7031999999999998</v>
      </c>
      <c r="U8702">
        <v>6.7031999999999998</v>
      </c>
    </row>
    <row r="8703" spans="1:21" x14ac:dyDescent="0.35">
      <c r="A8703" t="s">
        <v>596</v>
      </c>
      <c r="B8703" t="s">
        <v>551</v>
      </c>
      <c r="C8703" t="s">
        <v>8</v>
      </c>
      <c r="D8703" t="s">
        <v>947</v>
      </c>
      <c r="E8703">
        <v>142.77600000000001</v>
      </c>
      <c r="F8703">
        <v>1</v>
      </c>
      <c r="G8703">
        <v>0.2</v>
      </c>
      <c r="H8703">
        <v>17.847000000000001</v>
      </c>
      <c r="U8703">
        <v>17.847000000000001</v>
      </c>
    </row>
    <row r="8704" spans="1:21" x14ac:dyDescent="0.35">
      <c r="A8704" t="s">
        <v>596</v>
      </c>
      <c r="B8704" t="s">
        <v>551</v>
      </c>
      <c r="C8704" t="s">
        <v>8</v>
      </c>
      <c r="D8704" t="s">
        <v>2724</v>
      </c>
      <c r="E8704">
        <v>91.36</v>
      </c>
      <c r="F8704">
        <v>5</v>
      </c>
      <c r="G8704">
        <v>0.2</v>
      </c>
      <c r="H8704">
        <v>29.692</v>
      </c>
      <c r="U8704">
        <v>29.692</v>
      </c>
    </row>
    <row r="8705" spans="1:21" x14ac:dyDescent="0.35">
      <c r="A8705" s="1">
        <v>42007</v>
      </c>
      <c r="B8705" t="s">
        <v>1020</v>
      </c>
      <c r="C8705" t="s">
        <v>55</v>
      </c>
      <c r="D8705" t="s">
        <v>1801</v>
      </c>
      <c r="E8705">
        <v>3.552</v>
      </c>
      <c r="F8705">
        <v>2</v>
      </c>
      <c r="G8705">
        <v>0.2</v>
      </c>
      <c r="H8705">
        <v>0.44400000000000001</v>
      </c>
      <c r="U8705">
        <v>0.44400000000000001</v>
      </c>
    </row>
    <row r="8706" spans="1:21" x14ac:dyDescent="0.35">
      <c r="A8706" t="s">
        <v>1180</v>
      </c>
      <c r="B8706" t="s">
        <v>2001</v>
      </c>
      <c r="C8706" t="s">
        <v>35</v>
      </c>
      <c r="D8706" t="s">
        <v>2632</v>
      </c>
      <c r="E8706">
        <v>115.136</v>
      </c>
      <c r="F8706">
        <v>8</v>
      </c>
      <c r="G8706">
        <v>0.2</v>
      </c>
      <c r="H8706">
        <v>11.5136</v>
      </c>
      <c r="U8706">
        <v>11.5136</v>
      </c>
    </row>
    <row r="8707" spans="1:21" x14ac:dyDescent="0.35">
      <c r="A8707" s="1">
        <v>41649</v>
      </c>
      <c r="B8707" t="s">
        <v>2494</v>
      </c>
      <c r="C8707" t="s">
        <v>13</v>
      </c>
      <c r="D8707" t="s">
        <v>2715</v>
      </c>
      <c r="E8707">
        <v>4.71</v>
      </c>
      <c r="F8707">
        <v>1</v>
      </c>
      <c r="G8707">
        <v>0</v>
      </c>
      <c r="H8707">
        <v>0</v>
      </c>
      <c r="U8707">
        <v>0</v>
      </c>
    </row>
    <row r="8708" spans="1:21" x14ac:dyDescent="0.35">
      <c r="A8708" s="1">
        <v>41860</v>
      </c>
      <c r="B8708" t="s">
        <v>1605</v>
      </c>
      <c r="C8708" t="s">
        <v>55</v>
      </c>
      <c r="D8708" t="s">
        <v>1636</v>
      </c>
      <c r="E8708">
        <v>172.76400000000001</v>
      </c>
      <c r="F8708">
        <v>2</v>
      </c>
      <c r="G8708">
        <v>0.1</v>
      </c>
      <c r="H8708">
        <v>13.437200000000001</v>
      </c>
      <c r="U8708">
        <v>13.437200000000001</v>
      </c>
    </row>
    <row r="8709" spans="1:21" x14ac:dyDescent="0.35">
      <c r="A8709" s="1">
        <v>41860</v>
      </c>
      <c r="B8709" t="s">
        <v>1605</v>
      </c>
      <c r="C8709" t="s">
        <v>55</v>
      </c>
      <c r="D8709" t="s">
        <v>2022</v>
      </c>
      <c r="E8709">
        <v>3.52</v>
      </c>
      <c r="F8709">
        <v>2</v>
      </c>
      <c r="G8709">
        <v>0</v>
      </c>
      <c r="H8709">
        <v>1.6896</v>
      </c>
      <c r="U8709">
        <v>1.6896</v>
      </c>
    </row>
    <row r="8710" spans="1:21" x14ac:dyDescent="0.35">
      <c r="A8710" t="s">
        <v>2015</v>
      </c>
      <c r="B8710" t="s">
        <v>990</v>
      </c>
      <c r="C8710" t="s">
        <v>13</v>
      </c>
      <c r="D8710" t="s">
        <v>1340</v>
      </c>
      <c r="E8710">
        <v>79.968000000000004</v>
      </c>
      <c r="F8710">
        <v>4</v>
      </c>
      <c r="G8710">
        <v>0.2</v>
      </c>
      <c r="H8710">
        <v>-17.992799999999999</v>
      </c>
      <c r="U8710">
        <v>-17.992799999999999</v>
      </c>
    </row>
    <row r="8711" spans="1:21" x14ac:dyDescent="0.35">
      <c r="A8711" t="s">
        <v>2015</v>
      </c>
      <c r="B8711" t="s">
        <v>990</v>
      </c>
      <c r="C8711" t="s">
        <v>13</v>
      </c>
      <c r="D8711" t="s">
        <v>1038</v>
      </c>
      <c r="E8711">
        <v>305.97449999999998</v>
      </c>
      <c r="F8711">
        <v>3</v>
      </c>
      <c r="G8711">
        <v>0.15</v>
      </c>
      <c r="H8711">
        <v>25.197900000000001</v>
      </c>
      <c r="U8711">
        <v>25.197900000000001</v>
      </c>
    </row>
    <row r="8712" spans="1:21" x14ac:dyDescent="0.35">
      <c r="A8712" t="s">
        <v>2015</v>
      </c>
      <c r="B8712" t="s">
        <v>990</v>
      </c>
      <c r="C8712" t="s">
        <v>13</v>
      </c>
      <c r="D8712" t="s">
        <v>320</v>
      </c>
      <c r="E8712">
        <v>344.91</v>
      </c>
      <c r="F8712">
        <v>3</v>
      </c>
      <c r="G8712">
        <v>0</v>
      </c>
      <c r="H8712">
        <v>10.347300000000001</v>
      </c>
      <c r="U8712">
        <v>10.347300000000001</v>
      </c>
    </row>
    <row r="8713" spans="1:21" x14ac:dyDescent="0.35">
      <c r="A8713" s="1">
        <v>41701</v>
      </c>
      <c r="B8713" t="s">
        <v>1500</v>
      </c>
      <c r="C8713" t="s">
        <v>13</v>
      </c>
      <c r="D8713" t="s">
        <v>1609</v>
      </c>
      <c r="E8713">
        <v>626.35199999999998</v>
      </c>
      <c r="F8713">
        <v>3</v>
      </c>
      <c r="G8713">
        <v>0.2</v>
      </c>
      <c r="H8713">
        <v>-23.488199999999999</v>
      </c>
      <c r="U8713">
        <v>-23.488199999999999</v>
      </c>
    </row>
    <row r="8714" spans="1:21" x14ac:dyDescent="0.35">
      <c r="A8714" s="1">
        <v>42075</v>
      </c>
      <c r="B8714" t="s">
        <v>2118</v>
      </c>
      <c r="C8714" t="s">
        <v>13</v>
      </c>
      <c r="D8714" t="s">
        <v>2128</v>
      </c>
      <c r="E8714">
        <v>359.49900000000002</v>
      </c>
      <c r="F8714">
        <v>3</v>
      </c>
      <c r="G8714">
        <v>0.15</v>
      </c>
      <c r="H8714">
        <v>-29.605799999999999</v>
      </c>
      <c r="U8714">
        <v>-29.605799999999999</v>
      </c>
    </row>
    <row r="8715" spans="1:21" x14ac:dyDescent="0.35">
      <c r="A8715" s="1">
        <v>43046</v>
      </c>
      <c r="B8715" t="s">
        <v>2534</v>
      </c>
      <c r="C8715" t="s">
        <v>13</v>
      </c>
      <c r="D8715" t="s">
        <v>1092</v>
      </c>
      <c r="E8715">
        <v>71.951999999999998</v>
      </c>
      <c r="F8715">
        <v>6</v>
      </c>
      <c r="G8715">
        <v>0.2</v>
      </c>
      <c r="H8715">
        <v>5.3963999999999999</v>
      </c>
      <c r="U8715">
        <v>5.3963999999999999</v>
      </c>
    </row>
    <row r="8716" spans="1:21" x14ac:dyDescent="0.35">
      <c r="A8716" s="1">
        <v>43046</v>
      </c>
      <c r="B8716" t="s">
        <v>2534</v>
      </c>
      <c r="C8716" t="s">
        <v>13</v>
      </c>
      <c r="D8716" t="s">
        <v>1627</v>
      </c>
      <c r="E8716">
        <v>29.8</v>
      </c>
      <c r="F8716">
        <v>5</v>
      </c>
      <c r="G8716">
        <v>0.2</v>
      </c>
      <c r="H8716">
        <v>9.3125</v>
      </c>
      <c r="U8716">
        <v>9.3125</v>
      </c>
    </row>
    <row r="8717" spans="1:21" x14ac:dyDescent="0.35">
      <c r="A8717" t="s">
        <v>171</v>
      </c>
      <c r="B8717" t="s">
        <v>1188</v>
      </c>
      <c r="C8717" t="s">
        <v>55</v>
      </c>
      <c r="D8717" t="s">
        <v>957</v>
      </c>
      <c r="E8717">
        <v>1.8240000000000001</v>
      </c>
      <c r="F8717">
        <v>1</v>
      </c>
      <c r="G8717">
        <v>0.7</v>
      </c>
      <c r="H8717">
        <v>-1.3984000000000001</v>
      </c>
      <c r="U8717">
        <v>-1.3984000000000001</v>
      </c>
    </row>
    <row r="8718" spans="1:21" x14ac:dyDescent="0.35">
      <c r="A8718" s="1">
        <v>42710</v>
      </c>
      <c r="B8718" t="s">
        <v>2014</v>
      </c>
      <c r="C8718" t="s">
        <v>35</v>
      </c>
      <c r="D8718" t="s">
        <v>2230</v>
      </c>
      <c r="E8718">
        <v>64.384</v>
      </c>
      <c r="F8718">
        <v>4</v>
      </c>
      <c r="G8718">
        <v>0.8</v>
      </c>
      <c r="H8718">
        <v>-160.96</v>
      </c>
      <c r="U8718">
        <v>-160.96</v>
      </c>
    </row>
    <row r="8719" spans="1:21" x14ac:dyDescent="0.35">
      <c r="A8719" s="1">
        <v>42710</v>
      </c>
      <c r="B8719" t="s">
        <v>2014</v>
      </c>
      <c r="C8719" t="s">
        <v>35</v>
      </c>
      <c r="D8719" t="s">
        <v>1231</v>
      </c>
      <c r="E8719">
        <v>6.984</v>
      </c>
      <c r="F8719">
        <v>2</v>
      </c>
      <c r="G8719">
        <v>0.6</v>
      </c>
      <c r="H8719">
        <v>-4.5396000000000001</v>
      </c>
      <c r="U8719">
        <v>-4.5396000000000001</v>
      </c>
    </row>
    <row r="8720" spans="1:21" x14ac:dyDescent="0.35">
      <c r="A8720" s="1">
        <v>42710</v>
      </c>
      <c r="B8720" t="s">
        <v>2014</v>
      </c>
      <c r="C8720" t="s">
        <v>35</v>
      </c>
      <c r="D8720" t="s">
        <v>2022</v>
      </c>
      <c r="E8720">
        <v>11.263999999999999</v>
      </c>
      <c r="F8720">
        <v>8</v>
      </c>
      <c r="G8720">
        <v>0.2</v>
      </c>
      <c r="H8720">
        <v>3.9424000000000001</v>
      </c>
      <c r="U8720">
        <v>3.9424000000000001</v>
      </c>
    </row>
    <row r="8721" spans="1:21" x14ac:dyDescent="0.35">
      <c r="A8721" s="1">
        <v>42710</v>
      </c>
      <c r="B8721" t="s">
        <v>2014</v>
      </c>
      <c r="C8721" t="s">
        <v>35</v>
      </c>
      <c r="D8721" t="s">
        <v>2493</v>
      </c>
      <c r="E8721">
        <v>15.552</v>
      </c>
      <c r="F8721">
        <v>3</v>
      </c>
      <c r="G8721">
        <v>0.2</v>
      </c>
      <c r="H8721">
        <v>5.6375999999999999</v>
      </c>
      <c r="U8721">
        <v>5.6375999999999999</v>
      </c>
    </row>
    <row r="8722" spans="1:21" x14ac:dyDescent="0.35">
      <c r="A8722" s="1">
        <v>42710</v>
      </c>
      <c r="B8722" t="s">
        <v>2014</v>
      </c>
      <c r="C8722" t="s">
        <v>35</v>
      </c>
      <c r="D8722" t="s">
        <v>2484</v>
      </c>
      <c r="E8722">
        <v>379.37200000000001</v>
      </c>
      <c r="F8722">
        <v>2</v>
      </c>
      <c r="G8722">
        <v>0.3</v>
      </c>
      <c r="H8722">
        <v>-119.2312</v>
      </c>
      <c r="U8722">
        <v>-119.2312</v>
      </c>
    </row>
    <row r="8723" spans="1:21" x14ac:dyDescent="0.35">
      <c r="A8723" s="1">
        <v>42710</v>
      </c>
      <c r="B8723" t="s">
        <v>2014</v>
      </c>
      <c r="C8723" t="s">
        <v>35</v>
      </c>
      <c r="D8723" t="s">
        <v>1206</v>
      </c>
      <c r="E8723">
        <v>67.536000000000001</v>
      </c>
      <c r="F8723">
        <v>9</v>
      </c>
      <c r="G8723">
        <v>0.2</v>
      </c>
      <c r="H8723">
        <v>6.7535999999999996</v>
      </c>
      <c r="U8723">
        <v>6.7535999999999996</v>
      </c>
    </row>
    <row r="8724" spans="1:21" x14ac:dyDescent="0.35">
      <c r="A8724" s="1">
        <v>42710</v>
      </c>
      <c r="B8724" t="s">
        <v>2014</v>
      </c>
      <c r="C8724" t="s">
        <v>35</v>
      </c>
      <c r="D8724" t="s">
        <v>70</v>
      </c>
      <c r="E8724">
        <v>1.524</v>
      </c>
      <c r="F8724">
        <v>2</v>
      </c>
      <c r="G8724">
        <v>0.8</v>
      </c>
      <c r="H8724">
        <v>-2.6669999999999998</v>
      </c>
      <c r="U8724">
        <v>-2.6669999999999998</v>
      </c>
    </row>
    <row r="8725" spans="1:21" x14ac:dyDescent="0.35">
      <c r="A8725" t="s">
        <v>2108</v>
      </c>
      <c r="B8725" t="s">
        <v>2603</v>
      </c>
      <c r="C8725" t="s">
        <v>8</v>
      </c>
      <c r="D8725" t="s">
        <v>891</v>
      </c>
      <c r="E8725">
        <v>37.408000000000001</v>
      </c>
      <c r="F8725">
        <v>7</v>
      </c>
      <c r="G8725">
        <v>0.2</v>
      </c>
      <c r="H8725">
        <v>13.0928</v>
      </c>
      <c r="U8725">
        <v>13.0928</v>
      </c>
    </row>
    <row r="8726" spans="1:21" x14ac:dyDescent="0.35">
      <c r="A8726" t="s">
        <v>2108</v>
      </c>
      <c r="B8726" t="s">
        <v>2603</v>
      </c>
      <c r="C8726" t="s">
        <v>8</v>
      </c>
      <c r="D8726" t="s">
        <v>2574</v>
      </c>
      <c r="E8726">
        <v>25.344000000000001</v>
      </c>
      <c r="F8726">
        <v>6</v>
      </c>
      <c r="G8726">
        <v>0.2</v>
      </c>
      <c r="H8726">
        <v>8.8704000000000001</v>
      </c>
      <c r="U8726">
        <v>8.8704000000000001</v>
      </c>
    </row>
    <row r="8727" spans="1:21" x14ac:dyDescent="0.35">
      <c r="A8727" t="s">
        <v>1027</v>
      </c>
      <c r="B8727" t="s">
        <v>1285</v>
      </c>
      <c r="C8727" t="s">
        <v>13</v>
      </c>
      <c r="D8727" t="s">
        <v>1208</v>
      </c>
      <c r="E8727">
        <v>46.2</v>
      </c>
      <c r="F8727">
        <v>4</v>
      </c>
      <c r="G8727">
        <v>0</v>
      </c>
      <c r="H8727">
        <v>21.251999999999999</v>
      </c>
      <c r="U8727">
        <v>21.251999999999999</v>
      </c>
    </row>
    <row r="8728" spans="1:21" x14ac:dyDescent="0.35">
      <c r="A8728" t="s">
        <v>79</v>
      </c>
      <c r="B8728" t="s">
        <v>556</v>
      </c>
      <c r="C8728" t="s">
        <v>8</v>
      </c>
      <c r="D8728" t="s">
        <v>2717</v>
      </c>
      <c r="E8728">
        <v>4.7279999999999998</v>
      </c>
      <c r="F8728">
        <v>3</v>
      </c>
      <c r="G8728">
        <v>0.2</v>
      </c>
      <c r="H8728">
        <v>0.70920000000000005</v>
      </c>
      <c r="U8728">
        <v>0.70920000000000005</v>
      </c>
    </row>
    <row r="8729" spans="1:21" x14ac:dyDescent="0.35">
      <c r="A8729" t="s">
        <v>79</v>
      </c>
      <c r="B8729" t="s">
        <v>556</v>
      </c>
      <c r="C8729" t="s">
        <v>8</v>
      </c>
      <c r="D8729" t="s">
        <v>2714</v>
      </c>
      <c r="E8729">
        <v>53.351999999999997</v>
      </c>
      <c r="F8729">
        <v>3</v>
      </c>
      <c r="G8729">
        <v>0.2</v>
      </c>
      <c r="H8729">
        <v>16.005600000000001</v>
      </c>
      <c r="U8729">
        <v>16.005600000000001</v>
      </c>
    </row>
    <row r="8730" spans="1:21" x14ac:dyDescent="0.35">
      <c r="A8730" t="s">
        <v>79</v>
      </c>
      <c r="B8730" t="s">
        <v>556</v>
      </c>
      <c r="C8730" t="s">
        <v>8</v>
      </c>
      <c r="D8730" t="s">
        <v>2487</v>
      </c>
      <c r="E8730">
        <v>131.10400000000001</v>
      </c>
      <c r="F8730">
        <v>2</v>
      </c>
      <c r="G8730">
        <v>0.2</v>
      </c>
      <c r="H8730">
        <v>8.1940000000000008</v>
      </c>
      <c r="U8730">
        <v>8.1940000000000008</v>
      </c>
    </row>
    <row r="8731" spans="1:21" x14ac:dyDescent="0.35">
      <c r="A8731" t="s">
        <v>79</v>
      </c>
      <c r="B8731" t="s">
        <v>556</v>
      </c>
      <c r="C8731" t="s">
        <v>8</v>
      </c>
      <c r="D8731" t="s">
        <v>1206</v>
      </c>
      <c r="E8731">
        <v>22.512</v>
      </c>
      <c r="F8731">
        <v>3</v>
      </c>
      <c r="G8731">
        <v>0.2</v>
      </c>
      <c r="H8731">
        <v>2.2511999999999999</v>
      </c>
      <c r="U8731">
        <v>2.2511999999999999</v>
      </c>
    </row>
    <row r="8732" spans="1:21" x14ac:dyDescent="0.35">
      <c r="A8732" t="s">
        <v>79</v>
      </c>
      <c r="B8732" t="s">
        <v>556</v>
      </c>
      <c r="C8732" t="s">
        <v>8</v>
      </c>
      <c r="D8732" t="s">
        <v>2220</v>
      </c>
      <c r="E8732">
        <v>72.744</v>
      </c>
      <c r="F8732">
        <v>7</v>
      </c>
      <c r="G8732">
        <v>0.2</v>
      </c>
      <c r="H8732">
        <v>-12.7302</v>
      </c>
      <c r="U8732">
        <v>-12.7302</v>
      </c>
    </row>
    <row r="8733" spans="1:21" x14ac:dyDescent="0.35">
      <c r="A8733" t="s">
        <v>489</v>
      </c>
      <c r="B8733" t="s">
        <v>1072</v>
      </c>
      <c r="C8733" t="s">
        <v>35</v>
      </c>
      <c r="D8733" t="s">
        <v>678</v>
      </c>
      <c r="E8733">
        <v>52.59</v>
      </c>
      <c r="F8733">
        <v>3</v>
      </c>
      <c r="G8733">
        <v>0</v>
      </c>
      <c r="H8733">
        <v>15.776999999999999</v>
      </c>
      <c r="U8733">
        <v>15.776999999999999</v>
      </c>
    </row>
    <row r="8734" spans="1:21" x14ac:dyDescent="0.35">
      <c r="A8734" t="s">
        <v>1168</v>
      </c>
      <c r="B8734" t="s">
        <v>1634</v>
      </c>
      <c r="C8734" t="s">
        <v>13</v>
      </c>
      <c r="D8734" t="s">
        <v>2277</v>
      </c>
      <c r="E8734">
        <v>19.440000000000001</v>
      </c>
      <c r="F8734">
        <v>3</v>
      </c>
      <c r="G8734">
        <v>0</v>
      </c>
      <c r="H8734">
        <v>9.3312000000000008</v>
      </c>
      <c r="U8734">
        <v>9.3312000000000008</v>
      </c>
    </row>
    <row r="8735" spans="1:21" x14ac:dyDescent="0.35">
      <c r="A8735" t="s">
        <v>1168</v>
      </c>
      <c r="B8735" t="s">
        <v>1634</v>
      </c>
      <c r="C8735" t="s">
        <v>13</v>
      </c>
      <c r="D8735" t="s">
        <v>852</v>
      </c>
      <c r="E8735">
        <v>126.3</v>
      </c>
      <c r="F8735">
        <v>3</v>
      </c>
      <c r="G8735">
        <v>0</v>
      </c>
      <c r="H8735">
        <v>40.415999999999997</v>
      </c>
      <c r="U8735">
        <v>40.415999999999997</v>
      </c>
    </row>
    <row r="8736" spans="1:21" x14ac:dyDescent="0.35">
      <c r="A8736" t="s">
        <v>1168</v>
      </c>
      <c r="B8736" t="s">
        <v>1634</v>
      </c>
      <c r="C8736" t="s">
        <v>13</v>
      </c>
      <c r="D8736" t="s">
        <v>435</v>
      </c>
      <c r="E8736">
        <v>1287.45</v>
      </c>
      <c r="F8736">
        <v>5</v>
      </c>
      <c r="G8736">
        <v>0</v>
      </c>
      <c r="H8736">
        <v>244.6155</v>
      </c>
      <c r="U8736">
        <v>244.6155</v>
      </c>
    </row>
    <row r="8737" spans="1:21" x14ac:dyDescent="0.35">
      <c r="A8737" s="1">
        <v>41822</v>
      </c>
      <c r="B8737" t="s">
        <v>1105</v>
      </c>
      <c r="C8737" t="s">
        <v>55</v>
      </c>
      <c r="D8737" t="s">
        <v>1258</v>
      </c>
      <c r="E8737">
        <v>64.959999999999994</v>
      </c>
      <c r="F8737">
        <v>4</v>
      </c>
      <c r="G8737">
        <v>0</v>
      </c>
      <c r="H8737">
        <v>9.7439999999999998</v>
      </c>
      <c r="U8737">
        <v>9.7439999999999998</v>
      </c>
    </row>
    <row r="8738" spans="1:21" x14ac:dyDescent="0.35">
      <c r="A8738" s="1">
        <v>42469</v>
      </c>
      <c r="B8738" t="s">
        <v>1828</v>
      </c>
      <c r="C8738" t="s">
        <v>35</v>
      </c>
      <c r="D8738" t="s">
        <v>947</v>
      </c>
      <c r="E8738">
        <v>535.41</v>
      </c>
      <c r="F8738">
        <v>3</v>
      </c>
      <c r="G8738">
        <v>0</v>
      </c>
      <c r="H8738">
        <v>160.62299999999999</v>
      </c>
      <c r="U8738">
        <v>160.62299999999999</v>
      </c>
    </row>
    <row r="8739" spans="1:21" x14ac:dyDescent="0.35">
      <c r="A8739" s="1">
        <v>42890</v>
      </c>
      <c r="B8739" t="s">
        <v>2463</v>
      </c>
      <c r="C8739" t="s">
        <v>8</v>
      </c>
      <c r="D8739" t="s">
        <v>1389</v>
      </c>
      <c r="E8739">
        <v>8.1</v>
      </c>
      <c r="F8739">
        <v>5</v>
      </c>
      <c r="G8739">
        <v>0.7</v>
      </c>
      <c r="H8739">
        <v>-5.94</v>
      </c>
      <c r="U8739">
        <v>-5.94</v>
      </c>
    </row>
    <row r="8740" spans="1:21" x14ac:dyDescent="0.35">
      <c r="A8740" s="1">
        <v>42959</v>
      </c>
      <c r="B8740" t="s">
        <v>315</v>
      </c>
      <c r="C8740" t="s">
        <v>55</v>
      </c>
      <c r="D8740" t="s">
        <v>318</v>
      </c>
      <c r="E8740">
        <v>13.247999999999999</v>
      </c>
      <c r="F8740">
        <v>4</v>
      </c>
      <c r="G8740">
        <v>0.2</v>
      </c>
      <c r="H8740">
        <v>3.6432000000000002</v>
      </c>
      <c r="U8740">
        <v>3.6432000000000002</v>
      </c>
    </row>
    <row r="8741" spans="1:21" x14ac:dyDescent="0.35">
      <c r="A8741" s="1">
        <v>42959</v>
      </c>
      <c r="B8741" t="s">
        <v>315</v>
      </c>
      <c r="C8741" t="s">
        <v>55</v>
      </c>
      <c r="D8741" t="s">
        <v>814</v>
      </c>
      <c r="E8741">
        <v>83.988</v>
      </c>
      <c r="F8741">
        <v>2</v>
      </c>
      <c r="G8741">
        <v>0.4</v>
      </c>
      <c r="H8741">
        <v>-20.997</v>
      </c>
      <c r="U8741">
        <v>-20.997</v>
      </c>
    </row>
    <row r="8742" spans="1:21" x14ac:dyDescent="0.35">
      <c r="A8742" t="s">
        <v>1419</v>
      </c>
      <c r="B8742" t="s">
        <v>1753</v>
      </c>
      <c r="C8742" t="s">
        <v>8</v>
      </c>
      <c r="D8742" t="s">
        <v>1745</v>
      </c>
      <c r="E8742">
        <v>73.2</v>
      </c>
      <c r="F8742">
        <v>5</v>
      </c>
      <c r="G8742">
        <v>0</v>
      </c>
      <c r="H8742">
        <v>21.228000000000002</v>
      </c>
      <c r="U8742">
        <v>21.228000000000002</v>
      </c>
    </row>
    <row r="8743" spans="1:21" x14ac:dyDescent="0.35">
      <c r="A8743" s="1">
        <v>42258</v>
      </c>
      <c r="B8743" t="s">
        <v>1222</v>
      </c>
      <c r="C8743" t="s">
        <v>35</v>
      </c>
      <c r="D8743" t="s">
        <v>357</v>
      </c>
      <c r="E8743">
        <v>10.74</v>
      </c>
      <c r="F8743">
        <v>3</v>
      </c>
      <c r="G8743">
        <v>0</v>
      </c>
      <c r="H8743">
        <v>5.1551999999999998</v>
      </c>
      <c r="U8743">
        <v>5.1551999999999998</v>
      </c>
    </row>
    <row r="8744" spans="1:21" x14ac:dyDescent="0.35">
      <c r="A8744" s="1">
        <v>42045</v>
      </c>
      <c r="B8744" t="s">
        <v>945</v>
      </c>
      <c r="C8744" t="s">
        <v>13</v>
      </c>
      <c r="D8744" t="s">
        <v>196</v>
      </c>
      <c r="E8744">
        <v>11.032</v>
      </c>
      <c r="F8744">
        <v>1</v>
      </c>
      <c r="G8744">
        <v>0.2</v>
      </c>
      <c r="H8744">
        <v>3.0337999999999998</v>
      </c>
      <c r="U8744">
        <v>3.0337999999999998</v>
      </c>
    </row>
    <row r="8745" spans="1:21" x14ac:dyDescent="0.35">
      <c r="A8745" s="1">
        <v>42045</v>
      </c>
      <c r="B8745" t="s">
        <v>945</v>
      </c>
      <c r="C8745" t="s">
        <v>13</v>
      </c>
      <c r="D8745" t="s">
        <v>361</v>
      </c>
      <c r="E8745">
        <v>53.04</v>
      </c>
      <c r="F8745">
        <v>3</v>
      </c>
      <c r="G8745">
        <v>0.2</v>
      </c>
      <c r="H8745">
        <v>-4.641</v>
      </c>
      <c r="U8745">
        <v>-4.641</v>
      </c>
    </row>
    <row r="8746" spans="1:21" x14ac:dyDescent="0.35">
      <c r="A8746" t="s">
        <v>33</v>
      </c>
      <c r="B8746" t="s">
        <v>2722</v>
      </c>
      <c r="C8746" t="s">
        <v>55</v>
      </c>
      <c r="D8746" t="s">
        <v>46</v>
      </c>
      <c r="E8746">
        <v>17.12</v>
      </c>
      <c r="F8746">
        <v>4</v>
      </c>
      <c r="G8746">
        <v>0</v>
      </c>
      <c r="H8746">
        <v>4.9648000000000003</v>
      </c>
      <c r="U8746">
        <v>4.9648000000000003</v>
      </c>
    </row>
    <row r="8747" spans="1:21" x14ac:dyDescent="0.35">
      <c r="A8747" t="s">
        <v>33</v>
      </c>
      <c r="B8747" t="s">
        <v>2722</v>
      </c>
      <c r="C8747" t="s">
        <v>55</v>
      </c>
      <c r="D8747" t="s">
        <v>2655</v>
      </c>
      <c r="E8747">
        <v>59.94</v>
      </c>
      <c r="F8747">
        <v>3</v>
      </c>
      <c r="G8747">
        <v>0</v>
      </c>
      <c r="H8747">
        <v>28.171800000000001</v>
      </c>
      <c r="U8747">
        <v>28.171800000000001</v>
      </c>
    </row>
    <row r="8748" spans="1:21" x14ac:dyDescent="0.35">
      <c r="A8748" s="1">
        <v>42768</v>
      </c>
      <c r="B8748" t="s">
        <v>2174</v>
      </c>
      <c r="C8748" t="s">
        <v>13</v>
      </c>
      <c r="D8748" t="s">
        <v>1371</v>
      </c>
      <c r="E8748">
        <v>210.58</v>
      </c>
      <c r="F8748">
        <v>2</v>
      </c>
      <c r="G8748">
        <v>0</v>
      </c>
      <c r="H8748">
        <v>12.6348</v>
      </c>
      <c r="U8748">
        <v>12.6348</v>
      </c>
    </row>
    <row r="8749" spans="1:21" x14ac:dyDescent="0.35">
      <c r="A8749" s="1">
        <v>42768</v>
      </c>
      <c r="B8749" t="s">
        <v>2174</v>
      </c>
      <c r="C8749" t="s">
        <v>13</v>
      </c>
      <c r="D8749" t="s">
        <v>1093</v>
      </c>
      <c r="E8749">
        <v>30.96</v>
      </c>
      <c r="F8749">
        <v>2</v>
      </c>
      <c r="G8749">
        <v>0.2</v>
      </c>
      <c r="H8749">
        <v>10.061999999999999</v>
      </c>
      <c r="U8749">
        <v>10.061999999999999</v>
      </c>
    </row>
    <row r="8750" spans="1:21" x14ac:dyDescent="0.35">
      <c r="A8750" s="1">
        <v>42768</v>
      </c>
      <c r="B8750" t="s">
        <v>2174</v>
      </c>
      <c r="C8750" t="s">
        <v>13</v>
      </c>
      <c r="D8750" t="s">
        <v>2613</v>
      </c>
      <c r="E8750">
        <v>239.98400000000001</v>
      </c>
      <c r="F8750">
        <v>2</v>
      </c>
      <c r="G8750">
        <v>0.2</v>
      </c>
      <c r="H8750">
        <v>38.997399999999999</v>
      </c>
      <c r="U8750">
        <v>38.997399999999999</v>
      </c>
    </row>
    <row r="8751" spans="1:21" x14ac:dyDescent="0.35">
      <c r="A8751" t="s">
        <v>1344</v>
      </c>
      <c r="B8751" t="s">
        <v>265</v>
      </c>
      <c r="C8751" t="s">
        <v>55</v>
      </c>
      <c r="D8751" t="s">
        <v>849</v>
      </c>
      <c r="E8751">
        <v>3050.3760000000002</v>
      </c>
      <c r="F8751">
        <v>3</v>
      </c>
      <c r="G8751">
        <v>0.2</v>
      </c>
      <c r="H8751">
        <v>1143.8910000000001</v>
      </c>
      <c r="U8751">
        <v>1143.8910000000001</v>
      </c>
    </row>
    <row r="8752" spans="1:21" x14ac:dyDescent="0.35">
      <c r="A8752" t="s">
        <v>1344</v>
      </c>
      <c r="B8752" t="s">
        <v>265</v>
      </c>
      <c r="C8752" t="s">
        <v>55</v>
      </c>
      <c r="D8752" t="s">
        <v>1771</v>
      </c>
      <c r="E8752">
        <v>133.97999999999999</v>
      </c>
      <c r="F8752">
        <v>2</v>
      </c>
      <c r="G8752">
        <v>0</v>
      </c>
      <c r="H8752">
        <v>33.494999999999997</v>
      </c>
      <c r="U8752">
        <v>33.494999999999997</v>
      </c>
    </row>
    <row r="8753" spans="1:21" x14ac:dyDescent="0.35">
      <c r="A8753" s="1">
        <v>42495</v>
      </c>
      <c r="B8753" t="s">
        <v>204</v>
      </c>
      <c r="C8753" t="s">
        <v>8</v>
      </c>
      <c r="D8753" t="s">
        <v>2725</v>
      </c>
      <c r="E8753">
        <v>93.248000000000005</v>
      </c>
      <c r="F8753">
        <v>4</v>
      </c>
      <c r="G8753">
        <v>0.2</v>
      </c>
      <c r="H8753">
        <v>31.4712</v>
      </c>
      <c r="U8753">
        <v>31.4712</v>
      </c>
    </row>
    <row r="8754" spans="1:21" x14ac:dyDescent="0.35">
      <c r="A8754" s="1">
        <v>42495</v>
      </c>
      <c r="B8754" t="s">
        <v>204</v>
      </c>
      <c r="C8754" t="s">
        <v>8</v>
      </c>
      <c r="D8754" t="s">
        <v>1907</v>
      </c>
      <c r="E8754">
        <v>177.48</v>
      </c>
      <c r="F8754">
        <v>3</v>
      </c>
      <c r="G8754">
        <v>0.2</v>
      </c>
      <c r="H8754">
        <v>19.9665</v>
      </c>
      <c r="U8754">
        <v>19.9665</v>
      </c>
    </row>
    <row r="8755" spans="1:21" x14ac:dyDescent="0.35">
      <c r="A8755" s="1">
        <v>42987</v>
      </c>
      <c r="B8755" t="s">
        <v>1921</v>
      </c>
      <c r="C8755" t="s">
        <v>55</v>
      </c>
      <c r="D8755" t="s">
        <v>1841</v>
      </c>
      <c r="E8755">
        <v>17.712</v>
      </c>
      <c r="F8755">
        <v>6</v>
      </c>
      <c r="G8755">
        <v>0.2</v>
      </c>
      <c r="H8755">
        <v>5.9778000000000002</v>
      </c>
      <c r="U8755">
        <v>5.9778000000000002</v>
      </c>
    </row>
    <row r="8756" spans="1:21" x14ac:dyDescent="0.35">
      <c r="A8756" s="1">
        <v>42987</v>
      </c>
      <c r="B8756" t="s">
        <v>1921</v>
      </c>
      <c r="C8756" t="s">
        <v>55</v>
      </c>
      <c r="D8756" t="s">
        <v>1389</v>
      </c>
      <c r="E8756">
        <v>4.8600000000000003</v>
      </c>
      <c r="F8756">
        <v>3</v>
      </c>
      <c r="G8756">
        <v>0.7</v>
      </c>
      <c r="H8756">
        <v>-3.5640000000000001</v>
      </c>
      <c r="U8756">
        <v>-3.5640000000000001</v>
      </c>
    </row>
    <row r="8757" spans="1:21" x14ac:dyDescent="0.35">
      <c r="A8757" s="1">
        <v>42987</v>
      </c>
      <c r="B8757" t="s">
        <v>1921</v>
      </c>
      <c r="C8757" t="s">
        <v>55</v>
      </c>
      <c r="D8757" t="s">
        <v>1821</v>
      </c>
      <c r="E8757">
        <v>6.258</v>
      </c>
      <c r="F8757">
        <v>2</v>
      </c>
      <c r="G8757">
        <v>0.7</v>
      </c>
      <c r="H8757">
        <v>-5.2149999999999999</v>
      </c>
      <c r="U8757">
        <v>-5.2149999999999999</v>
      </c>
    </row>
    <row r="8758" spans="1:21" x14ac:dyDescent="0.35">
      <c r="A8758" t="s">
        <v>90</v>
      </c>
      <c r="B8758" t="s">
        <v>2419</v>
      </c>
      <c r="C8758" t="s">
        <v>55</v>
      </c>
      <c r="D8758" t="s">
        <v>1001</v>
      </c>
      <c r="E8758">
        <v>37.68</v>
      </c>
      <c r="F8758">
        <v>2</v>
      </c>
      <c r="G8758">
        <v>0</v>
      </c>
      <c r="H8758">
        <v>10.5504</v>
      </c>
      <c r="U8758">
        <v>10.5504</v>
      </c>
    </row>
    <row r="8759" spans="1:21" x14ac:dyDescent="0.35">
      <c r="A8759" t="s">
        <v>90</v>
      </c>
      <c r="B8759" t="s">
        <v>2419</v>
      </c>
      <c r="C8759" t="s">
        <v>55</v>
      </c>
      <c r="D8759" t="s">
        <v>511</v>
      </c>
      <c r="E8759">
        <v>51.84</v>
      </c>
      <c r="F8759">
        <v>8</v>
      </c>
      <c r="G8759">
        <v>0</v>
      </c>
      <c r="H8759">
        <v>24.883199999999999</v>
      </c>
      <c r="U8759">
        <v>24.883199999999999</v>
      </c>
    </row>
    <row r="8760" spans="1:21" x14ac:dyDescent="0.35">
      <c r="A8760" t="s">
        <v>90</v>
      </c>
      <c r="B8760" t="s">
        <v>2419</v>
      </c>
      <c r="C8760" t="s">
        <v>55</v>
      </c>
      <c r="D8760" t="s">
        <v>1151</v>
      </c>
      <c r="E8760">
        <v>27.42</v>
      </c>
      <c r="F8760">
        <v>3</v>
      </c>
      <c r="G8760">
        <v>0</v>
      </c>
      <c r="H8760">
        <v>9.3228000000000009</v>
      </c>
      <c r="U8760">
        <v>9.3228000000000009</v>
      </c>
    </row>
    <row r="8761" spans="1:21" x14ac:dyDescent="0.35">
      <c r="A8761" t="s">
        <v>90</v>
      </c>
      <c r="B8761" t="s">
        <v>2419</v>
      </c>
      <c r="C8761" t="s">
        <v>55</v>
      </c>
      <c r="D8761" t="s">
        <v>1298</v>
      </c>
      <c r="E8761">
        <v>5.4</v>
      </c>
      <c r="F8761">
        <v>3</v>
      </c>
      <c r="G8761">
        <v>0</v>
      </c>
      <c r="H8761">
        <v>2.5920000000000001</v>
      </c>
      <c r="U8761">
        <v>2.5920000000000001</v>
      </c>
    </row>
    <row r="8762" spans="1:21" x14ac:dyDescent="0.35">
      <c r="A8762" t="s">
        <v>2573</v>
      </c>
      <c r="B8762" t="s">
        <v>1486</v>
      </c>
      <c r="C8762" t="s">
        <v>8</v>
      </c>
      <c r="D8762" t="s">
        <v>849</v>
      </c>
      <c r="E8762">
        <v>1270.99</v>
      </c>
      <c r="F8762">
        <v>1</v>
      </c>
      <c r="G8762">
        <v>0</v>
      </c>
      <c r="H8762">
        <v>635.495</v>
      </c>
      <c r="U8762">
        <v>635.495</v>
      </c>
    </row>
    <row r="8763" spans="1:21" x14ac:dyDescent="0.35">
      <c r="A8763" t="s">
        <v>2573</v>
      </c>
      <c r="B8763" t="s">
        <v>1486</v>
      </c>
      <c r="C8763" t="s">
        <v>8</v>
      </c>
      <c r="D8763" t="s">
        <v>2141</v>
      </c>
      <c r="E8763">
        <v>125.36</v>
      </c>
      <c r="F8763">
        <v>8</v>
      </c>
      <c r="G8763">
        <v>0</v>
      </c>
      <c r="H8763">
        <v>58.919199999999996</v>
      </c>
      <c r="U8763">
        <v>58.919199999999996</v>
      </c>
    </row>
    <row r="8764" spans="1:21" x14ac:dyDescent="0.35">
      <c r="A8764" t="s">
        <v>2108</v>
      </c>
      <c r="B8764" t="s">
        <v>1388</v>
      </c>
      <c r="C8764" t="s">
        <v>13</v>
      </c>
      <c r="D8764" t="s">
        <v>1333</v>
      </c>
      <c r="E8764">
        <v>14.03</v>
      </c>
      <c r="F8764">
        <v>1</v>
      </c>
      <c r="G8764">
        <v>0</v>
      </c>
      <c r="H8764">
        <v>4.0686999999999998</v>
      </c>
      <c r="U8764">
        <v>4.0686999999999998</v>
      </c>
    </row>
    <row r="8765" spans="1:21" x14ac:dyDescent="0.35">
      <c r="A8765" t="s">
        <v>2108</v>
      </c>
      <c r="B8765" t="s">
        <v>1388</v>
      </c>
      <c r="C8765" t="s">
        <v>13</v>
      </c>
      <c r="D8765" t="s">
        <v>2132</v>
      </c>
      <c r="E8765">
        <v>27.96</v>
      </c>
      <c r="F8765">
        <v>2</v>
      </c>
      <c r="G8765">
        <v>0</v>
      </c>
      <c r="H8765">
        <v>7.2695999999999996</v>
      </c>
      <c r="U8765">
        <v>7.2695999999999996</v>
      </c>
    </row>
    <row r="8766" spans="1:21" x14ac:dyDescent="0.35">
      <c r="A8766" t="s">
        <v>338</v>
      </c>
      <c r="B8766" t="s">
        <v>740</v>
      </c>
      <c r="C8766" t="s">
        <v>35</v>
      </c>
      <c r="D8766" t="s">
        <v>1933</v>
      </c>
      <c r="E8766">
        <v>5.3440000000000003</v>
      </c>
      <c r="F8766">
        <v>2</v>
      </c>
      <c r="G8766">
        <v>0.2</v>
      </c>
      <c r="H8766">
        <v>0.73480000000000001</v>
      </c>
      <c r="U8766">
        <v>0.73480000000000001</v>
      </c>
    </row>
    <row r="8767" spans="1:21" x14ac:dyDescent="0.35">
      <c r="A8767" t="s">
        <v>338</v>
      </c>
      <c r="B8767" t="s">
        <v>740</v>
      </c>
      <c r="C8767" t="s">
        <v>35</v>
      </c>
      <c r="D8767" t="s">
        <v>37</v>
      </c>
      <c r="E8767">
        <v>1.696</v>
      </c>
      <c r="F8767">
        <v>2</v>
      </c>
      <c r="G8767">
        <v>0.8</v>
      </c>
      <c r="H8767">
        <v>-2.544</v>
      </c>
      <c r="U8767">
        <v>-2.544</v>
      </c>
    </row>
    <row r="8768" spans="1:21" x14ac:dyDescent="0.35">
      <c r="A8768" t="s">
        <v>338</v>
      </c>
      <c r="B8768" t="s">
        <v>740</v>
      </c>
      <c r="C8768" t="s">
        <v>35</v>
      </c>
      <c r="D8768" t="s">
        <v>2716</v>
      </c>
      <c r="E8768">
        <v>24.588000000000001</v>
      </c>
      <c r="F8768">
        <v>3</v>
      </c>
      <c r="G8768">
        <v>0.8</v>
      </c>
      <c r="H8768">
        <v>-67.617000000000004</v>
      </c>
      <c r="U8768">
        <v>-67.617000000000004</v>
      </c>
    </row>
    <row r="8769" spans="1:21" x14ac:dyDescent="0.35">
      <c r="A8769" t="s">
        <v>338</v>
      </c>
      <c r="B8769" t="s">
        <v>740</v>
      </c>
      <c r="C8769" t="s">
        <v>35</v>
      </c>
      <c r="D8769" t="s">
        <v>787</v>
      </c>
      <c r="E8769">
        <v>7.98</v>
      </c>
      <c r="F8769">
        <v>5</v>
      </c>
      <c r="G8769">
        <v>0.8</v>
      </c>
      <c r="H8769">
        <v>-13.167</v>
      </c>
      <c r="U8769">
        <v>-13.167</v>
      </c>
    </row>
    <row r="8770" spans="1:21" x14ac:dyDescent="0.35">
      <c r="A8770" s="1">
        <v>42134</v>
      </c>
      <c r="B8770" t="s">
        <v>2001</v>
      </c>
      <c r="C8770" t="s">
        <v>55</v>
      </c>
      <c r="D8770" t="s">
        <v>561</v>
      </c>
      <c r="E8770">
        <v>288</v>
      </c>
      <c r="F8770">
        <v>4</v>
      </c>
      <c r="G8770">
        <v>0.2</v>
      </c>
      <c r="H8770">
        <v>57.6</v>
      </c>
      <c r="U8770">
        <v>57.6</v>
      </c>
    </row>
    <row r="8771" spans="1:21" x14ac:dyDescent="0.35">
      <c r="A8771" s="1">
        <v>42713</v>
      </c>
      <c r="B8771" t="s">
        <v>738</v>
      </c>
      <c r="C8771" t="s">
        <v>13</v>
      </c>
      <c r="D8771" t="s">
        <v>2615</v>
      </c>
      <c r="E8771">
        <v>146.952</v>
      </c>
      <c r="F8771">
        <v>3</v>
      </c>
      <c r="G8771">
        <v>0.2</v>
      </c>
      <c r="H8771">
        <v>9.1844999999999999</v>
      </c>
      <c r="U8771">
        <v>9.1844999999999999</v>
      </c>
    </row>
    <row r="8772" spans="1:21" x14ac:dyDescent="0.35">
      <c r="A8772" s="1">
        <v>42713</v>
      </c>
      <c r="B8772" t="s">
        <v>738</v>
      </c>
      <c r="C8772" t="s">
        <v>13</v>
      </c>
      <c r="D8772" t="s">
        <v>1369</v>
      </c>
      <c r="E8772">
        <v>83.135999999999996</v>
      </c>
      <c r="F8772">
        <v>4</v>
      </c>
      <c r="G8772">
        <v>0.2</v>
      </c>
      <c r="H8772">
        <v>5.1959999999999997</v>
      </c>
      <c r="U8772">
        <v>5.1959999999999997</v>
      </c>
    </row>
    <row r="8773" spans="1:21" x14ac:dyDescent="0.35">
      <c r="A8773" t="s">
        <v>148</v>
      </c>
      <c r="B8773" t="s">
        <v>2021</v>
      </c>
      <c r="C8773" t="s">
        <v>8</v>
      </c>
      <c r="D8773" t="s">
        <v>1936</v>
      </c>
      <c r="E8773">
        <v>942.78399999999999</v>
      </c>
      <c r="F8773">
        <v>4</v>
      </c>
      <c r="G8773">
        <v>0.2</v>
      </c>
      <c r="H8773">
        <v>94.278400000000005</v>
      </c>
      <c r="U8773">
        <v>94.278400000000005</v>
      </c>
    </row>
    <row r="8774" spans="1:21" x14ac:dyDescent="0.35">
      <c r="A8774" t="s">
        <v>148</v>
      </c>
      <c r="B8774" t="s">
        <v>2021</v>
      </c>
      <c r="C8774" t="s">
        <v>8</v>
      </c>
      <c r="D8774" t="s">
        <v>1697</v>
      </c>
      <c r="E8774">
        <v>74.352000000000004</v>
      </c>
      <c r="F8774">
        <v>3</v>
      </c>
      <c r="G8774">
        <v>0.2</v>
      </c>
      <c r="H8774">
        <v>23.234999999999999</v>
      </c>
      <c r="U8774">
        <v>23.234999999999999</v>
      </c>
    </row>
    <row r="8775" spans="1:21" x14ac:dyDescent="0.35">
      <c r="A8775" t="s">
        <v>2217</v>
      </c>
      <c r="B8775" t="s">
        <v>2709</v>
      </c>
      <c r="C8775" t="s">
        <v>55</v>
      </c>
      <c r="D8775" t="s">
        <v>1029</v>
      </c>
      <c r="E8775">
        <v>26.88</v>
      </c>
      <c r="F8775">
        <v>6</v>
      </c>
      <c r="G8775">
        <v>0</v>
      </c>
      <c r="H8775">
        <v>6.72</v>
      </c>
      <c r="U8775">
        <v>6.72</v>
      </c>
    </row>
    <row r="8776" spans="1:21" x14ac:dyDescent="0.35">
      <c r="A8776" t="s">
        <v>2217</v>
      </c>
      <c r="B8776" t="s">
        <v>2709</v>
      </c>
      <c r="C8776" t="s">
        <v>55</v>
      </c>
      <c r="D8776" t="s">
        <v>2038</v>
      </c>
      <c r="E8776">
        <v>10.896000000000001</v>
      </c>
      <c r="F8776">
        <v>2</v>
      </c>
      <c r="G8776">
        <v>0.2</v>
      </c>
      <c r="H8776">
        <v>3.8136000000000001</v>
      </c>
      <c r="U8776">
        <v>3.8136000000000001</v>
      </c>
    </row>
    <row r="8777" spans="1:21" x14ac:dyDescent="0.35">
      <c r="A8777" s="1">
        <v>42502</v>
      </c>
      <c r="B8777" t="s">
        <v>1700</v>
      </c>
      <c r="C8777" t="s">
        <v>35</v>
      </c>
      <c r="D8777" t="s">
        <v>300</v>
      </c>
      <c r="E8777">
        <v>3.536</v>
      </c>
      <c r="F8777">
        <v>2</v>
      </c>
      <c r="G8777">
        <v>0.2</v>
      </c>
      <c r="H8777">
        <v>0.30940000000000001</v>
      </c>
      <c r="U8777">
        <v>0.30940000000000001</v>
      </c>
    </row>
    <row r="8778" spans="1:21" x14ac:dyDescent="0.35">
      <c r="A8778" s="1">
        <v>42407</v>
      </c>
      <c r="B8778" t="s">
        <v>430</v>
      </c>
      <c r="C8778" t="s">
        <v>35</v>
      </c>
      <c r="D8778" t="s">
        <v>1177</v>
      </c>
      <c r="E8778">
        <v>528.42999999999995</v>
      </c>
      <c r="F8778">
        <v>5</v>
      </c>
      <c r="G8778">
        <v>0.3</v>
      </c>
      <c r="H8778">
        <v>0</v>
      </c>
      <c r="U8778">
        <v>0</v>
      </c>
    </row>
    <row r="8779" spans="1:21" x14ac:dyDescent="0.35">
      <c r="A8779" s="1">
        <v>42407</v>
      </c>
      <c r="B8779" t="s">
        <v>430</v>
      </c>
      <c r="C8779" t="s">
        <v>35</v>
      </c>
      <c r="D8779" t="s">
        <v>2243</v>
      </c>
      <c r="E8779">
        <v>41.472000000000001</v>
      </c>
      <c r="F8779">
        <v>8</v>
      </c>
      <c r="G8779">
        <v>0.2</v>
      </c>
      <c r="H8779">
        <v>14.5152</v>
      </c>
      <c r="U8779">
        <v>14.5152</v>
      </c>
    </row>
    <row r="8780" spans="1:21" x14ac:dyDescent="0.35">
      <c r="A8780" t="s">
        <v>481</v>
      </c>
      <c r="B8780" t="s">
        <v>670</v>
      </c>
      <c r="C8780" t="s">
        <v>55</v>
      </c>
      <c r="D8780" t="s">
        <v>1038</v>
      </c>
      <c r="E8780">
        <v>287.976</v>
      </c>
      <c r="F8780">
        <v>3</v>
      </c>
      <c r="G8780">
        <v>0.2</v>
      </c>
      <c r="H8780">
        <v>7.1993999999999998</v>
      </c>
      <c r="U8780">
        <v>7.1993999999999998</v>
      </c>
    </row>
    <row r="8781" spans="1:21" x14ac:dyDescent="0.35">
      <c r="A8781" t="s">
        <v>1159</v>
      </c>
      <c r="B8781" t="s">
        <v>1121</v>
      </c>
      <c r="C8781" t="s">
        <v>13</v>
      </c>
      <c r="D8781" t="s">
        <v>1320</v>
      </c>
      <c r="E8781">
        <v>29.303999999999998</v>
      </c>
      <c r="F8781">
        <v>3</v>
      </c>
      <c r="G8781">
        <v>0.2</v>
      </c>
      <c r="H8781">
        <v>2.5640999999999998</v>
      </c>
      <c r="U8781">
        <v>2.5640999999999998</v>
      </c>
    </row>
    <row r="8782" spans="1:21" x14ac:dyDescent="0.35">
      <c r="A8782" s="1">
        <v>42007</v>
      </c>
      <c r="B8782" t="s">
        <v>2694</v>
      </c>
      <c r="C8782" t="s">
        <v>35</v>
      </c>
      <c r="D8782" t="s">
        <v>1997</v>
      </c>
      <c r="E8782">
        <v>55.328000000000003</v>
      </c>
      <c r="F8782">
        <v>2</v>
      </c>
      <c r="G8782">
        <v>0.2</v>
      </c>
      <c r="H8782">
        <v>6.2244000000000002</v>
      </c>
      <c r="U8782">
        <v>6.2244000000000002</v>
      </c>
    </row>
    <row r="8783" spans="1:21" x14ac:dyDescent="0.35">
      <c r="A8783" s="1">
        <v>42007</v>
      </c>
      <c r="B8783" t="s">
        <v>2694</v>
      </c>
      <c r="C8783" t="s">
        <v>35</v>
      </c>
      <c r="D8783" t="s">
        <v>1365</v>
      </c>
      <c r="E8783">
        <v>1227.9983999999999</v>
      </c>
      <c r="F8783">
        <v>6</v>
      </c>
      <c r="G8783">
        <v>0.32</v>
      </c>
      <c r="H8783">
        <v>-36.117600000000003</v>
      </c>
      <c r="U8783">
        <v>-36.117600000000003</v>
      </c>
    </row>
    <row r="8784" spans="1:21" x14ac:dyDescent="0.35">
      <c r="A8784" t="s">
        <v>1162</v>
      </c>
      <c r="B8784" t="s">
        <v>990</v>
      </c>
      <c r="C8784" t="s">
        <v>13</v>
      </c>
      <c r="D8784" t="s">
        <v>1922</v>
      </c>
      <c r="E8784">
        <v>20.416</v>
      </c>
      <c r="F8784">
        <v>4</v>
      </c>
      <c r="G8784">
        <v>0.2</v>
      </c>
      <c r="H8784">
        <v>6.6352000000000002</v>
      </c>
      <c r="U8784">
        <v>6.6352000000000002</v>
      </c>
    </row>
    <row r="8785" spans="1:21" x14ac:dyDescent="0.35">
      <c r="A8785" t="s">
        <v>1162</v>
      </c>
      <c r="B8785" t="s">
        <v>990</v>
      </c>
      <c r="C8785" t="s">
        <v>13</v>
      </c>
      <c r="D8785" t="s">
        <v>433</v>
      </c>
      <c r="E8785">
        <v>1128.3900000000001</v>
      </c>
      <c r="F8785">
        <v>3</v>
      </c>
      <c r="G8785">
        <v>0</v>
      </c>
      <c r="H8785">
        <v>259.52969999999999</v>
      </c>
      <c r="U8785">
        <v>259.52969999999999</v>
      </c>
    </row>
    <row r="8786" spans="1:21" x14ac:dyDescent="0.35">
      <c r="A8786" t="s">
        <v>1126</v>
      </c>
      <c r="B8786" t="s">
        <v>1305</v>
      </c>
      <c r="C8786" t="s">
        <v>8</v>
      </c>
      <c r="D8786" t="s">
        <v>1897</v>
      </c>
      <c r="E8786">
        <v>4.6079999999999997</v>
      </c>
      <c r="F8786">
        <v>2</v>
      </c>
      <c r="G8786">
        <v>0.2</v>
      </c>
      <c r="H8786">
        <v>1.6704000000000001</v>
      </c>
      <c r="U8786">
        <v>1.6704000000000001</v>
      </c>
    </row>
    <row r="8787" spans="1:21" x14ac:dyDescent="0.35">
      <c r="A8787" t="s">
        <v>174</v>
      </c>
      <c r="B8787" t="s">
        <v>2343</v>
      </c>
      <c r="C8787" t="s">
        <v>13</v>
      </c>
      <c r="D8787" t="s">
        <v>2547</v>
      </c>
      <c r="E8787">
        <v>195.96</v>
      </c>
      <c r="F8787">
        <v>5</v>
      </c>
      <c r="G8787">
        <v>0.2</v>
      </c>
      <c r="H8787">
        <v>19.596</v>
      </c>
      <c r="U8787">
        <v>19.596</v>
      </c>
    </row>
    <row r="8788" spans="1:21" x14ac:dyDescent="0.35">
      <c r="A8788" t="s">
        <v>174</v>
      </c>
      <c r="B8788" t="s">
        <v>2343</v>
      </c>
      <c r="C8788" t="s">
        <v>13</v>
      </c>
      <c r="D8788" t="s">
        <v>2298</v>
      </c>
      <c r="E8788">
        <v>15.552</v>
      </c>
      <c r="F8788">
        <v>3</v>
      </c>
      <c r="G8788">
        <v>0.2</v>
      </c>
      <c r="H8788">
        <v>5.4432</v>
      </c>
      <c r="U8788">
        <v>5.4432</v>
      </c>
    </row>
    <row r="8789" spans="1:21" x14ac:dyDescent="0.35">
      <c r="A8789" t="s">
        <v>174</v>
      </c>
      <c r="B8789" t="s">
        <v>2343</v>
      </c>
      <c r="C8789" t="s">
        <v>13</v>
      </c>
      <c r="D8789" t="s">
        <v>225</v>
      </c>
      <c r="E8789">
        <v>271.96800000000002</v>
      </c>
      <c r="F8789">
        <v>4</v>
      </c>
      <c r="G8789">
        <v>0.2</v>
      </c>
      <c r="H8789">
        <v>54.393599999999999</v>
      </c>
      <c r="U8789">
        <v>54.393599999999999</v>
      </c>
    </row>
    <row r="8790" spans="1:21" x14ac:dyDescent="0.35">
      <c r="A8790" t="s">
        <v>596</v>
      </c>
      <c r="B8790" t="s">
        <v>1912</v>
      </c>
      <c r="C8790" t="s">
        <v>8</v>
      </c>
      <c r="D8790" t="s">
        <v>1653</v>
      </c>
      <c r="E8790">
        <v>698.35199999999998</v>
      </c>
      <c r="F8790">
        <v>3</v>
      </c>
      <c r="G8790">
        <v>0.2</v>
      </c>
      <c r="H8790">
        <v>52.376399999999997</v>
      </c>
      <c r="U8790">
        <v>52.376399999999997</v>
      </c>
    </row>
    <row r="8791" spans="1:21" x14ac:dyDescent="0.35">
      <c r="A8791" t="s">
        <v>596</v>
      </c>
      <c r="B8791" t="s">
        <v>1912</v>
      </c>
      <c r="C8791" t="s">
        <v>8</v>
      </c>
      <c r="D8791" t="s">
        <v>1910</v>
      </c>
      <c r="E8791">
        <v>77.727999999999994</v>
      </c>
      <c r="F8791">
        <v>2</v>
      </c>
      <c r="G8791">
        <v>0.2</v>
      </c>
      <c r="H8791">
        <v>-3.8864000000000001</v>
      </c>
      <c r="U8791">
        <v>-3.8864000000000001</v>
      </c>
    </row>
    <row r="8792" spans="1:21" x14ac:dyDescent="0.35">
      <c r="A8792" s="1">
        <v>42164</v>
      </c>
      <c r="B8792" t="s">
        <v>553</v>
      </c>
      <c r="C8792" t="s">
        <v>8</v>
      </c>
      <c r="D8792" t="s">
        <v>2286</v>
      </c>
      <c r="E8792">
        <v>46.62</v>
      </c>
      <c r="F8792">
        <v>9</v>
      </c>
      <c r="G8792">
        <v>0</v>
      </c>
      <c r="H8792">
        <v>21.4452</v>
      </c>
      <c r="U8792">
        <v>21.4452</v>
      </c>
    </row>
    <row r="8793" spans="1:21" x14ac:dyDescent="0.35">
      <c r="A8793" t="s">
        <v>1027</v>
      </c>
      <c r="B8793" t="s">
        <v>2149</v>
      </c>
      <c r="C8793" t="s">
        <v>35</v>
      </c>
      <c r="D8793" t="s">
        <v>1178</v>
      </c>
      <c r="E8793">
        <v>537.54399999999998</v>
      </c>
      <c r="F8793">
        <v>7</v>
      </c>
      <c r="G8793">
        <v>0.2</v>
      </c>
      <c r="H8793">
        <v>47.0351</v>
      </c>
      <c r="U8793">
        <v>47.0351</v>
      </c>
    </row>
    <row r="8794" spans="1:21" x14ac:dyDescent="0.35">
      <c r="A8794" t="s">
        <v>733</v>
      </c>
      <c r="B8794" t="s">
        <v>670</v>
      </c>
      <c r="C8794" t="s">
        <v>13</v>
      </c>
      <c r="D8794" t="s">
        <v>1037</v>
      </c>
      <c r="E8794">
        <v>14.62</v>
      </c>
      <c r="F8794">
        <v>2</v>
      </c>
      <c r="G8794">
        <v>0</v>
      </c>
      <c r="H8794">
        <v>6.8714000000000004</v>
      </c>
      <c r="U8794">
        <v>6.8714000000000004</v>
      </c>
    </row>
    <row r="8795" spans="1:21" x14ac:dyDescent="0.35">
      <c r="A8795" t="s">
        <v>733</v>
      </c>
      <c r="B8795" t="s">
        <v>670</v>
      </c>
      <c r="C8795" t="s">
        <v>13</v>
      </c>
      <c r="D8795" t="s">
        <v>897</v>
      </c>
      <c r="E8795">
        <v>22.55</v>
      </c>
      <c r="F8795">
        <v>5</v>
      </c>
      <c r="G8795">
        <v>0</v>
      </c>
      <c r="H8795">
        <v>8.7944999999999993</v>
      </c>
      <c r="U8795">
        <v>8.7944999999999993</v>
      </c>
    </row>
    <row r="8796" spans="1:21" x14ac:dyDescent="0.35">
      <c r="A8796" t="s">
        <v>733</v>
      </c>
      <c r="B8796" t="s">
        <v>670</v>
      </c>
      <c r="C8796" t="s">
        <v>13</v>
      </c>
      <c r="D8796" t="s">
        <v>2043</v>
      </c>
      <c r="E8796">
        <v>583.79999999999995</v>
      </c>
      <c r="F8796">
        <v>5</v>
      </c>
      <c r="G8796">
        <v>0.2</v>
      </c>
      <c r="H8796">
        <v>72.974999999999994</v>
      </c>
      <c r="U8796">
        <v>72.974999999999994</v>
      </c>
    </row>
    <row r="8797" spans="1:21" x14ac:dyDescent="0.35">
      <c r="A8797" t="s">
        <v>733</v>
      </c>
      <c r="B8797" t="s">
        <v>670</v>
      </c>
      <c r="C8797" t="s">
        <v>13</v>
      </c>
      <c r="D8797" t="s">
        <v>1179</v>
      </c>
      <c r="E8797">
        <v>211.16800000000001</v>
      </c>
      <c r="F8797">
        <v>4</v>
      </c>
      <c r="G8797">
        <v>0.2</v>
      </c>
      <c r="H8797">
        <v>15.8376</v>
      </c>
      <c r="U8797">
        <v>15.8376</v>
      </c>
    </row>
    <row r="8798" spans="1:21" x14ac:dyDescent="0.35">
      <c r="A8798" s="1">
        <v>42558</v>
      </c>
      <c r="B8798" t="s">
        <v>315</v>
      </c>
      <c r="C8798" t="s">
        <v>13</v>
      </c>
      <c r="D8798" t="s">
        <v>904</v>
      </c>
      <c r="E8798">
        <v>12.96</v>
      </c>
      <c r="F8798">
        <v>2</v>
      </c>
      <c r="G8798">
        <v>0</v>
      </c>
      <c r="H8798">
        <v>6.2207999999999997</v>
      </c>
      <c r="U8798">
        <v>6.2207999999999997</v>
      </c>
    </row>
    <row r="8799" spans="1:21" x14ac:dyDescent="0.35">
      <c r="A8799" s="1">
        <v>42558</v>
      </c>
      <c r="B8799" t="s">
        <v>315</v>
      </c>
      <c r="C8799" t="s">
        <v>13</v>
      </c>
      <c r="D8799" t="s">
        <v>1973</v>
      </c>
      <c r="E8799">
        <v>45.98</v>
      </c>
      <c r="F8799">
        <v>2</v>
      </c>
      <c r="G8799">
        <v>0</v>
      </c>
      <c r="H8799">
        <v>12.8744</v>
      </c>
      <c r="U8799">
        <v>12.8744</v>
      </c>
    </row>
    <row r="8800" spans="1:21" x14ac:dyDescent="0.35">
      <c r="A8800" s="1">
        <v>42525</v>
      </c>
      <c r="B8800" t="s">
        <v>377</v>
      </c>
      <c r="C8800" t="s">
        <v>55</v>
      </c>
      <c r="D8800" t="s">
        <v>2152</v>
      </c>
      <c r="E8800">
        <v>1294.75</v>
      </c>
      <c r="F8800">
        <v>5</v>
      </c>
      <c r="G8800">
        <v>0</v>
      </c>
      <c r="H8800">
        <v>336.63499999999999</v>
      </c>
      <c r="U8800">
        <v>336.63499999999999</v>
      </c>
    </row>
    <row r="8801" spans="1:21" x14ac:dyDescent="0.35">
      <c r="A8801" s="1">
        <v>41856</v>
      </c>
      <c r="B8801" t="s">
        <v>1489</v>
      </c>
      <c r="C8801" t="s">
        <v>55</v>
      </c>
      <c r="D8801" t="s">
        <v>584</v>
      </c>
      <c r="E8801">
        <v>1799.97</v>
      </c>
      <c r="F8801">
        <v>5</v>
      </c>
      <c r="G8801">
        <v>0.4</v>
      </c>
      <c r="H8801">
        <v>239.99600000000001</v>
      </c>
      <c r="U8801">
        <v>239.99600000000001</v>
      </c>
    </row>
    <row r="8802" spans="1:21" x14ac:dyDescent="0.35">
      <c r="A8802" t="s">
        <v>216</v>
      </c>
      <c r="B8802" t="s">
        <v>1105</v>
      </c>
      <c r="C8802" t="s">
        <v>35</v>
      </c>
      <c r="D8802" t="s">
        <v>2041</v>
      </c>
      <c r="E8802">
        <v>10.688000000000001</v>
      </c>
      <c r="F8802">
        <v>2</v>
      </c>
      <c r="G8802">
        <v>0.2</v>
      </c>
      <c r="H8802">
        <v>3.7408000000000001</v>
      </c>
      <c r="U8802">
        <v>3.7408000000000001</v>
      </c>
    </row>
    <row r="8803" spans="1:21" x14ac:dyDescent="0.35">
      <c r="A8803" s="1">
        <v>42654</v>
      </c>
      <c r="B8803" t="s">
        <v>2571</v>
      </c>
      <c r="C8803" t="s">
        <v>35</v>
      </c>
      <c r="D8803" t="s">
        <v>2581</v>
      </c>
      <c r="E8803">
        <v>221.98</v>
      </c>
      <c r="F8803">
        <v>2</v>
      </c>
      <c r="G8803">
        <v>0</v>
      </c>
      <c r="H8803">
        <v>62.154400000000003</v>
      </c>
      <c r="U8803">
        <v>62.154400000000003</v>
      </c>
    </row>
    <row r="8804" spans="1:21" x14ac:dyDescent="0.35">
      <c r="A8804" s="1">
        <v>42654</v>
      </c>
      <c r="B8804" t="s">
        <v>2571</v>
      </c>
      <c r="C8804" t="s">
        <v>35</v>
      </c>
      <c r="D8804" t="s">
        <v>1799</v>
      </c>
      <c r="E8804">
        <v>341.96</v>
      </c>
      <c r="F8804">
        <v>2</v>
      </c>
      <c r="G8804">
        <v>0</v>
      </c>
      <c r="H8804">
        <v>54.7136</v>
      </c>
      <c r="U8804">
        <v>54.7136</v>
      </c>
    </row>
    <row r="8805" spans="1:21" x14ac:dyDescent="0.35">
      <c r="A8805" t="s">
        <v>963</v>
      </c>
      <c r="B8805" t="s">
        <v>2331</v>
      </c>
      <c r="C8805" t="s">
        <v>55</v>
      </c>
      <c r="D8805" t="s">
        <v>1030</v>
      </c>
      <c r="E8805">
        <v>34.770000000000003</v>
      </c>
      <c r="F8805">
        <v>3</v>
      </c>
      <c r="G8805">
        <v>0</v>
      </c>
      <c r="H8805">
        <v>11.4741</v>
      </c>
      <c r="U8805">
        <v>11.4741</v>
      </c>
    </row>
    <row r="8806" spans="1:21" x14ac:dyDescent="0.35">
      <c r="A8806" t="s">
        <v>963</v>
      </c>
      <c r="B8806" t="s">
        <v>2331</v>
      </c>
      <c r="C8806" t="s">
        <v>55</v>
      </c>
      <c r="D8806" t="s">
        <v>333</v>
      </c>
      <c r="E8806">
        <v>18.899999999999999</v>
      </c>
      <c r="F8806">
        <v>3</v>
      </c>
      <c r="G8806">
        <v>0</v>
      </c>
      <c r="H8806">
        <v>8.6940000000000008</v>
      </c>
      <c r="U8806">
        <v>8.6940000000000008</v>
      </c>
    </row>
    <row r="8807" spans="1:21" x14ac:dyDescent="0.35">
      <c r="A8807" t="s">
        <v>1901</v>
      </c>
      <c r="B8807" t="s">
        <v>655</v>
      </c>
      <c r="C8807" t="s">
        <v>13</v>
      </c>
      <c r="D8807" t="s">
        <v>1866</v>
      </c>
      <c r="E8807">
        <v>102.72</v>
      </c>
      <c r="F8807">
        <v>3</v>
      </c>
      <c r="G8807">
        <v>0.2</v>
      </c>
      <c r="H8807">
        <v>37.235999999999997</v>
      </c>
      <c r="U8807">
        <v>37.235999999999997</v>
      </c>
    </row>
    <row r="8808" spans="1:21" x14ac:dyDescent="0.35">
      <c r="A8808" s="1">
        <v>42713</v>
      </c>
      <c r="B8808" t="s">
        <v>1950</v>
      </c>
      <c r="C8808" t="s">
        <v>55</v>
      </c>
      <c r="D8808" t="s">
        <v>2558</v>
      </c>
      <c r="E8808">
        <v>40.479999999999997</v>
      </c>
      <c r="F8808">
        <v>2</v>
      </c>
      <c r="G8808">
        <v>0</v>
      </c>
      <c r="H8808">
        <v>14.572800000000001</v>
      </c>
      <c r="U8808">
        <v>14.572800000000001</v>
      </c>
    </row>
    <row r="8809" spans="1:21" x14ac:dyDescent="0.35">
      <c r="A8809" t="s">
        <v>177</v>
      </c>
      <c r="B8809" t="s">
        <v>1576</v>
      </c>
      <c r="C8809" t="s">
        <v>55</v>
      </c>
      <c r="D8809" t="s">
        <v>1381</v>
      </c>
      <c r="E8809">
        <v>33.281999999999996</v>
      </c>
      <c r="F8809">
        <v>3</v>
      </c>
      <c r="G8809">
        <v>0.7</v>
      </c>
      <c r="H8809">
        <v>-27.734999999999999</v>
      </c>
      <c r="U8809">
        <v>-27.734999999999999</v>
      </c>
    </row>
    <row r="8810" spans="1:21" x14ac:dyDescent="0.35">
      <c r="A8810" t="s">
        <v>177</v>
      </c>
      <c r="B8810" t="s">
        <v>1576</v>
      </c>
      <c r="C8810" t="s">
        <v>55</v>
      </c>
      <c r="D8810" t="s">
        <v>1991</v>
      </c>
      <c r="E8810">
        <v>118.65</v>
      </c>
      <c r="F8810">
        <v>5</v>
      </c>
      <c r="G8810">
        <v>0.4</v>
      </c>
      <c r="H8810">
        <v>19.774999999999999</v>
      </c>
      <c r="U8810">
        <v>19.774999999999999</v>
      </c>
    </row>
    <row r="8811" spans="1:21" x14ac:dyDescent="0.35">
      <c r="A8811" t="s">
        <v>177</v>
      </c>
      <c r="B8811" t="s">
        <v>1576</v>
      </c>
      <c r="C8811" t="s">
        <v>55</v>
      </c>
      <c r="D8811" t="s">
        <v>1551</v>
      </c>
      <c r="E8811">
        <v>14.76</v>
      </c>
      <c r="F8811">
        <v>5</v>
      </c>
      <c r="G8811">
        <v>0.2</v>
      </c>
      <c r="H8811">
        <v>4.9814999999999996</v>
      </c>
      <c r="U8811">
        <v>4.9814999999999996</v>
      </c>
    </row>
    <row r="8812" spans="1:21" x14ac:dyDescent="0.35">
      <c r="A8812" t="s">
        <v>175</v>
      </c>
      <c r="B8812" t="s">
        <v>1515</v>
      </c>
      <c r="C8812" t="s">
        <v>13</v>
      </c>
      <c r="D8812" t="s">
        <v>1579</v>
      </c>
      <c r="E8812">
        <v>37.520000000000003</v>
      </c>
      <c r="F8812">
        <v>4</v>
      </c>
      <c r="G8812">
        <v>0</v>
      </c>
      <c r="H8812">
        <v>18.009599999999999</v>
      </c>
      <c r="U8812">
        <v>18.009599999999999</v>
      </c>
    </row>
    <row r="8813" spans="1:21" x14ac:dyDescent="0.35">
      <c r="A8813" s="1">
        <v>42585</v>
      </c>
      <c r="B8813" t="s">
        <v>294</v>
      </c>
      <c r="C8813" t="s">
        <v>35</v>
      </c>
      <c r="D8813" t="s">
        <v>1846</v>
      </c>
      <c r="E8813">
        <v>207.14400000000001</v>
      </c>
      <c r="F8813">
        <v>3</v>
      </c>
      <c r="G8813">
        <v>0.1</v>
      </c>
      <c r="H8813">
        <v>48.333599999999997</v>
      </c>
      <c r="U8813">
        <v>48.333599999999997</v>
      </c>
    </row>
    <row r="8814" spans="1:21" x14ac:dyDescent="0.35">
      <c r="A8814" s="1">
        <v>42585</v>
      </c>
      <c r="B8814" t="s">
        <v>294</v>
      </c>
      <c r="C8814" t="s">
        <v>35</v>
      </c>
      <c r="D8814" t="s">
        <v>1743</v>
      </c>
      <c r="E8814">
        <v>13.9</v>
      </c>
      <c r="F8814">
        <v>5</v>
      </c>
      <c r="G8814">
        <v>0</v>
      </c>
      <c r="H8814">
        <v>3.7530000000000001</v>
      </c>
      <c r="U8814">
        <v>3.7530000000000001</v>
      </c>
    </row>
    <row r="8815" spans="1:21" x14ac:dyDescent="0.35">
      <c r="A8815" t="s">
        <v>1280</v>
      </c>
      <c r="B8815" t="s">
        <v>1197</v>
      </c>
      <c r="C8815" t="s">
        <v>13</v>
      </c>
      <c r="D8815" t="s">
        <v>1131</v>
      </c>
      <c r="E8815">
        <v>266.35199999999998</v>
      </c>
      <c r="F8815">
        <v>3</v>
      </c>
      <c r="G8815">
        <v>0.2</v>
      </c>
      <c r="H8815">
        <v>13.317600000000001</v>
      </c>
      <c r="U8815">
        <v>13.317600000000001</v>
      </c>
    </row>
    <row r="8816" spans="1:21" x14ac:dyDescent="0.35">
      <c r="A8816" t="s">
        <v>339</v>
      </c>
      <c r="B8816" t="s">
        <v>2118</v>
      </c>
      <c r="C8816" t="s">
        <v>55</v>
      </c>
      <c r="D8816" t="s">
        <v>668</v>
      </c>
      <c r="E8816">
        <v>307.98</v>
      </c>
      <c r="F8816">
        <v>2</v>
      </c>
      <c r="G8816">
        <v>0</v>
      </c>
      <c r="H8816">
        <v>89.3142</v>
      </c>
      <c r="U8816">
        <v>89.3142</v>
      </c>
    </row>
    <row r="8817" spans="1:21" x14ac:dyDescent="0.35">
      <c r="A8817" t="s">
        <v>339</v>
      </c>
      <c r="B8817" t="s">
        <v>2118</v>
      </c>
      <c r="C8817" t="s">
        <v>55</v>
      </c>
      <c r="D8817" t="s">
        <v>2726</v>
      </c>
      <c r="E8817">
        <v>44.1</v>
      </c>
      <c r="F8817">
        <v>6</v>
      </c>
      <c r="G8817">
        <v>0</v>
      </c>
      <c r="H8817">
        <v>20.727</v>
      </c>
      <c r="U8817">
        <v>20.727</v>
      </c>
    </row>
    <row r="8818" spans="1:21" x14ac:dyDescent="0.35">
      <c r="A8818" t="s">
        <v>339</v>
      </c>
      <c r="B8818" t="s">
        <v>2118</v>
      </c>
      <c r="C8818" t="s">
        <v>55</v>
      </c>
      <c r="D8818" t="s">
        <v>345</v>
      </c>
      <c r="E8818">
        <v>13.12</v>
      </c>
      <c r="F8818">
        <v>4</v>
      </c>
      <c r="G8818">
        <v>0</v>
      </c>
      <c r="H8818">
        <v>5.6416000000000004</v>
      </c>
      <c r="U8818">
        <v>5.6416000000000004</v>
      </c>
    </row>
    <row r="8819" spans="1:21" x14ac:dyDescent="0.35">
      <c r="A8819" t="s">
        <v>339</v>
      </c>
      <c r="B8819" t="s">
        <v>2118</v>
      </c>
      <c r="C8819" t="s">
        <v>55</v>
      </c>
      <c r="D8819" t="s">
        <v>314</v>
      </c>
      <c r="E8819">
        <v>16.559999999999999</v>
      </c>
      <c r="F8819">
        <v>2</v>
      </c>
      <c r="G8819">
        <v>0</v>
      </c>
      <c r="H8819">
        <v>7.7831999999999999</v>
      </c>
      <c r="U8819">
        <v>7.7831999999999999</v>
      </c>
    </row>
    <row r="8820" spans="1:21" x14ac:dyDescent="0.35">
      <c r="A8820" t="s">
        <v>339</v>
      </c>
      <c r="B8820" t="s">
        <v>2118</v>
      </c>
      <c r="C8820" t="s">
        <v>55</v>
      </c>
      <c r="D8820" t="s">
        <v>904</v>
      </c>
      <c r="E8820">
        <v>38.880000000000003</v>
      </c>
      <c r="F8820">
        <v>6</v>
      </c>
      <c r="G8820">
        <v>0</v>
      </c>
      <c r="H8820">
        <v>18.662400000000002</v>
      </c>
      <c r="U8820">
        <v>18.662400000000002</v>
      </c>
    </row>
    <row r="8821" spans="1:21" x14ac:dyDescent="0.35">
      <c r="A8821" t="s">
        <v>457</v>
      </c>
      <c r="B8821" t="s">
        <v>1559</v>
      </c>
      <c r="C8821" t="s">
        <v>35</v>
      </c>
      <c r="D8821" t="s">
        <v>1167</v>
      </c>
      <c r="E8821">
        <v>335.52</v>
      </c>
      <c r="F8821">
        <v>4</v>
      </c>
      <c r="G8821">
        <v>0.2</v>
      </c>
      <c r="H8821">
        <v>117.432</v>
      </c>
      <c r="U8821">
        <v>117.432</v>
      </c>
    </row>
    <row r="8822" spans="1:21" x14ac:dyDescent="0.35">
      <c r="A8822" s="1">
        <v>42805</v>
      </c>
      <c r="B8822" t="s">
        <v>238</v>
      </c>
      <c r="C8822" t="s">
        <v>8</v>
      </c>
      <c r="D8822" t="s">
        <v>858</v>
      </c>
      <c r="E8822">
        <v>959.98400000000004</v>
      </c>
      <c r="F8822">
        <v>2</v>
      </c>
      <c r="G8822">
        <v>0.2</v>
      </c>
      <c r="H8822">
        <v>311.9948</v>
      </c>
      <c r="U8822">
        <v>311.9948</v>
      </c>
    </row>
    <row r="8823" spans="1:21" x14ac:dyDescent="0.35">
      <c r="A8823" s="1">
        <v>42805</v>
      </c>
      <c r="B8823" t="s">
        <v>238</v>
      </c>
      <c r="C8823" t="s">
        <v>8</v>
      </c>
      <c r="D8823" t="s">
        <v>2038</v>
      </c>
      <c r="E8823">
        <v>4.0860000000000003</v>
      </c>
      <c r="F8823">
        <v>2</v>
      </c>
      <c r="G8823">
        <v>0.7</v>
      </c>
      <c r="H8823">
        <v>-2.9964</v>
      </c>
      <c r="U8823">
        <v>-2.9964</v>
      </c>
    </row>
    <row r="8824" spans="1:21" x14ac:dyDescent="0.35">
      <c r="A8824" s="1">
        <v>42805</v>
      </c>
      <c r="B8824" t="s">
        <v>238</v>
      </c>
      <c r="C8824" t="s">
        <v>8</v>
      </c>
      <c r="D8824" t="s">
        <v>2618</v>
      </c>
      <c r="E8824">
        <v>55.984000000000002</v>
      </c>
      <c r="F8824">
        <v>2</v>
      </c>
      <c r="G8824">
        <v>0.2</v>
      </c>
      <c r="H8824">
        <v>4.1988000000000003</v>
      </c>
      <c r="U8824">
        <v>4.1988000000000003</v>
      </c>
    </row>
    <row r="8825" spans="1:21" x14ac:dyDescent="0.35">
      <c r="A8825" s="1">
        <v>42805</v>
      </c>
      <c r="B8825" t="s">
        <v>238</v>
      </c>
      <c r="C8825" t="s">
        <v>8</v>
      </c>
      <c r="D8825" t="s">
        <v>1249</v>
      </c>
      <c r="E8825">
        <v>10.688000000000001</v>
      </c>
      <c r="F8825">
        <v>2</v>
      </c>
      <c r="G8825">
        <v>0.2</v>
      </c>
      <c r="H8825">
        <v>3.7408000000000001</v>
      </c>
      <c r="U8825">
        <v>3.7408000000000001</v>
      </c>
    </row>
    <row r="8826" spans="1:21" x14ac:dyDescent="0.35">
      <c r="A8826" t="s">
        <v>1127</v>
      </c>
      <c r="B8826" t="s">
        <v>122</v>
      </c>
      <c r="C8826" t="s">
        <v>55</v>
      </c>
      <c r="D8826" t="s">
        <v>824</v>
      </c>
      <c r="E8826">
        <v>8.8559999999999999</v>
      </c>
      <c r="F8826">
        <v>3</v>
      </c>
      <c r="G8826">
        <v>0.2</v>
      </c>
      <c r="H8826">
        <v>2.8782000000000001</v>
      </c>
      <c r="U8826">
        <v>2.8782000000000001</v>
      </c>
    </row>
    <row r="8827" spans="1:21" x14ac:dyDescent="0.35">
      <c r="A8827" t="s">
        <v>343</v>
      </c>
      <c r="B8827" t="s">
        <v>633</v>
      </c>
      <c r="C8827" t="s">
        <v>55</v>
      </c>
      <c r="D8827" t="s">
        <v>1897</v>
      </c>
      <c r="E8827">
        <v>6.9119999999999999</v>
      </c>
      <c r="F8827">
        <v>3</v>
      </c>
      <c r="G8827">
        <v>0.2</v>
      </c>
      <c r="H8827">
        <v>2.5055999999999998</v>
      </c>
      <c r="U8827">
        <v>2.5055999999999998</v>
      </c>
    </row>
    <row r="8828" spans="1:21" x14ac:dyDescent="0.35">
      <c r="A8828" s="1">
        <v>41674</v>
      </c>
      <c r="B8828" t="s">
        <v>2388</v>
      </c>
      <c r="C8828" t="s">
        <v>35</v>
      </c>
      <c r="D8828" t="s">
        <v>891</v>
      </c>
      <c r="E8828">
        <v>26.72</v>
      </c>
      <c r="F8828">
        <v>5</v>
      </c>
      <c r="G8828">
        <v>0.2</v>
      </c>
      <c r="H8828">
        <v>9.3520000000000003</v>
      </c>
      <c r="U8828">
        <v>9.3520000000000003</v>
      </c>
    </row>
    <row r="8829" spans="1:21" x14ac:dyDescent="0.35">
      <c r="A8829" s="1">
        <v>41674</v>
      </c>
      <c r="B8829" t="s">
        <v>2388</v>
      </c>
      <c r="C8829" t="s">
        <v>35</v>
      </c>
      <c r="D8829" t="s">
        <v>2643</v>
      </c>
      <c r="E8829">
        <v>33.488</v>
      </c>
      <c r="F8829">
        <v>7</v>
      </c>
      <c r="G8829">
        <v>0.2</v>
      </c>
      <c r="H8829">
        <v>10.465</v>
      </c>
      <c r="U8829">
        <v>10.465</v>
      </c>
    </row>
    <row r="8830" spans="1:21" x14ac:dyDescent="0.35">
      <c r="A8830" s="1">
        <v>42130</v>
      </c>
      <c r="B8830" t="s">
        <v>740</v>
      </c>
      <c r="C8830" t="s">
        <v>35</v>
      </c>
      <c r="D8830" t="s">
        <v>1864</v>
      </c>
      <c r="E8830">
        <v>10.56</v>
      </c>
      <c r="F8830">
        <v>2</v>
      </c>
      <c r="G8830">
        <v>0</v>
      </c>
      <c r="H8830">
        <v>4.7519999999999998</v>
      </c>
      <c r="U8830">
        <v>4.7519999999999998</v>
      </c>
    </row>
    <row r="8831" spans="1:21" x14ac:dyDescent="0.35">
      <c r="A8831" s="1">
        <v>41800</v>
      </c>
      <c r="B8831" t="s">
        <v>2661</v>
      </c>
      <c r="C8831" t="s">
        <v>35</v>
      </c>
      <c r="D8831" t="s">
        <v>2517</v>
      </c>
      <c r="E8831">
        <v>386.34</v>
      </c>
      <c r="F8831">
        <v>2</v>
      </c>
      <c r="G8831">
        <v>0</v>
      </c>
      <c r="H8831">
        <v>54.087600000000002</v>
      </c>
      <c r="U8831">
        <v>54.087600000000002</v>
      </c>
    </row>
    <row r="8832" spans="1:21" x14ac:dyDescent="0.35">
      <c r="A8832" t="s">
        <v>984</v>
      </c>
      <c r="B8832" t="s">
        <v>1272</v>
      </c>
      <c r="C8832" t="s">
        <v>13</v>
      </c>
      <c r="D8832" t="s">
        <v>1391</v>
      </c>
      <c r="E8832">
        <v>33.44</v>
      </c>
      <c r="F8832">
        <v>10</v>
      </c>
      <c r="G8832">
        <v>0.2</v>
      </c>
      <c r="H8832">
        <v>11.704000000000001</v>
      </c>
      <c r="U8832">
        <v>11.704000000000001</v>
      </c>
    </row>
    <row r="8833" spans="1:21" x14ac:dyDescent="0.35">
      <c r="A8833" t="s">
        <v>472</v>
      </c>
      <c r="B8833" t="s">
        <v>2441</v>
      </c>
      <c r="C8833" t="s">
        <v>8</v>
      </c>
      <c r="D8833" t="s">
        <v>1021</v>
      </c>
      <c r="E8833">
        <v>39.96</v>
      </c>
      <c r="F8833">
        <v>2</v>
      </c>
      <c r="G8833">
        <v>0</v>
      </c>
      <c r="H8833">
        <v>14.3856</v>
      </c>
      <c r="U8833">
        <v>14.3856</v>
      </c>
    </row>
    <row r="8834" spans="1:21" x14ac:dyDescent="0.35">
      <c r="A8834" t="s">
        <v>589</v>
      </c>
      <c r="B8834" t="s">
        <v>1780</v>
      </c>
      <c r="C8834" t="s">
        <v>55</v>
      </c>
      <c r="D8834" t="s">
        <v>1215</v>
      </c>
      <c r="E8834">
        <v>1217.568</v>
      </c>
      <c r="F8834">
        <v>2</v>
      </c>
      <c r="G8834">
        <v>0.2</v>
      </c>
      <c r="H8834">
        <v>456.58800000000002</v>
      </c>
      <c r="U8834">
        <v>456.58800000000002</v>
      </c>
    </row>
    <row r="8835" spans="1:21" x14ac:dyDescent="0.35">
      <c r="A8835" t="s">
        <v>978</v>
      </c>
      <c r="B8835" t="s">
        <v>1998</v>
      </c>
      <c r="C8835" t="s">
        <v>8</v>
      </c>
      <c r="D8835" t="s">
        <v>2366</v>
      </c>
      <c r="E8835">
        <v>15.51</v>
      </c>
      <c r="F8835">
        <v>1</v>
      </c>
      <c r="G8835">
        <v>0</v>
      </c>
      <c r="H8835">
        <v>3.8774999999999999</v>
      </c>
      <c r="U8835">
        <v>3.8774999999999999</v>
      </c>
    </row>
    <row r="8836" spans="1:21" x14ac:dyDescent="0.35">
      <c r="A8836" t="s">
        <v>978</v>
      </c>
      <c r="B8836" t="s">
        <v>1998</v>
      </c>
      <c r="C8836" t="s">
        <v>8</v>
      </c>
      <c r="D8836" t="s">
        <v>2346</v>
      </c>
      <c r="E8836">
        <v>89.9</v>
      </c>
      <c r="F8836">
        <v>2</v>
      </c>
      <c r="G8836">
        <v>0</v>
      </c>
      <c r="H8836">
        <v>25.172000000000001</v>
      </c>
      <c r="U8836">
        <v>25.172000000000001</v>
      </c>
    </row>
    <row r="8837" spans="1:21" x14ac:dyDescent="0.35">
      <c r="A8837" t="s">
        <v>978</v>
      </c>
      <c r="B8837" t="s">
        <v>1998</v>
      </c>
      <c r="C8837" t="s">
        <v>8</v>
      </c>
      <c r="D8837" t="s">
        <v>2608</v>
      </c>
      <c r="E8837">
        <v>14.28</v>
      </c>
      <c r="F8837">
        <v>4</v>
      </c>
      <c r="G8837">
        <v>0</v>
      </c>
      <c r="H8837">
        <v>3.7128000000000001</v>
      </c>
      <c r="U8837">
        <v>3.7128000000000001</v>
      </c>
    </row>
    <row r="8838" spans="1:21" x14ac:dyDescent="0.35">
      <c r="A8838" t="s">
        <v>978</v>
      </c>
      <c r="B8838" t="s">
        <v>1998</v>
      </c>
      <c r="C8838" t="s">
        <v>8</v>
      </c>
      <c r="D8838" t="s">
        <v>1303</v>
      </c>
      <c r="E8838">
        <v>12.72</v>
      </c>
      <c r="F8838">
        <v>3</v>
      </c>
      <c r="G8838">
        <v>0</v>
      </c>
      <c r="H8838">
        <v>4.9607999999999999</v>
      </c>
      <c r="U8838">
        <v>4.9607999999999999</v>
      </c>
    </row>
    <row r="8839" spans="1:21" x14ac:dyDescent="0.35">
      <c r="A8839" t="s">
        <v>978</v>
      </c>
      <c r="B8839" t="s">
        <v>1998</v>
      </c>
      <c r="C8839" t="s">
        <v>8</v>
      </c>
      <c r="D8839" t="s">
        <v>697</v>
      </c>
      <c r="E8839">
        <v>15.75</v>
      </c>
      <c r="F8839">
        <v>5</v>
      </c>
      <c r="G8839">
        <v>0</v>
      </c>
      <c r="H8839">
        <v>7.56</v>
      </c>
      <c r="U8839">
        <v>7.56</v>
      </c>
    </row>
    <row r="8840" spans="1:21" x14ac:dyDescent="0.35">
      <c r="A8840" s="1">
        <v>41794</v>
      </c>
      <c r="B8840" t="s">
        <v>1430</v>
      </c>
      <c r="C8840" t="s">
        <v>13</v>
      </c>
      <c r="D8840" t="s">
        <v>2406</v>
      </c>
      <c r="E8840">
        <v>70.95</v>
      </c>
      <c r="F8840">
        <v>3</v>
      </c>
      <c r="G8840">
        <v>0</v>
      </c>
      <c r="H8840">
        <v>18.446999999999999</v>
      </c>
      <c r="U8840">
        <v>18.446999999999999</v>
      </c>
    </row>
    <row r="8841" spans="1:21" x14ac:dyDescent="0.35">
      <c r="A8841" s="1">
        <v>41794</v>
      </c>
      <c r="B8841" t="s">
        <v>1430</v>
      </c>
      <c r="C8841" t="s">
        <v>13</v>
      </c>
      <c r="D8841" t="s">
        <v>215</v>
      </c>
      <c r="E8841">
        <v>65.567999999999998</v>
      </c>
      <c r="F8841">
        <v>2</v>
      </c>
      <c r="G8841">
        <v>0.2</v>
      </c>
      <c r="H8841">
        <v>23.7684</v>
      </c>
      <c r="U8841">
        <v>23.7684</v>
      </c>
    </row>
    <row r="8842" spans="1:21" x14ac:dyDescent="0.35">
      <c r="A8842" s="1">
        <v>41794</v>
      </c>
      <c r="B8842" t="s">
        <v>1430</v>
      </c>
      <c r="C8842" t="s">
        <v>13</v>
      </c>
      <c r="D8842" t="s">
        <v>2109</v>
      </c>
      <c r="E8842">
        <v>299.97000000000003</v>
      </c>
      <c r="F8842">
        <v>3</v>
      </c>
      <c r="G8842">
        <v>0</v>
      </c>
      <c r="H8842">
        <v>131.98679999999999</v>
      </c>
      <c r="U8842">
        <v>131.98679999999999</v>
      </c>
    </row>
    <row r="8843" spans="1:21" x14ac:dyDescent="0.35">
      <c r="A8843" s="1">
        <v>42615</v>
      </c>
      <c r="B8843" t="s">
        <v>1246</v>
      </c>
      <c r="C8843" t="s">
        <v>13</v>
      </c>
      <c r="D8843" t="s">
        <v>490</v>
      </c>
      <c r="E8843">
        <v>89.97</v>
      </c>
      <c r="F8843">
        <v>3</v>
      </c>
      <c r="G8843">
        <v>0</v>
      </c>
      <c r="H8843">
        <v>39.586799999999997</v>
      </c>
      <c r="U8843">
        <v>39.586799999999997</v>
      </c>
    </row>
    <row r="8844" spans="1:21" x14ac:dyDescent="0.35">
      <c r="A8844" s="1">
        <v>42615</v>
      </c>
      <c r="B8844" t="s">
        <v>1246</v>
      </c>
      <c r="C8844" t="s">
        <v>13</v>
      </c>
      <c r="D8844" t="s">
        <v>1364</v>
      </c>
      <c r="E8844">
        <v>31.86</v>
      </c>
      <c r="F8844">
        <v>2</v>
      </c>
      <c r="G8844">
        <v>0</v>
      </c>
      <c r="H8844">
        <v>11.151</v>
      </c>
      <c r="U8844">
        <v>11.151</v>
      </c>
    </row>
    <row r="8845" spans="1:21" x14ac:dyDescent="0.35">
      <c r="A8845" t="s">
        <v>38</v>
      </c>
      <c r="B8845" t="s">
        <v>168</v>
      </c>
      <c r="C8845" t="s">
        <v>35</v>
      </c>
      <c r="D8845" t="s">
        <v>2532</v>
      </c>
      <c r="E8845">
        <v>67.150000000000006</v>
      </c>
      <c r="F8845">
        <v>5</v>
      </c>
      <c r="G8845">
        <v>0</v>
      </c>
      <c r="H8845">
        <v>16.787500000000001</v>
      </c>
      <c r="U8845">
        <v>16.787500000000001</v>
      </c>
    </row>
    <row r="8846" spans="1:21" x14ac:dyDescent="0.35">
      <c r="A8846" t="s">
        <v>1418</v>
      </c>
      <c r="B8846" t="s">
        <v>1586</v>
      </c>
      <c r="C8846" t="s">
        <v>55</v>
      </c>
      <c r="D8846" t="s">
        <v>1957</v>
      </c>
      <c r="E8846">
        <v>7.2359999999999998</v>
      </c>
      <c r="F8846">
        <v>3</v>
      </c>
      <c r="G8846">
        <v>0.7</v>
      </c>
      <c r="H8846">
        <v>-6.03</v>
      </c>
      <c r="U8846">
        <v>-6.03</v>
      </c>
    </row>
    <row r="8847" spans="1:21" x14ac:dyDescent="0.35">
      <c r="A8847" t="s">
        <v>1418</v>
      </c>
      <c r="B8847" t="s">
        <v>1586</v>
      </c>
      <c r="C8847" t="s">
        <v>55</v>
      </c>
      <c r="D8847" t="s">
        <v>269</v>
      </c>
      <c r="E8847">
        <v>4.8239999999999998</v>
      </c>
      <c r="F8847">
        <v>3</v>
      </c>
      <c r="G8847">
        <v>0.2</v>
      </c>
      <c r="H8847">
        <v>1.7486999999999999</v>
      </c>
      <c r="U8847">
        <v>1.7486999999999999</v>
      </c>
    </row>
    <row r="8848" spans="1:21" x14ac:dyDescent="0.35">
      <c r="A8848" t="s">
        <v>1418</v>
      </c>
      <c r="B8848" t="s">
        <v>1586</v>
      </c>
      <c r="C8848" t="s">
        <v>55</v>
      </c>
      <c r="D8848" t="s">
        <v>748</v>
      </c>
      <c r="E8848">
        <v>91.36</v>
      </c>
      <c r="F8848">
        <v>5</v>
      </c>
      <c r="G8848">
        <v>0.2</v>
      </c>
      <c r="H8848">
        <v>29.692</v>
      </c>
      <c r="U8848">
        <v>29.692</v>
      </c>
    </row>
    <row r="8849" spans="1:21" x14ac:dyDescent="0.35">
      <c r="A8849" t="s">
        <v>1418</v>
      </c>
      <c r="B8849" t="s">
        <v>1586</v>
      </c>
      <c r="C8849" t="s">
        <v>55</v>
      </c>
      <c r="D8849" t="s">
        <v>1262</v>
      </c>
      <c r="E8849">
        <v>130.11199999999999</v>
      </c>
      <c r="F8849">
        <v>2</v>
      </c>
      <c r="G8849">
        <v>0.2</v>
      </c>
      <c r="H8849">
        <v>13.011200000000001</v>
      </c>
      <c r="U8849">
        <v>13.011200000000001</v>
      </c>
    </row>
    <row r="8850" spans="1:21" x14ac:dyDescent="0.35">
      <c r="A8850" s="1">
        <v>42042</v>
      </c>
      <c r="B8850" t="s">
        <v>563</v>
      </c>
      <c r="C8850" t="s">
        <v>8</v>
      </c>
      <c r="D8850" t="s">
        <v>1530</v>
      </c>
      <c r="E8850">
        <v>74.239999999999995</v>
      </c>
      <c r="F8850">
        <v>1</v>
      </c>
      <c r="G8850">
        <v>0.2</v>
      </c>
      <c r="H8850">
        <v>8.3520000000000003</v>
      </c>
      <c r="U8850">
        <v>8.3520000000000003</v>
      </c>
    </row>
    <row r="8851" spans="1:21" x14ac:dyDescent="0.35">
      <c r="A8851" s="1">
        <v>42042</v>
      </c>
      <c r="B8851" t="s">
        <v>563</v>
      </c>
      <c r="C8851" t="s">
        <v>8</v>
      </c>
      <c r="D8851" t="s">
        <v>1493</v>
      </c>
      <c r="E8851">
        <v>159.84</v>
      </c>
      <c r="F8851">
        <v>10</v>
      </c>
      <c r="G8851">
        <v>0.2</v>
      </c>
      <c r="H8851">
        <v>45.954000000000001</v>
      </c>
      <c r="U8851">
        <v>45.954000000000001</v>
      </c>
    </row>
    <row r="8852" spans="1:21" x14ac:dyDescent="0.35">
      <c r="A8852" s="1">
        <v>42042</v>
      </c>
      <c r="B8852" t="s">
        <v>563</v>
      </c>
      <c r="C8852" t="s">
        <v>8</v>
      </c>
      <c r="D8852" t="s">
        <v>988</v>
      </c>
      <c r="E8852">
        <v>2.8919999999999999</v>
      </c>
      <c r="F8852">
        <v>2</v>
      </c>
      <c r="G8852">
        <v>0.7</v>
      </c>
      <c r="H8852">
        <v>-2.3136000000000001</v>
      </c>
      <c r="U8852">
        <v>-2.3136000000000001</v>
      </c>
    </row>
    <row r="8853" spans="1:21" x14ac:dyDescent="0.35">
      <c r="A8853" s="1">
        <v>42042</v>
      </c>
      <c r="B8853" t="s">
        <v>563</v>
      </c>
      <c r="C8853" t="s">
        <v>8</v>
      </c>
      <c r="D8853" t="s">
        <v>1245</v>
      </c>
      <c r="E8853">
        <v>9.3919999999999995</v>
      </c>
      <c r="F8853">
        <v>2</v>
      </c>
      <c r="G8853">
        <v>0.2</v>
      </c>
      <c r="H8853">
        <v>3.2871999999999999</v>
      </c>
      <c r="U8853">
        <v>3.2871999999999999</v>
      </c>
    </row>
    <row r="8854" spans="1:21" x14ac:dyDescent="0.35">
      <c r="A8854" s="1">
        <v>41861</v>
      </c>
      <c r="B8854" t="s">
        <v>165</v>
      </c>
      <c r="C8854" t="s">
        <v>55</v>
      </c>
      <c r="D8854" t="s">
        <v>1685</v>
      </c>
      <c r="E8854">
        <v>123.92</v>
      </c>
      <c r="F8854">
        <v>4</v>
      </c>
      <c r="G8854">
        <v>0</v>
      </c>
      <c r="H8854">
        <v>55.764000000000003</v>
      </c>
      <c r="U8854">
        <v>55.764000000000003</v>
      </c>
    </row>
    <row r="8855" spans="1:21" x14ac:dyDescent="0.35">
      <c r="A8855" t="s">
        <v>920</v>
      </c>
      <c r="B8855" t="s">
        <v>1388</v>
      </c>
      <c r="C8855" t="s">
        <v>55</v>
      </c>
      <c r="D8855" t="s">
        <v>1920</v>
      </c>
      <c r="E8855">
        <v>55.6</v>
      </c>
      <c r="F8855">
        <v>5</v>
      </c>
      <c r="G8855">
        <v>0.2</v>
      </c>
      <c r="H8855">
        <v>6.2549999999999999</v>
      </c>
      <c r="U8855">
        <v>6.2549999999999999</v>
      </c>
    </row>
    <row r="8856" spans="1:21" x14ac:dyDescent="0.35">
      <c r="A8856" t="s">
        <v>920</v>
      </c>
      <c r="B8856" t="s">
        <v>1388</v>
      </c>
      <c r="C8856" t="s">
        <v>55</v>
      </c>
      <c r="D8856" t="s">
        <v>435</v>
      </c>
      <c r="E8856">
        <v>617.976</v>
      </c>
      <c r="F8856">
        <v>3</v>
      </c>
      <c r="G8856">
        <v>0.2</v>
      </c>
      <c r="H8856">
        <v>-7.7247000000000003</v>
      </c>
      <c r="U8856">
        <v>-7.7247000000000003</v>
      </c>
    </row>
    <row r="8857" spans="1:21" x14ac:dyDescent="0.35">
      <c r="A8857" t="s">
        <v>688</v>
      </c>
      <c r="B8857" t="s">
        <v>1198</v>
      </c>
      <c r="C8857" t="s">
        <v>13</v>
      </c>
      <c r="D8857" t="s">
        <v>431</v>
      </c>
      <c r="E8857">
        <v>21.312000000000001</v>
      </c>
      <c r="F8857">
        <v>3</v>
      </c>
      <c r="G8857">
        <v>0.2</v>
      </c>
      <c r="H8857">
        <v>7.992</v>
      </c>
      <c r="U8857">
        <v>7.992</v>
      </c>
    </row>
    <row r="8858" spans="1:21" x14ac:dyDescent="0.35">
      <c r="A8858" t="s">
        <v>497</v>
      </c>
      <c r="B8858" t="s">
        <v>1680</v>
      </c>
      <c r="C8858" t="s">
        <v>13</v>
      </c>
      <c r="D8858" t="s">
        <v>657</v>
      </c>
      <c r="E8858">
        <v>209.94</v>
      </c>
      <c r="F8858">
        <v>6</v>
      </c>
      <c r="G8858">
        <v>0</v>
      </c>
      <c r="H8858">
        <v>39.888599999999997</v>
      </c>
      <c r="U8858">
        <v>39.888599999999997</v>
      </c>
    </row>
    <row r="8859" spans="1:21" x14ac:dyDescent="0.35">
      <c r="A8859" t="s">
        <v>497</v>
      </c>
      <c r="B8859" t="s">
        <v>1680</v>
      </c>
      <c r="C8859" t="s">
        <v>13</v>
      </c>
      <c r="D8859" t="s">
        <v>2233</v>
      </c>
      <c r="E8859">
        <v>31.984000000000002</v>
      </c>
      <c r="F8859">
        <v>2</v>
      </c>
      <c r="G8859">
        <v>0.2</v>
      </c>
      <c r="H8859">
        <v>-7.9960000000000004</v>
      </c>
      <c r="U8859">
        <v>-7.9960000000000004</v>
      </c>
    </row>
    <row r="8860" spans="1:21" x14ac:dyDescent="0.35">
      <c r="A8860" t="s">
        <v>497</v>
      </c>
      <c r="B8860" t="s">
        <v>1680</v>
      </c>
      <c r="C8860" t="s">
        <v>13</v>
      </c>
      <c r="D8860" t="s">
        <v>849</v>
      </c>
      <c r="E8860">
        <v>5083.96</v>
      </c>
      <c r="F8860">
        <v>5</v>
      </c>
      <c r="G8860">
        <v>0.2</v>
      </c>
      <c r="H8860">
        <v>1906.4849999999999</v>
      </c>
      <c r="U8860">
        <v>1906.4849999999999</v>
      </c>
    </row>
    <row r="8861" spans="1:21" x14ac:dyDescent="0.35">
      <c r="A8861" t="s">
        <v>1944</v>
      </c>
      <c r="B8861" t="s">
        <v>1727</v>
      </c>
      <c r="C8861" t="s">
        <v>8</v>
      </c>
      <c r="D8861" t="s">
        <v>2346</v>
      </c>
      <c r="E8861">
        <v>35.96</v>
      </c>
      <c r="F8861">
        <v>1</v>
      </c>
      <c r="G8861">
        <v>0.2</v>
      </c>
      <c r="H8861">
        <v>3.5960000000000001</v>
      </c>
      <c r="U8861">
        <v>3.5960000000000001</v>
      </c>
    </row>
    <row r="8862" spans="1:21" x14ac:dyDescent="0.35">
      <c r="A8862" s="1">
        <v>42317</v>
      </c>
      <c r="B8862" t="s">
        <v>1386</v>
      </c>
      <c r="C8862" t="s">
        <v>55</v>
      </c>
      <c r="D8862" t="s">
        <v>2509</v>
      </c>
      <c r="E8862">
        <v>31.05</v>
      </c>
      <c r="F8862">
        <v>3</v>
      </c>
      <c r="G8862">
        <v>0</v>
      </c>
      <c r="H8862">
        <v>14.904</v>
      </c>
      <c r="U8862">
        <v>14.904</v>
      </c>
    </row>
    <row r="8863" spans="1:21" x14ac:dyDescent="0.35">
      <c r="A8863" s="1">
        <v>42317</v>
      </c>
      <c r="B8863" t="s">
        <v>1386</v>
      </c>
      <c r="C8863" t="s">
        <v>55</v>
      </c>
      <c r="D8863" t="s">
        <v>2127</v>
      </c>
      <c r="E8863">
        <v>8.92</v>
      </c>
      <c r="F8863">
        <v>4</v>
      </c>
      <c r="G8863">
        <v>0</v>
      </c>
      <c r="H8863">
        <v>3.9247999999999998</v>
      </c>
      <c r="U8863">
        <v>3.9247999999999998</v>
      </c>
    </row>
    <row r="8864" spans="1:21" x14ac:dyDescent="0.35">
      <c r="A8864" s="1">
        <v>42317</v>
      </c>
      <c r="B8864" t="s">
        <v>1386</v>
      </c>
      <c r="C8864" t="s">
        <v>55</v>
      </c>
      <c r="D8864" t="s">
        <v>525</v>
      </c>
      <c r="E8864">
        <v>209.6</v>
      </c>
      <c r="F8864">
        <v>4</v>
      </c>
      <c r="G8864">
        <v>0</v>
      </c>
      <c r="H8864">
        <v>96.415999999999997</v>
      </c>
      <c r="U8864">
        <v>96.415999999999997</v>
      </c>
    </row>
    <row r="8865" spans="1:21" x14ac:dyDescent="0.35">
      <c r="A8865" s="1">
        <v>42317</v>
      </c>
      <c r="B8865" t="s">
        <v>1386</v>
      </c>
      <c r="C8865" t="s">
        <v>55</v>
      </c>
      <c r="D8865" t="s">
        <v>1802</v>
      </c>
      <c r="E8865">
        <v>111.04</v>
      </c>
      <c r="F8865">
        <v>4</v>
      </c>
      <c r="G8865">
        <v>0</v>
      </c>
      <c r="H8865">
        <v>29.980799999999999</v>
      </c>
      <c r="U8865">
        <v>29.980799999999999</v>
      </c>
    </row>
    <row r="8866" spans="1:21" x14ac:dyDescent="0.35">
      <c r="A8866" s="1">
        <v>42317</v>
      </c>
      <c r="B8866" t="s">
        <v>1386</v>
      </c>
      <c r="C8866" t="s">
        <v>55</v>
      </c>
      <c r="D8866" t="s">
        <v>2503</v>
      </c>
      <c r="E8866">
        <v>38.880000000000003</v>
      </c>
      <c r="F8866">
        <v>6</v>
      </c>
      <c r="G8866">
        <v>0</v>
      </c>
      <c r="H8866">
        <v>18.662400000000002</v>
      </c>
      <c r="U8866">
        <v>18.662400000000002</v>
      </c>
    </row>
    <row r="8867" spans="1:21" x14ac:dyDescent="0.35">
      <c r="A8867" t="s">
        <v>595</v>
      </c>
      <c r="B8867" t="s">
        <v>2139</v>
      </c>
      <c r="C8867" t="s">
        <v>8</v>
      </c>
      <c r="D8867" t="s">
        <v>1919</v>
      </c>
      <c r="E8867">
        <v>36.270000000000003</v>
      </c>
      <c r="F8867">
        <v>3</v>
      </c>
      <c r="G8867">
        <v>0</v>
      </c>
      <c r="H8867">
        <v>10.881</v>
      </c>
      <c r="U8867">
        <v>10.881</v>
      </c>
    </row>
    <row r="8868" spans="1:21" x14ac:dyDescent="0.35">
      <c r="A8868" t="s">
        <v>251</v>
      </c>
      <c r="B8868" t="s">
        <v>2617</v>
      </c>
      <c r="C8868" t="s">
        <v>35</v>
      </c>
      <c r="D8868" t="s">
        <v>2454</v>
      </c>
      <c r="E8868">
        <v>493.43</v>
      </c>
      <c r="F8868">
        <v>5</v>
      </c>
      <c r="G8868">
        <v>0.3</v>
      </c>
      <c r="H8868">
        <v>-70.489999999999995</v>
      </c>
      <c r="U8868">
        <v>-70.489999999999995</v>
      </c>
    </row>
    <row r="8869" spans="1:21" x14ac:dyDescent="0.35">
      <c r="A8869" t="s">
        <v>251</v>
      </c>
      <c r="B8869" t="s">
        <v>2617</v>
      </c>
      <c r="C8869" t="s">
        <v>35</v>
      </c>
      <c r="D8869" t="s">
        <v>1778</v>
      </c>
      <c r="E8869">
        <v>11.12</v>
      </c>
      <c r="F8869">
        <v>2</v>
      </c>
      <c r="G8869">
        <v>0.2</v>
      </c>
      <c r="H8869">
        <v>3.4750000000000001</v>
      </c>
      <c r="U8869">
        <v>3.4750000000000001</v>
      </c>
    </row>
    <row r="8870" spans="1:21" x14ac:dyDescent="0.35">
      <c r="A8870" s="1">
        <v>42471</v>
      </c>
      <c r="B8870" t="s">
        <v>2336</v>
      </c>
      <c r="C8870" t="s">
        <v>13</v>
      </c>
      <c r="D8870" t="s">
        <v>2642</v>
      </c>
      <c r="E8870">
        <v>686.4</v>
      </c>
      <c r="F8870">
        <v>2</v>
      </c>
      <c r="G8870">
        <v>0.2</v>
      </c>
      <c r="H8870">
        <v>77.22</v>
      </c>
      <c r="U8870">
        <v>77.22</v>
      </c>
    </row>
    <row r="8871" spans="1:21" x14ac:dyDescent="0.35">
      <c r="A8871" s="1">
        <v>42747</v>
      </c>
      <c r="B8871" t="s">
        <v>274</v>
      </c>
      <c r="C8871" t="s">
        <v>13</v>
      </c>
      <c r="D8871" t="s">
        <v>2202</v>
      </c>
      <c r="E8871">
        <v>15.92</v>
      </c>
      <c r="F8871">
        <v>5</v>
      </c>
      <c r="G8871">
        <v>0.2</v>
      </c>
      <c r="H8871">
        <v>5.3730000000000002</v>
      </c>
      <c r="U8871">
        <v>5.3730000000000002</v>
      </c>
    </row>
    <row r="8872" spans="1:21" x14ac:dyDescent="0.35">
      <c r="A8872" s="1">
        <v>42747</v>
      </c>
      <c r="B8872" t="s">
        <v>274</v>
      </c>
      <c r="C8872" t="s">
        <v>13</v>
      </c>
      <c r="D8872" t="s">
        <v>619</v>
      </c>
      <c r="E8872">
        <v>70.680000000000007</v>
      </c>
      <c r="F8872">
        <v>12</v>
      </c>
      <c r="G8872">
        <v>0</v>
      </c>
      <c r="H8872">
        <v>31.0992</v>
      </c>
      <c r="U8872">
        <v>31.0992</v>
      </c>
    </row>
    <row r="8873" spans="1:21" x14ac:dyDescent="0.35">
      <c r="A8873" s="1">
        <v>42747</v>
      </c>
      <c r="B8873" t="s">
        <v>274</v>
      </c>
      <c r="C8873" t="s">
        <v>13</v>
      </c>
      <c r="D8873" t="s">
        <v>528</v>
      </c>
      <c r="E8873">
        <v>541.24</v>
      </c>
      <c r="F8873">
        <v>4</v>
      </c>
      <c r="G8873">
        <v>0</v>
      </c>
      <c r="H8873">
        <v>5.4123999999999999</v>
      </c>
      <c r="U8873">
        <v>5.4123999999999999</v>
      </c>
    </row>
    <row r="8874" spans="1:21" x14ac:dyDescent="0.35">
      <c r="A8874" s="1">
        <v>41922</v>
      </c>
      <c r="B8874" t="s">
        <v>1996</v>
      </c>
      <c r="C8874" t="s">
        <v>55</v>
      </c>
      <c r="D8874" t="s">
        <v>2727</v>
      </c>
      <c r="E8874">
        <v>101.994</v>
      </c>
      <c r="F8874">
        <v>2</v>
      </c>
      <c r="G8874">
        <v>0.7</v>
      </c>
      <c r="H8874">
        <v>-71.395799999999994</v>
      </c>
      <c r="U8874">
        <v>-71.395799999999994</v>
      </c>
    </row>
    <row r="8875" spans="1:21" x14ac:dyDescent="0.35">
      <c r="A8875" s="1">
        <v>41922</v>
      </c>
      <c r="B8875" t="s">
        <v>1996</v>
      </c>
      <c r="C8875" t="s">
        <v>55</v>
      </c>
      <c r="D8875" t="s">
        <v>879</v>
      </c>
      <c r="E8875">
        <v>18.263999999999999</v>
      </c>
      <c r="F8875">
        <v>2</v>
      </c>
      <c r="G8875">
        <v>0.7</v>
      </c>
      <c r="H8875">
        <v>-13.393599999999999</v>
      </c>
      <c r="U8875">
        <v>-13.393599999999999</v>
      </c>
    </row>
    <row r="8876" spans="1:21" x14ac:dyDescent="0.35">
      <c r="A8876" t="s">
        <v>954</v>
      </c>
      <c r="B8876" t="s">
        <v>2198</v>
      </c>
      <c r="C8876" t="s">
        <v>35</v>
      </c>
      <c r="D8876" t="s">
        <v>1251</v>
      </c>
      <c r="E8876">
        <v>21.99</v>
      </c>
      <c r="F8876">
        <v>5</v>
      </c>
      <c r="G8876">
        <v>0.8</v>
      </c>
      <c r="H8876">
        <v>-32.984999999999999</v>
      </c>
      <c r="U8876">
        <v>-32.984999999999999</v>
      </c>
    </row>
    <row r="8877" spans="1:21" x14ac:dyDescent="0.35">
      <c r="A8877" t="s">
        <v>1808</v>
      </c>
      <c r="B8877" t="s">
        <v>1946</v>
      </c>
      <c r="C8877" t="s">
        <v>35</v>
      </c>
      <c r="D8877" t="s">
        <v>779</v>
      </c>
      <c r="E8877">
        <v>185.376</v>
      </c>
      <c r="F8877">
        <v>2</v>
      </c>
      <c r="G8877">
        <v>0.2</v>
      </c>
      <c r="H8877">
        <v>-34.758000000000003</v>
      </c>
      <c r="U8877">
        <v>-34.758000000000003</v>
      </c>
    </row>
    <row r="8878" spans="1:21" x14ac:dyDescent="0.35">
      <c r="A8878" t="s">
        <v>1808</v>
      </c>
      <c r="B8878" t="s">
        <v>1946</v>
      </c>
      <c r="C8878" t="s">
        <v>35</v>
      </c>
      <c r="D8878" t="s">
        <v>1936</v>
      </c>
      <c r="E8878">
        <v>58.923999999999999</v>
      </c>
      <c r="F8878">
        <v>1</v>
      </c>
      <c r="G8878">
        <v>0.8</v>
      </c>
      <c r="H8878">
        <v>-153.20240000000001</v>
      </c>
      <c r="U8878">
        <v>-153.20240000000001</v>
      </c>
    </row>
    <row r="8879" spans="1:21" x14ac:dyDescent="0.35">
      <c r="A8879" t="s">
        <v>149</v>
      </c>
      <c r="B8879" t="s">
        <v>208</v>
      </c>
      <c r="C8879" t="s">
        <v>55</v>
      </c>
      <c r="D8879" t="s">
        <v>2728</v>
      </c>
      <c r="E8879">
        <v>480</v>
      </c>
      <c r="F8879">
        <v>4</v>
      </c>
      <c r="G8879">
        <v>0</v>
      </c>
      <c r="H8879">
        <v>225.6</v>
      </c>
      <c r="U8879">
        <v>225.6</v>
      </c>
    </row>
    <row r="8880" spans="1:21" x14ac:dyDescent="0.35">
      <c r="A8880" t="s">
        <v>149</v>
      </c>
      <c r="B8880" t="s">
        <v>208</v>
      </c>
      <c r="C8880" t="s">
        <v>55</v>
      </c>
      <c r="D8880" t="s">
        <v>159</v>
      </c>
      <c r="E8880">
        <v>34.049999999999997</v>
      </c>
      <c r="F8880">
        <v>3</v>
      </c>
      <c r="G8880">
        <v>0</v>
      </c>
      <c r="H8880">
        <v>9.5340000000000007</v>
      </c>
      <c r="U8880">
        <v>9.5340000000000007</v>
      </c>
    </row>
    <row r="8881" spans="1:21" x14ac:dyDescent="0.35">
      <c r="A8881" t="s">
        <v>1160</v>
      </c>
      <c r="B8881" t="s">
        <v>363</v>
      </c>
      <c r="C8881" t="s">
        <v>13</v>
      </c>
      <c r="D8881" t="s">
        <v>2080</v>
      </c>
      <c r="E8881">
        <v>192.72</v>
      </c>
      <c r="F8881">
        <v>11</v>
      </c>
      <c r="G8881">
        <v>0</v>
      </c>
      <c r="H8881">
        <v>92.505600000000001</v>
      </c>
      <c r="U8881">
        <v>92.505600000000001</v>
      </c>
    </row>
    <row r="8882" spans="1:21" x14ac:dyDescent="0.35">
      <c r="A8882" t="s">
        <v>1160</v>
      </c>
      <c r="B8882" t="s">
        <v>363</v>
      </c>
      <c r="C8882" t="s">
        <v>13</v>
      </c>
      <c r="D8882" t="s">
        <v>1798</v>
      </c>
      <c r="E8882">
        <v>239.97</v>
      </c>
      <c r="F8882">
        <v>3</v>
      </c>
      <c r="G8882">
        <v>0</v>
      </c>
      <c r="H8882">
        <v>86.389200000000002</v>
      </c>
      <c r="U8882">
        <v>86.389200000000002</v>
      </c>
    </row>
    <row r="8883" spans="1:21" x14ac:dyDescent="0.35">
      <c r="A8883" t="s">
        <v>2457</v>
      </c>
      <c r="B8883" t="s">
        <v>1976</v>
      </c>
      <c r="C8883" t="s">
        <v>35</v>
      </c>
      <c r="D8883" t="s">
        <v>1718</v>
      </c>
      <c r="E8883">
        <v>50.12</v>
      </c>
      <c r="F8883">
        <v>7</v>
      </c>
      <c r="G8883">
        <v>0.2</v>
      </c>
      <c r="H8883">
        <v>-0.62649999999999995</v>
      </c>
      <c r="U8883">
        <v>-0.62649999999999995</v>
      </c>
    </row>
    <row r="8884" spans="1:21" x14ac:dyDescent="0.35">
      <c r="A8884" t="s">
        <v>761</v>
      </c>
      <c r="B8884" t="s">
        <v>1733</v>
      </c>
      <c r="C8884" t="s">
        <v>8</v>
      </c>
      <c r="D8884" t="s">
        <v>2402</v>
      </c>
      <c r="E8884">
        <v>15.984</v>
      </c>
      <c r="F8884">
        <v>2</v>
      </c>
      <c r="G8884">
        <v>0.2</v>
      </c>
      <c r="H8884">
        <v>1.3986000000000001</v>
      </c>
      <c r="U8884">
        <v>1.3986000000000001</v>
      </c>
    </row>
    <row r="8885" spans="1:21" x14ac:dyDescent="0.35">
      <c r="A8885" t="s">
        <v>761</v>
      </c>
      <c r="B8885" t="s">
        <v>1733</v>
      </c>
      <c r="C8885" t="s">
        <v>8</v>
      </c>
      <c r="D8885" t="s">
        <v>860</v>
      </c>
      <c r="E8885">
        <v>14.352</v>
      </c>
      <c r="F8885">
        <v>3</v>
      </c>
      <c r="G8885">
        <v>0.2</v>
      </c>
      <c r="H8885">
        <v>4.4850000000000003</v>
      </c>
      <c r="U8885">
        <v>4.4850000000000003</v>
      </c>
    </row>
    <row r="8886" spans="1:21" x14ac:dyDescent="0.35">
      <c r="A8886" t="s">
        <v>232</v>
      </c>
      <c r="B8886" t="s">
        <v>139</v>
      </c>
      <c r="C8886" t="s">
        <v>55</v>
      </c>
      <c r="D8886" t="s">
        <v>581</v>
      </c>
      <c r="E8886">
        <v>6.5279999999999996</v>
      </c>
      <c r="F8886">
        <v>4</v>
      </c>
      <c r="G8886">
        <v>0.7</v>
      </c>
      <c r="H8886">
        <v>-4.5696000000000003</v>
      </c>
      <c r="U8886">
        <v>-4.5696000000000003</v>
      </c>
    </row>
    <row r="8887" spans="1:21" x14ac:dyDescent="0.35">
      <c r="A8887" t="s">
        <v>232</v>
      </c>
      <c r="B8887" t="s">
        <v>139</v>
      </c>
      <c r="C8887" t="s">
        <v>55</v>
      </c>
      <c r="D8887" t="s">
        <v>2081</v>
      </c>
      <c r="E8887">
        <v>2.8620000000000001</v>
      </c>
      <c r="F8887">
        <v>3</v>
      </c>
      <c r="G8887">
        <v>0.7</v>
      </c>
      <c r="H8887">
        <v>-2.2896000000000001</v>
      </c>
      <c r="U8887">
        <v>-2.2896000000000001</v>
      </c>
    </row>
    <row r="8888" spans="1:21" x14ac:dyDescent="0.35">
      <c r="A8888" t="s">
        <v>232</v>
      </c>
      <c r="B8888" t="s">
        <v>139</v>
      </c>
      <c r="C8888" t="s">
        <v>55</v>
      </c>
      <c r="D8888" t="s">
        <v>965</v>
      </c>
      <c r="E8888">
        <v>20.856000000000002</v>
      </c>
      <c r="F8888">
        <v>8</v>
      </c>
      <c r="G8888">
        <v>0.7</v>
      </c>
      <c r="H8888">
        <v>-16.684799999999999</v>
      </c>
      <c r="U8888">
        <v>-16.684799999999999</v>
      </c>
    </row>
    <row r="8889" spans="1:21" x14ac:dyDescent="0.35">
      <c r="A8889" t="s">
        <v>632</v>
      </c>
      <c r="B8889" t="s">
        <v>494</v>
      </c>
      <c r="C8889" t="s">
        <v>13</v>
      </c>
      <c r="D8889" t="s">
        <v>1575</v>
      </c>
      <c r="E8889">
        <v>276.27999999999997</v>
      </c>
      <c r="F8889">
        <v>2</v>
      </c>
      <c r="G8889">
        <v>0</v>
      </c>
      <c r="H8889">
        <v>0</v>
      </c>
      <c r="U8889">
        <v>0</v>
      </c>
    </row>
    <row r="8890" spans="1:21" x14ac:dyDescent="0.35">
      <c r="A8890" s="1">
        <v>42747</v>
      </c>
      <c r="B8890" t="s">
        <v>1815</v>
      </c>
      <c r="C8890" t="s">
        <v>13</v>
      </c>
      <c r="D8890" t="s">
        <v>1048</v>
      </c>
      <c r="E8890">
        <v>629.64</v>
      </c>
      <c r="F8890">
        <v>9</v>
      </c>
      <c r="G8890">
        <v>0</v>
      </c>
      <c r="H8890">
        <v>107.03879999999999</v>
      </c>
      <c r="U8890">
        <v>107.03879999999999</v>
      </c>
    </row>
    <row r="8891" spans="1:21" x14ac:dyDescent="0.35">
      <c r="A8891" t="s">
        <v>1683</v>
      </c>
      <c r="B8891" t="s">
        <v>2604</v>
      </c>
      <c r="C8891" t="s">
        <v>35</v>
      </c>
      <c r="D8891" t="s">
        <v>2106</v>
      </c>
      <c r="E8891">
        <v>449.97</v>
      </c>
      <c r="F8891">
        <v>3</v>
      </c>
      <c r="G8891">
        <v>0</v>
      </c>
      <c r="H8891">
        <v>220.4853</v>
      </c>
      <c r="U8891">
        <v>220.4853</v>
      </c>
    </row>
    <row r="8892" spans="1:21" x14ac:dyDescent="0.35">
      <c r="A8892" t="s">
        <v>1683</v>
      </c>
      <c r="B8892" t="s">
        <v>2604</v>
      </c>
      <c r="C8892" t="s">
        <v>35</v>
      </c>
      <c r="D8892" t="s">
        <v>2116</v>
      </c>
      <c r="E8892">
        <v>1927.59</v>
      </c>
      <c r="F8892">
        <v>7</v>
      </c>
      <c r="G8892">
        <v>0</v>
      </c>
      <c r="H8892">
        <v>751.76009999999997</v>
      </c>
      <c r="U8892">
        <v>751.76009999999997</v>
      </c>
    </row>
    <row r="8893" spans="1:21" x14ac:dyDescent="0.35">
      <c r="A8893" t="s">
        <v>2540</v>
      </c>
      <c r="B8893" t="s">
        <v>538</v>
      </c>
      <c r="C8893" t="s">
        <v>8</v>
      </c>
      <c r="D8893" t="s">
        <v>138</v>
      </c>
      <c r="E8893">
        <v>121.78</v>
      </c>
      <c r="F8893">
        <v>2</v>
      </c>
      <c r="G8893">
        <v>0</v>
      </c>
      <c r="H8893">
        <v>30.445</v>
      </c>
      <c r="U8893">
        <v>30.445</v>
      </c>
    </row>
    <row r="8894" spans="1:21" x14ac:dyDescent="0.35">
      <c r="A8894" s="1">
        <v>42016</v>
      </c>
      <c r="B8894" t="s">
        <v>2709</v>
      </c>
      <c r="C8894" t="s">
        <v>13</v>
      </c>
      <c r="D8894" t="s">
        <v>1473</v>
      </c>
      <c r="E8894">
        <v>2676.672</v>
      </c>
      <c r="F8894">
        <v>9</v>
      </c>
      <c r="G8894">
        <v>0.2</v>
      </c>
      <c r="H8894">
        <v>267.66719999999998</v>
      </c>
      <c r="U8894">
        <v>267.66719999999998</v>
      </c>
    </row>
    <row r="8895" spans="1:21" x14ac:dyDescent="0.35">
      <c r="A8895" s="1">
        <v>41767</v>
      </c>
      <c r="B8895" t="s">
        <v>208</v>
      </c>
      <c r="C8895" t="s">
        <v>35</v>
      </c>
      <c r="D8895" t="s">
        <v>1804</v>
      </c>
      <c r="E8895">
        <v>489.23</v>
      </c>
      <c r="F8895">
        <v>2</v>
      </c>
      <c r="G8895">
        <v>0.3</v>
      </c>
      <c r="H8895">
        <v>41.933999999999997</v>
      </c>
      <c r="U8895">
        <v>41.933999999999997</v>
      </c>
    </row>
    <row r="8896" spans="1:21" x14ac:dyDescent="0.35">
      <c r="A8896" t="s">
        <v>983</v>
      </c>
      <c r="B8896" t="s">
        <v>892</v>
      </c>
      <c r="C8896" t="s">
        <v>13</v>
      </c>
      <c r="D8896" t="s">
        <v>1039</v>
      </c>
      <c r="E8896">
        <v>312.02999999999997</v>
      </c>
      <c r="F8896">
        <v>3</v>
      </c>
      <c r="G8896">
        <v>0</v>
      </c>
      <c r="H8896">
        <v>43.684199999999997</v>
      </c>
      <c r="U8896">
        <v>43.684199999999997</v>
      </c>
    </row>
    <row r="8897" spans="1:21" x14ac:dyDescent="0.35">
      <c r="A8897" t="s">
        <v>983</v>
      </c>
      <c r="B8897" t="s">
        <v>892</v>
      </c>
      <c r="C8897" t="s">
        <v>13</v>
      </c>
      <c r="D8897" t="s">
        <v>1914</v>
      </c>
      <c r="E8897">
        <v>17.940000000000001</v>
      </c>
      <c r="F8897">
        <v>3</v>
      </c>
      <c r="G8897">
        <v>0</v>
      </c>
      <c r="H8897">
        <v>3.0497999999999998</v>
      </c>
      <c r="U8897">
        <v>3.0497999999999998</v>
      </c>
    </row>
    <row r="8898" spans="1:21" x14ac:dyDescent="0.35">
      <c r="A8898" t="s">
        <v>983</v>
      </c>
      <c r="B8898" t="s">
        <v>892</v>
      </c>
      <c r="C8898" t="s">
        <v>13</v>
      </c>
      <c r="D8898" t="s">
        <v>579</v>
      </c>
      <c r="E8898">
        <v>165.6</v>
      </c>
      <c r="F8898">
        <v>3</v>
      </c>
      <c r="G8898">
        <v>0.2</v>
      </c>
      <c r="H8898">
        <v>10.35</v>
      </c>
      <c r="U8898">
        <v>10.35</v>
      </c>
    </row>
    <row r="8899" spans="1:21" x14ac:dyDescent="0.35">
      <c r="A8899" t="s">
        <v>983</v>
      </c>
      <c r="B8899" t="s">
        <v>892</v>
      </c>
      <c r="C8899" t="s">
        <v>13</v>
      </c>
      <c r="D8899" t="s">
        <v>1579</v>
      </c>
      <c r="E8899">
        <v>37.520000000000003</v>
      </c>
      <c r="F8899">
        <v>4</v>
      </c>
      <c r="G8899">
        <v>0</v>
      </c>
      <c r="H8899">
        <v>18.009599999999999</v>
      </c>
      <c r="U8899">
        <v>18.009599999999999</v>
      </c>
    </row>
    <row r="8900" spans="1:21" x14ac:dyDescent="0.35">
      <c r="A8900" s="1">
        <v>42193</v>
      </c>
      <c r="B8900" t="s">
        <v>1191</v>
      </c>
      <c r="C8900" t="s">
        <v>8</v>
      </c>
      <c r="D8900" t="s">
        <v>2201</v>
      </c>
      <c r="E8900">
        <v>494.97</v>
      </c>
      <c r="F8900">
        <v>3</v>
      </c>
      <c r="G8900">
        <v>0</v>
      </c>
      <c r="H8900">
        <v>148.49100000000001</v>
      </c>
      <c r="U8900">
        <v>148.49100000000001</v>
      </c>
    </row>
    <row r="8901" spans="1:21" x14ac:dyDescent="0.35">
      <c r="A8901" s="1">
        <v>42193</v>
      </c>
      <c r="B8901" t="s">
        <v>1191</v>
      </c>
      <c r="C8901" t="s">
        <v>8</v>
      </c>
      <c r="D8901" t="s">
        <v>2131</v>
      </c>
      <c r="E8901">
        <v>25.06</v>
      </c>
      <c r="F8901">
        <v>2</v>
      </c>
      <c r="G8901">
        <v>0</v>
      </c>
      <c r="H8901">
        <v>11.7782</v>
      </c>
      <c r="U8901">
        <v>11.7782</v>
      </c>
    </row>
    <row r="8902" spans="1:21" x14ac:dyDescent="0.35">
      <c r="A8902" t="s">
        <v>1299</v>
      </c>
      <c r="B8902" t="s">
        <v>1586</v>
      </c>
      <c r="C8902" t="s">
        <v>35</v>
      </c>
      <c r="D8902" t="s">
        <v>2708</v>
      </c>
      <c r="E8902">
        <v>32.064</v>
      </c>
      <c r="F8902">
        <v>3</v>
      </c>
      <c r="G8902">
        <v>0.6</v>
      </c>
      <c r="H8902">
        <v>-12.8256</v>
      </c>
      <c r="U8902">
        <v>-12.8256</v>
      </c>
    </row>
    <row r="8903" spans="1:21" x14ac:dyDescent="0.35">
      <c r="A8903" t="s">
        <v>1299</v>
      </c>
      <c r="B8903" t="s">
        <v>1586</v>
      </c>
      <c r="C8903" t="s">
        <v>35</v>
      </c>
      <c r="D8903" t="s">
        <v>2705</v>
      </c>
      <c r="E8903">
        <v>18.495999999999999</v>
      </c>
      <c r="F8903">
        <v>4</v>
      </c>
      <c r="G8903">
        <v>0.2</v>
      </c>
      <c r="H8903">
        <v>6.7047999999999996</v>
      </c>
      <c r="U8903">
        <v>6.7047999999999996</v>
      </c>
    </row>
    <row r="8904" spans="1:21" x14ac:dyDescent="0.35">
      <c r="A8904" t="s">
        <v>1299</v>
      </c>
      <c r="B8904" t="s">
        <v>1586</v>
      </c>
      <c r="C8904" t="s">
        <v>35</v>
      </c>
      <c r="D8904" t="s">
        <v>2265</v>
      </c>
      <c r="E8904">
        <v>191.07900000000001</v>
      </c>
      <c r="F8904">
        <v>3</v>
      </c>
      <c r="G8904">
        <v>0.3</v>
      </c>
      <c r="H8904">
        <v>-38.215800000000002</v>
      </c>
      <c r="U8904">
        <v>-38.215800000000002</v>
      </c>
    </row>
    <row r="8905" spans="1:21" x14ac:dyDescent="0.35">
      <c r="A8905" t="s">
        <v>1299</v>
      </c>
      <c r="B8905" t="s">
        <v>1586</v>
      </c>
      <c r="C8905" t="s">
        <v>35</v>
      </c>
      <c r="D8905" t="s">
        <v>1295</v>
      </c>
      <c r="E8905">
        <v>10.368</v>
      </c>
      <c r="F8905">
        <v>2</v>
      </c>
      <c r="G8905">
        <v>0.2</v>
      </c>
      <c r="H8905">
        <v>3.6288</v>
      </c>
      <c r="U8905">
        <v>3.6288</v>
      </c>
    </row>
    <row r="8906" spans="1:21" x14ac:dyDescent="0.35">
      <c r="A8906" s="1">
        <v>42376</v>
      </c>
      <c r="B8906" t="s">
        <v>2390</v>
      </c>
      <c r="C8906" t="s">
        <v>55</v>
      </c>
      <c r="D8906" t="s">
        <v>1552</v>
      </c>
      <c r="E8906">
        <v>30.53</v>
      </c>
      <c r="F8906">
        <v>1</v>
      </c>
      <c r="G8906">
        <v>0</v>
      </c>
      <c r="H8906">
        <v>14.043799999999999</v>
      </c>
      <c r="U8906">
        <v>14.043799999999999</v>
      </c>
    </row>
    <row r="8907" spans="1:21" x14ac:dyDescent="0.35">
      <c r="A8907" s="1">
        <v>42376</v>
      </c>
      <c r="B8907" t="s">
        <v>2390</v>
      </c>
      <c r="C8907" t="s">
        <v>55</v>
      </c>
      <c r="D8907" t="s">
        <v>2173</v>
      </c>
      <c r="E8907">
        <v>30.84</v>
      </c>
      <c r="F8907">
        <v>3</v>
      </c>
      <c r="G8907">
        <v>0</v>
      </c>
      <c r="H8907">
        <v>6.1680000000000001</v>
      </c>
      <c r="U8907">
        <v>6.1680000000000001</v>
      </c>
    </row>
    <row r="8908" spans="1:21" x14ac:dyDescent="0.35">
      <c r="A8908" s="1">
        <v>42376</v>
      </c>
      <c r="B8908" t="s">
        <v>2390</v>
      </c>
      <c r="C8908" t="s">
        <v>55</v>
      </c>
      <c r="D8908" t="s">
        <v>295</v>
      </c>
      <c r="E8908">
        <v>75.06</v>
      </c>
      <c r="F8908">
        <v>9</v>
      </c>
      <c r="G8908">
        <v>0</v>
      </c>
      <c r="H8908">
        <v>33.777000000000001</v>
      </c>
      <c r="U8908">
        <v>33.777000000000001</v>
      </c>
    </row>
    <row r="8909" spans="1:21" x14ac:dyDescent="0.35">
      <c r="A8909" t="s">
        <v>512</v>
      </c>
      <c r="B8909" t="s">
        <v>2273</v>
      </c>
      <c r="C8909" t="s">
        <v>13</v>
      </c>
      <c r="D8909" t="s">
        <v>367</v>
      </c>
      <c r="E8909">
        <v>66.975999999999999</v>
      </c>
      <c r="F8909">
        <v>7</v>
      </c>
      <c r="G8909">
        <v>0.2</v>
      </c>
      <c r="H8909">
        <v>6.6976000000000004</v>
      </c>
      <c r="U8909">
        <v>6.6976000000000004</v>
      </c>
    </row>
    <row r="8910" spans="1:21" x14ac:dyDescent="0.35">
      <c r="A8910" t="s">
        <v>2729</v>
      </c>
      <c r="B8910" t="s">
        <v>2065</v>
      </c>
      <c r="C8910" t="s">
        <v>13</v>
      </c>
      <c r="D8910" t="s">
        <v>2026</v>
      </c>
      <c r="E8910">
        <v>182.72</v>
      </c>
      <c r="F8910">
        <v>8</v>
      </c>
      <c r="G8910">
        <v>0</v>
      </c>
      <c r="H8910">
        <v>84.051199999999994</v>
      </c>
      <c r="U8910">
        <v>84.051199999999994</v>
      </c>
    </row>
    <row r="8911" spans="1:21" x14ac:dyDescent="0.35">
      <c r="A8911" t="s">
        <v>2442</v>
      </c>
      <c r="B8911" t="s">
        <v>817</v>
      </c>
      <c r="C8911" t="s">
        <v>55</v>
      </c>
      <c r="D8911" t="s">
        <v>305</v>
      </c>
      <c r="E8911">
        <v>21.93</v>
      </c>
      <c r="F8911">
        <v>3</v>
      </c>
      <c r="G8911">
        <v>0</v>
      </c>
      <c r="H8911">
        <v>10.3071</v>
      </c>
      <c r="U8911">
        <v>10.3071</v>
      </c>
    </row>
    <row r="8912" spans="1:21" x14ac:dyDescent="0.35">
      <c r="A8912" s="1">
        <v>42836</v>
      </c>
      <c r="B8912" t="s">
        <v>964</v>
      </c>
      <c r="C8912" t="s">
        <v>8</v>
      </c>
      <c r="D8912" t="s">
        <v>821</v>
      </c>
      <c r="E8912">
        <v>95.975999999999999</v>
      </c>
      <c r="F8912">
        <v>3</v>
      </c>
      <c r="G8912">
        <v>0.2</v>
      </c>
      <c r="H8912">
        <v>15.5961</v>
      </c>
      <c r="U8912">
        <v>15.5961</v>
      </c>
    </row>
    <row r="8913" spans="1:21" x14ac:dyDescent="0.35">
      <c r="A8913" s="1">
        <v>42836</v>
      </c>
      <c r="B8913" t="s">
        <v>964</v>
      </c>
      <c r="C8913" t="s">
        <v>8</v>
      </c>
      <c r="D8913" t="s">
        <v>2648</v>
      </c>
      <c r="E8913">
        <v>143.928</v>
      </c>
      <c r="F8913">
        <v>9</v>
      </c>
      <c r="G8913">
        <v>0.2</v>
      </c>
      <c r="H8913">
        <v>-32.383800000000001</v>
      </c>
      <c r="U8913">
        <v>-32.383800000000001</v>
      </c>
    </row>
    <row r="8914" spans="1:21" x14ac:dyDescent="0.35">
      <c r="A8914" s="1">
        <v>42836</v>
      </c>
      <c r="B8914" t="s">
        <v>964</v>
      </c>
      <c r="C8914" t="s">
        <v>8</v>
      </c>
      <c r="D8914" t="s">
        <v>583</v>
      </c>
      <c r="E8914">
        <v>3.5640000000000001</v>
      </c>
      <c r="F8914">
        <v>2</v>
      </c>
      <c r="G8914">
        <v>0.7</v>
      </c>
      <c r="H8914">
        <v>-2.97</v>
      </c>
      <c r="U8914">
        <v>-2.97</v>
      </c>
    </row>
    <row r="8915" spans="1:21" x14ac:dyDescent="0.35">
      <c r="A8915" s="1">
        <v>42836</v>
      </c>
      <c r="B8915" t="s">
        <v>964</v>
      </c>
      <c r="C8915" t="s">
        <v>8</v>
      </c>
      <c r="D8915" t="s">
        <v>1706</v>
      </c>
      <c r="E8915">
        <v>4.9279999999999999</v>
      </c>
      <c r="F8915">
        <v>2</v>
      </c>
      <c r="G8915">
        <v>0.2</v>
      </c>
      <c r="H8915">
        <v>1.7248000000000001</v>
      </c>
      <c r="U8915">
        <v>1.7248000000000001</v>
      </c>
    </row>
    <row r="8916" spans="1:21" x14ac:dyDescent="0.35">
      <c r="A8916" s="1">
        <v>42618</v>
      </c>
      <c r="B8916" t="s">
        <v>227</v>
      </c>
      <c r="C8916" t="s">
        <v>35</v>
      </c>
      <c r="D8916" t="s">
        <v>947</v>
      </c>
      <c r="E8916">
        <v>856.65599999999995</v>
      </c>
      <c r="F8916">
        <v>6</v>
      </c>
      <c r="G8916">
        <v>0.2</v>
      </c>
      <c r="H8916">
        <v>107.08199999999999</v>
      </c>
      <c r="U8916">
        <v>107.08199999999999</v>
      </c>
    </row>
    <row r="8917" spans="1:21" x14ac:dyDescent="0.35">
      <c r="A8917" s="1">
        <v>42618</v>
      </c>
      <c r="B8917" t="s">
        <v>227</v>
      </c>
      <c r="C8917" t="s">
        <v>35</v>
      </c>
      <c r="D8917" t="s">
        <v>192</v>
      </c>
      <c r="E8917">
        <v>13.183999999999999</v>
      </c>
      <c r="F8917">
        <v>4</v>
      </c>
      <c r="G8917">
        <v>0.8</v>
      </c>
      <c r="H8917">
        <v>-20.435199999999998</v>
      </c>
      <c r="U8917">
        <v>-20.435199999999998</v>
      </c>
    </row>
    <row r="8918" spans="1:21" x14ac:dyDescent="0.35">
      <c r="A8918" s="1">
        <v>42618</v>
      </c>
      <c r="B8918" t="s">
        <v>227</v>
      </c>
      <c r="C8918" t="s">
        <v>35</v>
      </c>
      <c r="D8918" t="s">
        <v>2572</v>
      </c>
      <c r="E8918">
        <v>48.783999999999999</v>
      </c>
      <c r="F8918">
        <v>4</v>
      </c>
      <c r="G8918">
        <v>0.8</v>
      </c>
      <c r="H8918">
        <v>-131.71680000000001</v>
      </c>
      <c r="U8918">
        <v>-131.71680000000001</v>
      </c>
    </row>
    <row r="8919" spans="1:21" x14ac:dyDescent="0.35">
      <c r="A8919" s="1">
        <v>42618</v>
      </c>
      <c r="B8919" t="s">
        <v>227</v>
      </c>
      <c r="C8919" t="s">
        <v>35</v>
      </c>
      <c r="D8919" t="s">
        <v>277</v>
      </c>
      <c r="E8919">
        <v>76.64</v>
      </c>
      <c r="F8919">
        <v>2</v>
      </c>
      <c r="G8919">
        <v>0.2</v>
      </c>
      <c r="H8919">
        <v>26.824000000000002</v>
      </c>
      <c r="U8919">
        <v>26.824000000000002</v>
      </c>
    </row>
    <row r="8920" spans="1:21" x14ac:dyDescent="0.35">
      <c r="A8920" s="1">
        <v>42618</v>
      </c>
      <c r="B8920" t="s">
        <v>227</v>
      </c>
      <c r="C8920" t="s">
        <v>35</v>
      </c>
      <c r="D8920" t="s">
        <v>1773</v>
      </c>
      <c r="E8920">
        <v>18.527999999999999</v>
      </c>
      <c r="F8920">
        <v>6</v>
      </c>
      <c r="G8920">
        <v>0.8</v>
      </c>
      <c r="H8920">
        <v>-27.792000000000002</v>
      </c>
      <c r="U8920">
        <v>-27.792000000000002</v>
      </c>
    </row>
    <row r="8921" spans="1:21" x14ac:dyDescent="0.35">
      <c r="A8921" s="1">
        <v>41674</v>
      </c>
      <c r="B8921" t="s">
        <v>2377</v>
      </c>
      <c r="C8921" t="s">
        <v>8</v>
      </c>
      <c r="D8921" t="s">
        <v>2606</v>
      </c>
      <c r="E8921">
        <v>177.68</v>
      </c>
      <c r="F8921">
        <v>2</v>
      </c>
      <c r="G8921">
        <v>0</v>
      </c>
      <c r="H8921">
        <v>46.196800000000003</v>
      </c>
      <c r="U8921">
        <v>46.196800000000003</v>
      </c>
    </row>
    <row r="8922" spans="1:21" x14ac:dyDescent="0.35">
      <c r="A8922" t="s">
        <v>1820</v>
      </c>
      <c r="B8922" t="s">
        <v>420</v>
      </c>
      <c r="C8922" t="s">
        <v>55</v>
      </c>
      <c r="D8922" t="s">
        <v>1798</v>
      </c>
      <c r="E8922">
        <v>159.97999999999999</v>
      </c>
      <c r="F8922">
        <v>2</v>
      </c>
      <c r="G8922">
        <v>0</v>
      </c>
      <c r="H8922">
        <v>57.592799999999997</v>
      </c>
      <c r="U8922">
        <v>57.592799999999997</v>
      </c>
    </row>
    <row r="8923" spans="1:21" x14ac:dyDescent="0.35">
      <c r="A8923" s="1">
        <v>42470</v>
      </c>
      <c r="B8923" t="s">
        <v>2377</v>
      </c>
      <c r="C8923" t="s">
        <v>8</v>
      </c>
      <c r="D8923" t="s">
        <v>2337</v>
      </c>
      <c r="E8923">
        <v>52.68</v>
      </c>
      <c r="F8923">
        <v>3</v>
      </c>
      <c r="G8923">
        <v>0.2</v>
      </c>
      <c r="H8923">
        <v>19.754999999999999</v>
      </c>
      <c r="U8923">
        <v>19.754999999999999</v>
      </c>
    </row>
    <row r="8924" spans="1:21" x14ac:dyDescent="0.35">
      <c r="A8924" s="1">
        <v>42470</v>
      </c>
      <c r="B8924" t="s">
        <v>2377</v>
      </c>
      <c r="C8924" t="s">
        <v>8</v>
      </c>
      <c r="D8924" t="s">
        <v>1321</v>
      </c>
      <c r="E8924">
        <v>11.568</v>
      </c>
      <c r="F8924">
        <v>3</v>
      </c>
      <c r="G8924">
        <v>0.2</v>
      </c>
      <c r="H8924">
        <v>2.6027999999999998</v>
      </c>
      <c r="U8924">
        <v>2.6027999999999998</v>
      </c>
    </row>
    <row r="8925" spans="1:21" x14ac:dyDescent="0.35">
      <c r="A8925" s="1">
        <v>43045</v>
      </c>
      <c r="B8925" t="s">
        <v>934</v>
      </c>
      <c r="C8925" t="s">
        <v>8</v>
      </c>
      <c r="D8925" t="s">
        <v>70</v>
      </c>
      <c r="E8925">
        <v>4.5720000000000001</v>
      </c>
      <c r="F8925">
        <v>4</v>
      </c>
      <c r="G8925">
        <v>0.7</v>
      </c>
      <c r="H8925">
        <v>-3.81</v>
      </c>
      <c r="U8925">
        <v>-3.81</v>
      </c>
    </row>
    <row r="8926" spans="1:21" x14ac:dyDescent="0.35">
      <c r="A8926" t="s">
        <v>2255</v>
      </c>
      <c r="B8926" t="s">
        <v>2215</v>
      </c>
      <c r="C8926" t="s">
        <v>35</v>
      </c>
      <c r="D8926" t="s">
        <v>2730</v>
      </c>
      <c r="E8926">
        <v>1439.9680000000001</v>
      </c>
      <c r="F8926">
        <v>4</v>
      </c>
      <c r="G8926">
        <v>0.2</v>
      </c>
      <c r="H8926">
        <v>143.99680000000001</v>
      </c>
      <c r="U8926">
        <v>143.99680000000001</v>
      </c>
    </row>
    <row r="8927" spans="1:21" x14ac:dyDescent="0.35">
      <c r="A8927" t="s">
        <v>2255</v>
      </c>
      <c r="B8927" t="s">
        <v>2215</v>
      </c>
      <c r="C8927" t="s">
        <v>35</v>
      </c>
      <c r="D8927" t="s">
        <v>1094</v>
      </c>
      <c r="E8927">
        <v>1.728</v>
      </c>
      <c r="F8927">
        <v>3</v>
      </c>
      <c r="G8927">
        <v>0.8</v>
      </c>
      <c r="H8927">
        <v>-2.6783999999999999</v>
      </c>
      <c r="U8927">
        <v>-2.6783999999999999</v>
      </c>
    </row>
    <row r="8928" spans="1:21" x14ac:dyDescent="0.35">
      <c r="A8928" t="s">
        <v>2255</v>
      </c>
      <c r="B8928" t="s">
        <v>2215</v>
      </c>
      <c r="C8928" t="s">
        <v>35</v>
      </c>
      <c r="D8928" t="s">
        <v>903</v>
      </c>
      <c r="E8928">
        <v>626.1</v>
      </c>
      <c r="F8928">
        <v>3</v>
      </c>
      <c r="G8928">
        <v>0.5</v>
      </c>
      <c r="H8928">
        <v>-538.44600000000003</v>
      </c>
      <c r="U8928">
        <v>-538.44600000000003</v>
      </c>
    </row>
    <row r="8929" spans="1:21" x14ac:dyDescent="0.35">
      <c r="A8929" t="s">
        <v>1654</v>
      </c>
      <c r="B8929" t="s">
        <v>675</v>
      </c>
      <c r="C8929" t="s">
        <v>13</v>
      </c>
      <c r="D8929" t="s">
        <v>1874</v>
      </c>
      <c r="E8929">
        <v>99.2</v>
      </c>
      <c r="F8929">
        <v>5</v>
      </c>
      <c r="G8929">
        <v>0</v>
      </c>
      <c r="H8929">
        <v>25.792000000000002</v>
      </c>
      <c r="U8929">
        <v>25.792000000000002</v>
      </c>
    </row>
    <row r="8930" spans="1:21" x14ac:dyDescent="0.35">
      <c r="A8930" t="s">
        <v>1958</v>
      </c>
      <c r="B8930" t="s">
        <v>911</v>
      </c>
      <c r="C8930" t="s">
        <v>35</v>
      </c>
      <c r="D8930" t="s">
        <v>1022</v>
      </c>
      <c r="E8930">
        <v>609.98</v>
      </c>
      <c r="F8930">
        <v>4</v>
      </c>
      <c r="G8930">
        <v>0.3</v>
      </c>
      <c r="H8930">
        <v>-113.282</v>
      </c>
      <c r="U8930">
        <v>-113.282</v>
      </c>
    </row>
    <row r="8931" spans="1:21" x14ac:dyDescent="0.35">
      <c r="A8931" t="s">
        <v>1958</v>
      </c>
      <c r="B8931" t="s">
        <v>911</v>
      </c>
      <c r="C8931" t="s">
        <v>35</v>
      </c>
      <c r="D8931" t="s">
        <v>1645</v>
      </c>
      <c r="E8931">
        <v>211.37200000000001</v>
      </c>
      <c r="F8931">
        <v>2</v>
      </c>
      <c r="G8931">
        <v>0.3</v>
      </c>
      <c r="H8931">
        <v>-45.293999999999997</v>
      </c>
      <c r="U8931">
        <v>-45.293999999999997</v>
      </c>
    </row>
    <row r="8932" spans="1:21" x14ac:dyDescent="0.35">
      <c r="A8932" t="s">
        <v>1958</v>
      </c>
      <c r="B8932" t="s">
        <v>911</v>
      </c>
      <c r="C8932" t="s">
        <v>35</v>
      </c>
      <c r="D8932" t="s">
        <v>1423</v>
      </c>
      <c r="E8932">
        <v>239.976</v>
      </c>
      <c r="F8932">
        <v>3</v>
      </c>
      <c r="G8932">
        <v>0.2</v>
      </c>
      <c r="H8932">
        <v>17.998200000000001</v>
      </c>
      <c r="U8932">
        <v>17.998200000000001</v>
      </c>
    </row>
    <row r="8933" spans="1:21" x14ac:dyDescent="0.35">
      <c r="A8933" t="s">
        <v>1418</v>
      </c>
      <c r="B8933" t="s">
        <v>2713</v>
      </c>
      <c r="C8933" t="s">
        <v>35</v>
      </c>
      <c r="D8933" t="s">
        <v>2674</v>
      </c>
      <c r="E8933">
        <v>99.95</v>
      </c>
      <c r="F8933">
        <v>5</v>
      </c>
      <c r="G8933">
        <v>0</v>
      </c>
      <c r="H8933">
        <v>22.988499999999998</v>
      </c>
      <c r="U8933">
        <v>22.988499999999998</v>
      </c>
    </row>
    <row r="8934" spans="1:21" x14ac:dyDescent="0.35">
      <c r="A8934" t="s">
        <v>1418</v>
      </c>
      <c r="B8934" t="s">
        <v>2713</v>
      </c>
      <c r="C8934" t="s">
        <v>35</v>
      </c>
      <c r="D8934" t="s">
        <v>2452</v>
      </c>
      <c r="E8934">
        <v>29.34</v>
      </c>
      <c r="F8934">
        <v>3</v>
      </c>
      <c r="G8934">
        <v>0</v>
      </c>
      <c r="H8934">
        <v>10.8558</v>
      </c>
      <c r="U8934">
        <v>10.8558</v>
      </c>
    </row>
    <row r="8935" spans="1:21" x14ac:dyDescent="0.35">
      <c r="A8935" t="s">
        <v>1789</v>
      </c>
      <c r="B8935" t="s">
        <v>1016</v>
      </c>
      <c r="C8935" t="s">
        <v>35</v>
      </c>
      <c r="D8935" t="s">
        <v>1509</v>
      </c>
      <c r="E8935">
        <v>16.739999999999998</v>
      </c>
      <c r="F8935">
        <v>2</v>
      </c>
      <c r="G8935">
        <v>0</v>
      </c>
      <c r="H8935">
        <v>4.3524000000000003</v>
      </c>
      <c r="U8935">
        <v>4.3524000000000003</v>
      </c>
    </row>
    <row r="8936" spans="1:21" x14ac:dyDescent="0.35">
      <c r="A8936" t="s">
        <v>640</v>
      </c>
      <c r="B8936" t="s">
        <v>545</v>
      </c>
      <c r="C8936" t="s">
        <v>55</v>
      </c>
      <c r="D8936" t="s">
        <v>1864</v>
      </c>
      <c r="E8936">
        <v>12.672000000000001</v>
      </c>
      <c r="F8936">
        <v>3</v>
      </c>
      <c r="G8936">
        <v>0.2</v>
      </c>
      <c r="H8936">
        <v>3.96</v>
      </c>
      <c r="U8936">
        <v>3.96</v>
      </c>
    </row>
    <row r="8937" spans="1:21" x14ac:dyDescent="0.35">
      <c r="A8937" t="s">
        <v>640</v>
      </c>
      <c r="B8937" t="s">
        <v>545</v>
      </c>
      <c r="C8937" t="s">
        <v>55</v>
      </c>
      <c r="D8937" t="s">
        <v>567</v>
      </c>
      <c r="E8937">
        <v>1119.8879999999999</v>
      </c>
      <c r="F8937">
        <v>14</v>
      </c>
      <c r="G8937">
        <v>0.2</v>
      </c>
      <c r="H8937">
        <v>209.97900000000001</v>
      </c>
      <c r="U8937">
        <v>209.97900000000001</v>
      </c>
    </row>
    <row r="8938" spans="1:21" x14ac:dyDescent="0.35">
      <c r="A8938" t="s">
        <v>1271</v>
      </c>
      <c r="B8938" t="s">
        <v>178</v>
      </c>
      <c r="C8938" t="s">
        <v>13</v>
      </c>
      <c r="D8938" t="s">
        <v>1497</v>
      </c>
      <c r="E8938">
        <v>204.85</v>
      </c>
      <c r="F8938">
        <v>5</v>
      </c>
      <c r="G8938">
        <v>0</v>
      </c>
      <c r="H8938">
        <v>53.261000000000003</v>
      </c>
      <c r="U8938">
        <v>53.261000000000003</v>
      </c>
    </row>
    <row r="8939" spans="1:21" x14ac:dyDescent="0.35">
      <c r="A8939" t="s">
        <v>1271</v>
      </c>
      <c r="B8939" t="s">
        <v>178</v>
      </c>
      <c r="C8939" t="s">
        <v>13</v>
      </c>
      <c r="D8939" t="s">
        <v>2314</v>
      </c>
      <c r="E8939">
        <v>135.98400000000001</v>
      </c>
      <c r="F8939">
        <v>2</v>
      </c>
      <c r="G8939">
        <v>0.2</v>
      </c>
      <c r="H8939">
        <v>16.998000000000001</v>
      </c>
      <c r="U8939">
        <v>16.998000000000001</v>
      </c>
    </row>
    <row r="8940" spans="1:21" x14ac:dyDescent="0.35">
      <c r="A8940" t="s">
        <v>1271</v>
      </c>
      <c r="B8940" t="s">
        <v>178</v>
      </c>
      <c r="C8940" t="s">
        <v>13</v>
      </c>
      <c r="D8940" t="s">
        <v>345</v>
      </c>
      <c r="E8940">
        <v>16.399999999999999</v>
      </c>
      <c r="F8940">
        <v>5</v>
      </c>
      <c r="G8940">
        <v>0</v>
      </c>
      <c r="H8940">
        <v>7.0519999999999996</v>
      </c>
      <c r="U8940">
        <v>7.0519999999999996</v>
      </c>
    </row>
    <row r="8941" spans="1:21" x14ac:dyDescent="0.35">
      <c r="A8941" t="s">
        <v>1271</v>
      </c>
      <c r="B8941" t="s">
        <v>178</v>
      </c>
      <c r="C8941" t="s">
        <v>13</v>
      </c>
      <c r="D8941" t="s">
        <v>1531</v>
      </c>
      <c r="E8941">
        <v>92.96</v>
      </c>
      <c r="F8941">
        <v>2</v>
      </c>
      <c r="G8941">
        <v>0.2</v>
      </c>
      <c r="H8941">
        <v>31.373999999999999</v>
      </c>
      <c r="U8941">
        <v>31.373999999999999</v>
      </c>
    </row>
    <row r="8942" spans="1:21" x14ac:dyDescent="0.35">
      <c r="A8942" t="s">
        <v>2499</v>
      </c>
      <c r="B8942" t="s">
        <v>790</v>
      </c>
      <c r="C8942" t="s">
        <v>8</v>
      </c>
      <c r="D8942" t="s">
        <v>2731</v>
      </c>
      <c r="E8942">
        <v>7.6319999999999997</v>
      </c>
      <c r="F8942">
        <v>3</v>
      </c>
      <c r="G8942">
        <v>0.2</v>
      </c>
      <c r="H8942">
        <v>-1.8126</v>
      </c>
      <c r="U8942">
        <v>-1.8126</v>
      </c>
    </row>
    <row r="8943" spans="1:21" x14ac:dyDescent="0.35">
      <c r="A8943" s="1">
        <v>42440</v>
      </c>
      <c r="B8943" t="s">
        <v>1758</v>
      </c>
      <c r="C8943" t="s">
        <v>13</v>
      </c>
      <c r="D8943" t="s">
        <v>1533</v>
      </c>
      <c r="E8943">
        <v>4.1580000000000004</v>
      </c>
      <c r="F8943">
        <v>7</v>
      </c>
      <c r="G8943">
        <v>0.7</v>
      </c>
      <c r="H8943">
        <v>-3.4649999999999999</v>
      </c>
      <c r="U8943">
        <v>-3.4649999999999999</v>
      </c>
    </row>
    <row r="8944" spans="1:21" x14ac:dyDescent="0.35">
      <c r="A8944" s="1">
        <v>42440</v>
      </c>
      <c r="B8944" t="s">
        <v>1758</v>
      </c>
      <c r="C8944" t="s">
        <v>13</v>
      </c>
      <c r="D8944" t="s">
        <v>2732</v>
      </c>
      <c r="E8944">
        <v>179.99100000000001</v>
      </c>
      <c r="F8944">
        <v>3</v>
      </c>
      <c r="G8944">
        <v>0.7</v>
      </c>
      <c r="H8944">
        <v>-251.98740000000001</v>
      </c>
      <c r="U8944">
        <v>-251.98740000000001</v>
      </c>
    </row>
    <row r="8945" spans="1:21" x14ac:dyDescent="0.35">
      <c r="A8945" s="1">
        <v>43018</v>
      </c>
      <c r="B8945" t="s">
        <v>1982</v>
      </c>
      <c r="C8945" t="s">
        <v>35</v>
      </c>
      <c r="D8945" t="s">
        <v>2620</v>
      </c>
      <c r="E8945">
        <v>239.358</v>
      </c>
      <c r="F8945">
        <v>3</v>
      </c>
      <c r="G8945">
        <v>0.3</v>
      </c>
      <c r="H8945">
        <v>-47.871600000000001</v>
      </c>
      <c r="U8945">
        <v>-47.871600000000001</v>
      </c>
    </row>
    <row r="8946" spans="1:21" x14ac:dyDescent="0.35">
      <c r="A8946" s="1">
        <v>41832</v>
      </c>
      <c r="B8946" t="s">
        <v>1387</v>
      </c>
      <c r="C8946" t="s">
        <v>13</v>
      </c>
      <c r="D8946" t="s">
        <v>2190</v>
      </c>
      <c r="E8946">
        <v>164.88</v>
      </c>
      <c r="F8946">
        <v>3</v>
      </c>
      <c r="G8946">
        <v>0</v>
      </c>
      <c r="H8946">
        <v>80.791200000000003</v>
      </c>
      <c r="U8946">
        <v>80.791200000000003</v>
      </c>
    </row>
    <row r="8947" spans="1:21" x14ac:dyDescent="0.35">
      <c r="A8947" t="s">
        <v>1938</v>
      </c>
      <c r="B8947" t="s">
        <v>2083</v>
      </c>
      <c r="C8947" t="s">
        <v>13</v>
      </c>
      <c r="D8947" t="s">
        <v>922</v>
      </c>
      <c r="E8947">
        <v>10.95</v>
      </c>
      <c r="F8947">
        <v>3</v>
      </c>
      <c r="G8947">
        <v>0</v>
      </c>
      <c r="H8947">
        <v>3.2850000000000001</v>
      </c>
      <c r="U8947">
        <v>3.2850000000000001</v>
      </c>
    </row>
    <row r="8948" spans="1:21" x14ac:dyDescent="0.35">
      <c r="A8948" t="s">
        <v>688</v>
      </c>
      <c r="B8948" t="s">
        <v>2401</v>
      </c>
      <c r="C8948" t="s">
        <v>55</v>
      </c>
      <c r="D8948" t="s">
        <v>1909</v>
      </c>
      <c r="E8948">
        <v>19.440000000000001</v>
      </c>
      <c r="F8948">
        <v>3</v>
      </c>
      <c r="G8948">
        <v>0</v>
      </c>
      <c r="H8948">
        <v>9.3312000000000008</v>
      </c>
      <c r="U8948">
        <v>9.3312000000000008</v>
      </c>
    </row>
    <row r="8949" spans="1:21" x14ac:dyDescent="0.35">
      <c r="A8949" t="s">
        <v>688</v>
      </c>
      <c r="B8949" t="s">
        <v>2401</v>
      </c>
      <c r="C8949" t="s">
        <v>55</v>
      </c>
      <c r="D8949" t="s">
        <v>2555</v>
      </c>
      <c r="E8949">
        <v>12.3</v>
      </c>
      <c r="F8949">
        <v>5</v>
      </c>
      <c r="G8949">
        <v>0</v>
      </c>
      <c r="H8949">
        <v>6.15</v>
      </c>
      <c r="U8949">
        <v>6.15</v>
      </c>
    </row>
    <row r="8950" spans="1:21" x14ac:dyDescent="0.35">
      <c r="A8950" t="s">
        <v>683</v>
      </c>
      <c r="B8950" t="s">
        <v>1884</v>
      </c>
      <c r="C8950" t="s">
        <v>13</v>
      </c>
      <c r="D8950" t="s">
        <v>2676</v>
      </c>
      <c r="E8950">
        <v>13.97</v>
      </c>
      <c r="F8950">
        <v>1</v>
      </c>
      <c r="G8950">
        <v>0</v>
      </c>
      <c r="H8950">
        <v>3.6322000000000001</v>
      </c>
      <c r="U8950">
        <v>3.6322000000000001</v>
      </c>
    </row>
    <row r="8951" spans="1:21" x14ac:dyDescent="0.35">
      <c r="A8951" t="s">
        <v>278</v>
      </c>
      <c r="B8951" t="s">
        <v>2328</v>
      </c>
      <c r="C8951" t="s">
        <v>8</v>
      </c>
      <c r="D8951" t="s">
        <v>509</v>
      </c>
      <c r="E8951">
        <v>934.95600000000002</v>
      </c>
      <c r="F8951">
        <v>6</v>
      </c>
      <c r="G8951">
        <v>0.4</v>
      </c>
      <c r="H8951">
        <v>-249.32159999999999</v>
      </c>
      <c r="U8951">
        <v>-249.32159999999999</v>
      </c>
    </row>
    <row r="8952" spans="1:21" x14ac:dyDescent="0.35">
      <c r="A8952" t="s">
        <v>278</v>
      </c>
      <c r="B8952" t="s">
        <v>2328</v>
      </c>
      <c r="C8952" t="s">
        <v>8</v>
      </c>
      <c r="D8952" t="s">
        <v>1411</v>
      </c>
      <c r="E8952">
        <v>46.863999999999997</v>
      </c>
      <c r="F8952">
        <v>2</v>
      </c>
      <c r="G8952">
        <v>0.2</v>
      </c>
      <c r="H8952">
        <v>7.6154000000000002</v>
      </c>
      <c r="U8952">
        <v>7.6154000000000002</v>
      </c>
    </row>
    <row r="8953" spans="1:21" x14ac:dyDescent="0.35">
      <c r="A8953" t="s">
        <v>278</v>
      </c>
      <c r="B8953" t="s">
        <v>2328</v>
      </c>
      <c r="C8953" t="s">
        <v>8</v>
      </c>
      <c r="D8953" t="s">
        <v>716</v>
      </c>
      <c r="E8953">
        <v>26.16</v>
      </c>
      <c r="F8953">
        <v>3</v>
      </c>
      <c r="G8953">
        <v>0.2</v>
      </c>
      <c r="H8953">
        <v>1.962</v>
      </c>
      <c r="U8953">
        <v>1.962</v>
      </c>
    </row>
    <row r="8954" spans="1:21" x14ac:dyDescent="0.35">
      <c r="A8954" t="s">
        <v>278</v>
      </c>
      <c r="B8954" t="s">
        <v>2328</v>
      </c>
      <c r="C8954" t="s">
        <v>8</v>
      </c>
      <c r="D8954" t="s">
        <v>1693</v>
      </c>
      <c r="E8954">
        <v>23.128</v>
      </c>
      <c r="F8954">
        <v>7</v>
      </c>
      <c r="G8954">
        <v>0.2</v>
      </c>
      <c r="H8954">
        <v>2.891</v>
      </c>
      <c r="U8954">
        <v>2.891</v>
      </c>
    </row>
    <row r="8955" spans="1:21" x14ac:dyDescent="0.35">
      <c r="A8955" t="s">
        <v>278</v>
      </c>
      <c r="B8955" t="s">
        <v>2328</v>
      </c>
      <c r="C8955" t="s">
        <v>8</v>
      </c>
      <c r="D8955" t="s">
        <v>1182</v>
      </c>
      <c r="E8955">
        <v>59.24</v>
      </c>
      <c r="F8955">
        <v>5</v>
      </c>
      <c r="G8955">
        <v>0.2</v>
      </c>
      <c r="H8955">
        <v>16.291</v>
      </c>
      <c r="U8955">
        <v>16.291</v>
      </c>
    </row>
    <row r="8956" spans="1:21" x14ac:dyDescent="0.35">
      <c r="A8956" s="1">
        <v>41859</v>
      </c>
      <c r="B8956" t="s">
        <v>1331</v>
      </c>
      <c r="C8956" t="s">
        <v>8</v>
      </c>
      <c r="D8956" t="s">
        <v>1910</v>
      </c>
      <c r="E8956">
        <v>155.45599999999999</v>
      </c>
      <c r="F8956">
        <v>4</v>
      </c>
      <c r="G8956">
        <v>0.2</v>
      </c>
      <c r="H8956">
        <v>-7.7728000000000002</v>
      </c>
      <c r="U8956">
        <v>-7.7728000000000002</v>
      </c>
    </row>
    <row r="8957" spans="1:21" x14ac:dyDescent="0.35">
      <c r="A8957" t="s">
        <v>251</v>
      </c>
      <c r="B8957" t="s">
        <v>1553</v>
      </c>
      <c r="C8957" t="s">
        <v>13</v>
      </c>
      <c r="D8957" t="s">
        <v>2367</v>
      </c>
      <c r="E8957">
        <v>8.56</v>
      </c>
      <c r="F8957">
        <v>2</v>
      </c>
      <c r="G8957">
        <v>0</v>
      </c>
      <c r="H8957">
        <v>3.8519999999999999</v>
      </c>
      <c r="U8957">
        <v>3.8519999999999999</v>
      </c>
    </row>
    <row r="8958" spans="1:21" x14ac:dyDescent="0.35">
      <c r="A8958" t="s">
        <v>226</v>
      </c>
      <c r="B8958" t="s">
        <v>1361</v>
      </c>
      <c r="C8958" t="s">
        <v>8</v>
      </c>
      <c r="D8958" t="s">
        <v>2266</v>
      </c>
      <c r="E8958">
        <v>21</v>
      </c>
      <c r="F8958">
        <v>3</v>
      </c>
      <c r="G8958">
        <v>0.2</v>
      </c>
      <c r="H8958">
        <v>5.7750000000000004</v>
      </c>
      <c r="U8958">
        <v>5.7750000000000004</v>
      </c>
    </row>
    <row r="8959" spans="1:21" x14ac:dyDescent="0.35">
      <c r="A8959" t="s">
        <v>226</v>
      </c>
      <c r="B8959" t="s">
        <v>1361</v>
      </c>
      <c r="C8959" t="s">
        <v>8</v>
      </c>
      <c r="D8959" t="s">
        <v>2728</v>
      </c>
      <c r="E8959">
        <v>120</v>
      </c>
      <c r="F8959">
        <v>2</v>
      </c>
      <c r="G8959">
        <v>0.5</v>
      </c>
      <c r="H8959">
        <v>-7.2</v>
      </c>
      <c r="U8959">
        <v>-7.2</v>
      </c>
    </row>
    <row r="8960" spans="1:21" x14ac:dyDescent="0.35">
      <c r="A8960" t="s">
        <v>1875</v>
      </c>
      <c r="B8960" t="s">
        <v>829</v>
      </c>
      <c r="C8960" t="s">
        <v>35</v>
      </c>
      <c r="D8960" t="s">
        <v>1548</v>
      </c>
      <c r="E8960">
        <v>299.95999999999998</v>
      </c>
      <c r="F8960">
        <v>5</v>
      </c>
      <c r="G8960">
        <v>0.2</v>
      </c>
      <c r="H8960">
        <v>37.494999999999997</v>
      </c>
      <c r="U8960">
        <v>37.494999999999997</v>
      </c>
    </row>
    <row r="8961" spans="1:21" x14ac:dyDescent="0.35">
      <c r="A8961" t="s">
        <v>1875</v>
      </c>
      <c r="B8961" t="s">
        <v>829</v>
      </c>
      <c r="C8961" t="s">
        <v>35</v>
      </c>
      <c r="D8961" t="s">
        <v>2360</v>
      </c>
      <c r="E8961">
        <v>67.84</v>
      </c>
      <c r="F8961">
        <v>5</v>
      </c>
      <c r="G8961">
        <v>0.8</v>
      </c>
      <c r="H8961">
        <v>-179.77600000000001</v>
      </c>
      <c r="U8961">
        <v>-179.77600000000001</v>
      </c>
    </row>
    <row r="8962" spans="1:21" x14ac:dyDescent="0.35">
      <c r="A8962" t="s">
        <v>1875</v>
      </c>
      <c r="B8962" t="s">
        <v>829</v>
      </c>
      <c r="C8962" t="s">
        <v>35</v>
      </c>
      <c r="D8962" t="s">
        <v>1445</v>
      </c>
      <c r="E8962">
        <v>853.93</v>
      </c>
      <c r="F8962">
        <v>5</v>
      </c>
      <c r="G8962">
        <v>0.3</v>
      </c>
      <c r="H8962">
        <v>-24.398</v>
      </c>
      <c r="U8962">
        <v>-24.398</v>
      </c>
    </row>
    <row r="8963" spans="1:21" x14ac:dyDescent="0.35">
      <c r="A8963" t="s">
        <v>1875</v>
      </c>
      <c r="B8963" t="s">
        <v>829</v>
      </c>
      <c r="C8963" t="s">
        <v>35</v>
      </c>
      <c r="D8963" t="s">
        <v>2518</v>
      </c>
      <c r="E8963">
        <v>18.687999999999999</v>
      </c>
      <c r="F8963">
        <v>4</v>
      </c>
      <c r="G8963">
        <v>0.2</v>
      </c>
      <c r="H8963">
        <v>3.7376</v>
      </c>
      <c r="U8963">
        <v>3.7376</v>
      </c>
    </row>
    <row r="8964" spans="1:21" x14ac:dyDescent="0.35">
      <c r="A8964" s="1">
        <v>42501</v>
      </c>
      <c r="B8964" t="s">
        <v>2559</v>
      </c>
      <c r="C8964" t="s">
        <v>8</v>
      </c>
      <c r="D8964" t="s">
        <v>2156</v>
      </c>
      <c r="E8964">
        <v>273.95999999999998</v>
      </c>
      <c r="F8964">
        <v>2</v>
      </c>
      <c r="G8964">
        <v>0</v>
      </c>
      <c r="H8964">
        <v>71.229600000000005</v>
      </c>
      <c r="U8964">
        <v>71.229600000000005</v>
      </c>
    </row>
    <row r="8965" spans="1:21" x14ac:dyDescent="0.35">
      <c r="A8965" s="1">
        <v>42501</v>
      </c>
      <c r="B8965" t="s">
        <v>2559</v>
      </c>
      <c r="C8965" t="s">
        <v>8</v>
      </c>
      <c r="D8965" t="s">
        <v>1123</v>
      </c>
      <c r="E8965">
        <v>89.97</v>
      </c>
      <c r="F8965">
        <v>3</v>
      </c>
      <c r="G8965">
        <v>0</v>
      </c>
      <c r="H8965">
        <v>18.893699999999999</v>
      </c>
      <c r="U8965">
        <v>18.893699999999999</v>
      </c>
    </row>
    <row r="8966" spans="1:21" x14ac:dyDescent="0.35">
      <c r="A8966" s="1">
        <v>42501</v>
      </c>
      <c r="B8966" t="s">
        <v>2559</v>
      </c>
      <c r="C8966" t="s">
        <v>8</v>
      </c>
      <c r="D8966" t="s">
        <v>2686</v>
      </c>
      <c r="E8966">
        <v>756.8</v>
      </c>
      <c r="F8966">
        <v>5</v>
      </c>
      <c r="G8966">
        <v>0</v>
      </c>
      <c r="H8966">
        <v>75.680000000000007</v>
      </c>
      <c r="U8966">
        <v>75.680000000000007</v>
      </c>
    </row>
    <row r="8967" spans="1:21" x14ac:dyDescent="0.35">
      <c r="A8967" s="1">
        <v>42897</v>
      </c>
      <c r="B8967" t="s">
        <v>2250</v>
      </c>
      <c r="C8967" t="s">
        <v>35</v>
      </c>
      <c r="D8967" t="s">
        <v>1292</v>
      </c>
      <c r="E8967">
        <v>1.248</v>
      </c>
      <c r="F8967">
        <v>2</v>
      </c>
      <c r="G8967">
        <v>0.8</v>
      </c>
      <c r="H8967">
        <v>-1.9343999999999999</v>
      </c>
      <c r="U8967">
        <v>-1.9343999999999999</v>
      </c>
    </row>
    <row r="8968" spans="1:21" x14ac:dyDescent="0.35">
      <c r="A8968" s="1">
        <v>42440</v>
      </c>
      <c r="B8968" t="s">
        <v>2224</v>
      </c>
      <c r="C8968" t="s">
        <v>55</v>
      </c>
      <c r="D8968" t="s">
        <v>561</v>
      </c>
      <c r="E8968">
        <v>72</v>
      </c>
      <c r="F8968">
        <v>1</v>
      </c>
      <c r="G8968">
        <v>0.2</v>
      </c>
      <c r="H8968">
        <v>14.4</v>
      </c>
      <c r="U8968">
        <v>14.4</v>
      </c>
    </row>
    <row r="8969" spans="1:21" x14ac:dyDescent="0.35">
      <c r="A8969" s="1">
        <v>42440</v>
      </c>
      <c r="B8969" t="s">
        <v>2224</v>
      </c>
      <c r="C8969" t="s">
        <v>55</v>
      </c>
      <c r="D8969" t="s">
        <v>708</v>
      </c>
      <c r="E8969">
        <v>470.15499999999997</v>
      </c>
      <c r="F8969">
        <v>7</v>
      </c>
      <c r="G8969">
        <v>0.3</v>
      </c>
      <c r="H8969">
        <v>-13.433</v>
      </c>
      <c r="U8969">
        <v>-13.433</v>
      </c>
    </row>
    <row r="8970" spans="1:21" x14ac:dyDescent="0.35">
      <c r="A8970" t="s">
        <v>536</v>
      </c>
      <c r="B8970" t="s">
        <v>2476</v>
      </c>
      <c r="C8970" t="s">
        <v>8</v>
      </c>
      <c r="D8970" t="s">
        <v>1872</v>
      </c>
      <c r="E8970">
        <v>39.128</v>
      </c>
      <c r="F8970">
        <v>1</v>
      </c>
      <c r="G8970">
        <v>0.2</v>
      </c>
      <c r="H8970">
        <v>-8.8038000000000007</v>
      </c>
      <c r="U8970">
        <v>-8.8038000000000007</v>
      </c>
    </row>
    <row r="8971" spans="1:21" x14ac:dyDescent="0.35">
      <c r="A8971" s="1">
        <v>42778</v>
      </c>
      <c r="B8971" t="s">
        <v>95</v>
      </c>
      <c r="C8971" t="s">
        <v>55</v>
      </c>
      <c r="D8971" t="s">
        <v>846</v>
      </c>
      <c r="E8971">
        <v>19.728000000000002</v>
      </c>
      <c r="F8971">
        <v>9</v>
      </c>
      <c r="G8971">
        <v>0.2</v>
      </c>
      <c r="H8971">
        <v>1.7262</v>
      </c>
      <c r="U8971">
        <v>1.7262</v>
      </c>
    </row>
    <row r="8972" spans="1:21" x14ac:dyDescent="0.35">
      <c r="A8972" s="1">
        <v>42778</v>
      </c>
      <c r="B8972" t="s">
        <v>95</v>
      </c>
      <c r="C8972" t="s">
        <v>55</v>
      </c>
      <c r="D8972" t="s">
        <v>2212</v>
      </c>
      <c r="E8972">
        <v>151.18799999999999</v>
      </c>
      <c r="F8972">
        <v>2</v>
      </c>
      <c r="G8972">
        <v>0.4</v>
      </c>
      <c r="H8972">
        <v>-25.198</v>
      </c>
      <c r="U8972">
        <v>-25.198</v>
      </c>
    </row>
    <row r="8973" spans="1:21" x14ac:dyDescent="0.35">
      <c r="A8973" t="s">
        <v>1662</v>
      </c>
      <c r="B8973" t="s">
        <v>2047</v>
      </c>
      <c r="C8973" t="s">
        <v>55</v>
      </c>
      <c r="D8973" t="s">
        <v>1177</v>
      </c>
      <c r="E8973">
        <v>271.76400000000001</v>
      </c>
      <c r="F8973">
        <v>2</v>
      </c>
      <c r="G8973">
        <v>0.1</v>
      </c>
      <c r="H8973">
        <v>60.392000000000003</v>
      </c>
      <c r="U8973">
        <v>60.392000000000003</v>
      </c>
    </row>
    <row r="8974" spans="1:21" x14ac:dyDescent="0.35">
      <c r="A8974" t="s">
        <v>349</v>
      </c>
      <c r="B8974" t="s">
        <v>313</v>
      </c>
      <c r="C8974" t="s">
        <v>55</v>
      </c>
      <c r="D8974" t="s">
        <v>1776</v>
      </c>
      <c r="E8974">
        <v>47.496000000000002</v>
      </c>
      <c r="F8974">
        <v>1</v>
      </c>
      <c r="G8974">
        <v>0.2</v>
      </c>
      <c r="H8974">
        <v>-1.1874</v>
      </c>
      <c r="U8974">
        <v>-1.1874</v>
      </c>
    </row>
    <row r="8975" spans="1:21" x14ac:dyDescent="0.35">
      <c r="A8975" t="s">
        <v>335</v>
      </c>
      <c r="B8975" t="s">
        <v>875</v>
      </c>
      <c r="C8975" t="s">
        <v>13</v>
      </c>
      <c r="D8975" t="s">
        <v>520</v>
      </c>
      <c r="E8975">
        <v>344.98099999999999</v>
      </c>
      <c r="F8975">
        <v>7</v>
      </c>
      <c r="G8975">
        <v>0.15</v>
      </c>
      <c r="H8975">
        <v>28.4102</v>
      </c>
      <c r="U8975">
        <v>28.4102</v>
      </c>
    </row>
    <row r="8976" spans="1:21" x14ac:dyDescent="0.35">
      <c r="A8976" t="s">
        <v>216</v>
      </c>
      <c r="B8976" t="s">
        <v>2312</v>
      </c>
      <c r="C8976" t="s">
        <v>35</v>
      </c>
      <c r="D8976" t="s">
        <v>2042</v>
      </c>
      <c r="E8976">
        <v>36.287999999999997</v>
      </c>
      <c r="F8976">
        <v>7</v>
      </c>
      <c r="G8976">
        <v>0.2</v>
      </c>
      <c r="H8976">
        <v>12.700799999999999</v>
      </c>
      <c r="U8976">
        <v>12.700799999999999</v>
      </c>
    </row>
    <row r="8977" spans="1:21" x14ac:dyDescent="0.35">
      <c r="A8977" t="s">
        <v>216</v>
      </c>
      <c r="B8977" t="s">
        <v>2312</v>
      </c>
      <c r="C8977" t="s">
        <v>35</v>
      </c>
      <c r="D8977" t="s">
        <v>2240</v>
      </c>
      <c r="E8977">
        <v>78.304000000000002</v>
      </c>
      <c r="F8977">
        <v>2</v>
      </c>
      <c r="G8977">
        <v>0.2</v>
      </c>
      <c r="H8977">
        <v>29.364000000000001</v>
      </c>
      <c r="U8977">
        <v>29.364000000000001</v>
      </c>
    </row>
    <row r="8978" spans="1:21" x14ac:dyDescent="0.35">
      <c r="A8978" t="s">
        <v>216</v>
      </c>
      <c r="B8978" t="s">
        <v>2312</v>
      </c>
      <c r="C8978" t="s">
        <v>35</v>
      </c>
      <c r="D8978" t="s">
        <v>1599</v>
      </c>
      <c r="E8978">
        <v>127.785</v>
      </c>
      <c r="F8978">
        <v>1</v>
      </c>
      <c r="G8978">
        <v>0.3</v>
      </c>
      <c r="H8978">
        <v>-31.0335</v>
      </c>
      <c r="U8978">
        <v>-31.0335</v>
      </c>
    </row>
    <row r="8979" spans="1:21" x14ac:dyDescent="0.35">
      <c r="A8979" t="s">
        <v>216</v>
      </c>
      <c r="B8979" t="s">
        <v>2312</v>
      </c>
      <c r="C8979" t="s">
        <v>35</v>
      </c>
      <c r="D8979" t="s">
        <v>1359</v>
      </c>
      <c r="E8979">
        <v>6.1040000000000001</v>
      </c>
      <c r="F8979">
        <v>2</v>
      </c>
      <c r="G8979">
        <v>0.8</v>
      </c>
      <c r="H8979">
        <v>-9.1560000000000006</v>
      </c>
      <c r="U8979">
        <v>-9.1560000000000006</v>
      </c>
    </row>
    <row r="8980" spans="1:21" x14ac:dyDescent="0.35">
      <c r="A8980" s="1">
        <v>41709</v>
      </c>
      <c r="B8980" t="s">
        <v>2247</v>
      </c>
      <c r="C8980" t="s">
        <v>55</v>
      </c>
      <c r="D8980" t="s">
        <v>1094</v>
      </c>
      <c r="E8980">
        <v>5.76</v>
      </c>
      <c r="F8980">
        <v>2</v>
      </c>
      <c r="G8980">
        <v>0</v>
      </c>
      <c r="H8980">
        <v>2.8224</v>
      </c>
      <c r="U8980">
        <v>2.8224</v>
      </c>
    </row>
    <row r="8981" spans="1:21" x14ac:dyDescent="0.35">
      <c r="A8981" t="s">
        <v>1216</v>
      </c>
      <c r="B8981" t="s">
        <v>2553</v>
      </c>
      <c r="C8981" t="s">
        <v>35</v>
      </c>
      <c r="D8981" t="s">
        <v>890</v>
      </c>
      <c r="E8981">
        <v>1.72</v>
      </c>
      <c r="F8981">
        <v>1</v>
      </c>
      <c r="G8981">
        <v>0.8</v>
      </c>
      <c r="H8981">
        <v>-2.8380000000000001</v>
      </c>
      <c r="U8981">
        <v>-2.8380000000000001</v>
      </c>
    </row>
    <row r="8982" spans="1:21" x14ac:dyDescent="0.35">
      <c r="A8982" s="1">
        <v>41792</v>
      </c>
      <c r="B8982" t="s">
        <v>454</v>
      </c>
      <c r="C8982" t="s">
        <v>35</v>
      </c>
      <c r="D8982" t="s">
        <v>2200</v>
      </c>
      <c r="E8982">
        <v>8.952</v>
      </c>
      <c r="F8982">
        <v>2</v>
      </c>
      <c r="G8982">
        <v>0.8</v>
      </c>
      <c r="H8982">
        <v>-14.770799999999999</v>
      </c>
      <c r="U8982">
        <v>-14.770799999999999</v>
      </c>
    </row>
    <row r="8983" spans="1:21" x14ac:dyDescent="0.35">
      <c r="A8983" s="1">
        <v>42524</v>
      </c>
      <c r="B8983" t="s">
        <v>212</v>
      </c>
      <c r="C8983" t="s">
        <v>35</v>
      </c>
      <c r="D8983" t="s">
        <v>1703</v>
      </c>
      <c r="E8983">
        <v>2.3340000000000001</v>
      </c>
      <c r="F8983">
        <v>3</v>
      </c>
      <c r="G8983">
        <v>0.8</v>
      </c>
      <c r="H8983">
        <v>-6.3018000000000001</v>
      </c>
      <c r="U8983">
        <v>-6.3018000000000001</v>
      </c>
    </row>
    <row r="8984" spans="1:21" x14ac:dyDescent="0.35">
      <c r="A8984" s="1">
        <v>42524</v>
      </c>
      <c r="B8984" t="s">
        <v>212</v>
      </c>
      <c r="C8984" t="s">
        <v>35</v>
      </c>
      <c r="D8984" t="s">
        <v>1467</v>
      </c>
      <c r="E8984">
        <v>1.728</v>
      </c>
      <c r="F8984">
        <v>4</v>
      </c>
      <c r="G8984">
        <v>0.8</v>
      </c>
      <c r="H8984">
        <v>-2.7648000000000001</v>
      </c>
      <c r="U8984">
        <v>-2.7648000000000001</v>
      </c>
    </row>
    <row r="8985" spans="1:21" x14ac:dyDescent="0.35">
      <c r="A8985" s="1">
        <v>42524</v>
      </c>
      <c r="B8985" t="s">
        <v>212</v>
      </c>
      <c r="C8985" t="s">
        <v>35</v>
      </c>
      <c r="D8985" t="s">
        <v>259</v>
      </c>
      <c r="E8985">
        <v>159.04</v>
      </c>
      <c r="F8985">
        <v>5</v>
      </c>
      <c r="G8985">
        <v>0.6</v>
      </c>
      <c r="H8985">
        <v>-194.82400000000001</v>
      </c>
      <c r="U8985">
        <v>-194.82400000000001</v>
      </c>
    </row>
    <row r="8986" spans="1:21" x14ac:dyDescent="0.35">
      <c r="A8986" s="1">
        <v>42524</v>
      </c>
      <c r="B8986" t="s">
        <v>212</v>
      </c>
      <c r="C8986" t="s">
        <v>35</v>
      </c>
      <c r="D8986" t="s">
        <v>2119</v>
      </c>
      <c r="E8986">
        <v>145.97999999999999</v>
      </c>
      <c r="F8986">
        <v>2</v>
      </c>
      <c r="G8986">
        <v>0.5</v>
      </c>
      <c r="H8986">
        <v>-99.266400000000004</v>
      </c>
      <c r="U8986">
        <v>-99.266400000000004</v>
      </c>
    </row>
    <row r="8987" spans="1:21" x14ac:dyDescent="0.35">
      <c r="A8987" s="1">
        <v>42075</v>
      </c>
      <c r="B8987" t="s">
        <v>667</v>
      </c>
      <c r="C8987" t="s">
        <v>8</v>
      </c>
      <c r="D8987" t="s">
        <v>1071</v>
      </c>
      <c r="E8987">
        <v>77.951999999999998</v>
      </c>
      <c r="F8987">
        <v>3</v>
      </c>
      <c r="G8987">
        <v>0.2</v>
      </c>
      <c r="H8987">
        <v>12.667199999999999</v>
      </c>
      <c r="U8987">
        <v>12.667199999999999</v>
      </c>
    </row>
    <row r="8988" spans="1:21" x14ac:dyDescent="0.35">
      <c r="A8988" s="1">
        <v>42075</v>
      </c>
      <c r="B8988" t="s">
        <v>667</v>
      </c>
      <c r="C8988" t="s">
        <v>8</v>
      </c>
      <c r="D8988" t="s">
        <v>1972</v>
      </c>
      <c r="E8988">
        <v>95.97</v>
      </c>
      <c r="F8988">
        <v>5</v>
      </c>
      <c r="G8988">
        <v>0.7</v>
      </c>
      <c r="H8988">
        <v>-73.576999999999998</v>
      </c>
      <c r="U8988">
        <v>-73.576999999999998</v>
      </c>
    </row>
    <row r="8989" spans="1:21" x14ac:dyDescent="0.35">
      <c r="A8989" s="1">
        <v>42075</v>
      </c>
      <c r="B8989" t="s">
        <v>667</v>
      </c>
      <c r="C8989" t="s">
        <v>8</v>
      </c>
      <c r="D8989" t="s">
        <v>399</v>
      </c>
      <c r="E8989">
        <v>105.584</v>
      </c>
      <c r="F8989">
        <v>2</v>
      </c>
      <c r="G8989">
        <v>0.2</v>
      </c>
      <c r="H8989">
        <v>9.2385999999999999</v>
      </c>
      <c r="U8989">
        <v>9.2385999999999999</v>
      </c>
    </row>
    <row r="8990" spans="1:21" x14ac:dyDescent="0.35">
      <c r="A8990" s="1">
        <v>42075</v>
      </c>
      <c r="B8990" t="s">
        <v>667</v>
      </c>
      <c r="C8990" t="s">
        <v>8</v>
      </c>
      <c r="D8990" t="s">
        <v>939</v>
      </c>
      <c r="E8990">
        <v>9.3439999999999994</v>
      </c>
      <c r="F8990">
        <v>2</v>
      </c>
      <c r="G8990">
        <v>0.2</v>
      </c>
      <c r="H8990">
        <v>1.1679999999999999</v>
      </c>
      <c r="U8990">
        <v>1.1679999999999999</v>
      </c>
    </row>
    <row r="8991" spans="1:21" x14ac:dyDescent="0.35">
      <c r="A8991" t="s">
        <v>412</v>
      </c>
      <c r="B8991" t="s">
        <v>1591</v>
      </c>
      <c r="C8991" t="s">
        <v>35</v>
      </c>
      <c r="D8991" t="s">
        <v>2418</v>
      </c>
      <c r="E8991">
        <v>9.68</v>
      </c>
      <c r="F8991">
        <v>2</v>
      </c>
      <c r="G8991">
        <v>0</v>
      </c>
      <c r="H8991">
        <v>3.7751999999999999</v>
      </c>
      <c r="U8991">
        <v>3.7751999999999999</v>
      </c>
    </row>
    <row r="8992" spans="1:21" x14ac:dyDescent="0.35">
      <c r="A8992" t="s">
        <v>412</v>
      </c>
      <c r="B8992" t="s">
        <v>1591</v>
      </c>
      <c r="C8992" t="s">
        <v>35</v>
      </c>
      <c r="D8992" t="s">
        <v>2055</v>
      </c>
      <c r="E8992">
        <v>4899.93</v>
      </c>
      <c r="F8992">
        <v>7</v>
      </c>
      <c r="G8992">
        <v>0</v>
      </c>
      <c r="H8992">
        <v>2302.9670999999998</v>
      </c>
      <c r="U8992">
        <v>2302.9670999999998</v>
      </c>
    </row>
    <row r="8993" spans="1:21" x14ac:dyDescent="0.35">
      <c r="A8993" s="1">
        <v>42745</v>
      </c>
      <c r="B8993" t="s">
        <v>776</v>
      </c>
      <c r="C8993" t="s">
        <v>13</v>
      </c>
      <c r="D8993" t="s">
        <v>653</v>
      </c>
      <c r="E8993">
        <v>104.75</v>
      </c>
      <c r="F8993">
        <v>5</v>
      </c>
      <c r="G8993">
        <v>0</v>
      </c>
      <c r="H8993">
        <v>21.997499999999999</v>
      </c>
      <c r="U8993">
        <v>21.997499999999999</v>
      </c>
    </row>
    <row r="8994" spans="1:21" x14ac:dyDescent="0.35">
      <c r="A8994" t="s">
        <v>1368</v>
      </c>
      <c r="B8994" t="s">
        <v>2661</v>
      </c>
      <c r="C8994" t="s">
        <v>8</v>
      </c>
      <c r="D8994" t="s">
        <v>219</v>
      </c>
      <c r="E8994">
        <v>18.527999999999999</v>
      </c>
      <c r="F8994">
        <v>2</v>
      </c>
      <c r="G8994">
        <v>0.2</v>
      </c>
      <c r="H8994">
        <v>4.4004000000000003</v>
      </c>
      <c r="U8994">
        <v>4.4004000000000003</v>
      </c>
    </row>
    <row r="8995" spans="1:21" x14ac:dyDescent="0.35">
      <c r="A8995" t="s">
        <v>1368</v>
      </c>
      <c r="B8995" t="s">
        <v>2661</v>
      </c>
      <c r="C8995" t="s">
        <v>8</v>
      </c>
      <c r="D8995" t="s">
        <v>2061</v>
      </c>
      <c r="E8995">
        <v>1875.258</v>
      </c>
      <c r="F8995">
        <v>7</v>
      </c>
      <c r="G8995">
        <v>0.4</v>
      </c>
      <c r="H8995">
        <v>-968.88329999999996</v>
      </c>
      <c r="U8995">
        <v>-968.88329999999996</v>
      </c>
    </row>
    <row r="8996" spans="1:21" x14ac:dyDescent="0.35">
      <c r="A8996" t="s">
        <v>940</v>
      </c>
      <c r="B8996" t="s">
        <v>1420</v>
      </c>
      <c r="C8996" t="s">
        <v>8</v>
      </c>
      <c r="D8996" t="s">
        <v>2724</v>
      </c>
      <c r="E8996">
        <v>91.36</v>
      </c>
      <c r="F8996">
        <v>5</v>
      </c>
      <c r="G8996">
        <v>0.2</v>
      </c>
      <c r="H8996">
        <v>29.692</v>
      </c>
      <c r="U8996">
        <v>29.692</v>
      </c>
    </row>
    <row r="8997" spans="1:21" x14ac:dyDescent="0.35">
      <c r="A8997" t="s">
        <v>940</v>
      </c>
      <c r="B8997" t="s">
        <v>1420</v>
      </c>
      <c r="C8997" t="s">
        <v>8</v>
      </c>
      <c r="D8997" t="s">
        <v>942</v>
      </c>
      <c r="E8997">
        <v>152.24</v>
      </c>
      <c r="F8997">
        <v>5</v>
      </c>
      <c r="G8997">
        <v>0.2</v>
      </c>
      <c r="H8997">
        <v>17.126999999999999</v>
      </c>
      <c r="U8997">
        <v>17.126999999999999</v>
      </c>
    </row>
    <row r="8998" spans="1:21" x14ac:dyDescent="0.35">
      <c r="A8998" s="1">
        <v>43050</v>
      </c>
      <c r="B8998" t="s">
        <v>1171</v>
      </c>
      <c r="C8998" t="s">
        <v>35</v>
      </c>
      <c r="D8998" t="s">
        <v>1261</v>
      </c>
      <c r="E8998">
        <v>35.183999999999997</v>
      </c>
      <c r="F8998">
        <v>2</v>
      </c>
      <c r="G8998">
        <v>0.2</v>
      </c>
      <c r="H8998">
        <v>12.314399999999999</v>
      </c>
      <c r="U8998">
        <v>12.314399999999999</v>
      </c>
    </row>
    <row r="8999" spans="1:21" x14ac:dyDescent="0.35">
      <c r="A8999" t="s">
        <v>751</v>
      </c>
      <c r="B8999" t="s">
        <v>2257</v>
      </c>
      <c r="C8999" t="s">
        <v>35</v>
      </c>
      <c r="D8999" t="s">
        <v>75</v>
      </c>
      <c r="E8999">
        <v>56.704000000000001</v>
      </c>
      <c r="F8999">
        <v>2</v>
      </c>
      <c r="G8999">
        <v>0.2</v>
      </c>
      <c r="H8999">
        <v>19.137599999999999</v>
      </c>
      <c r="U8999">
        <v>19.137599999999999</v>
      </c>
    </row>
    <row r="9000" spans="1:21" x14ac:dyDescent="0.35">
      <c r="A9000" t="s">
        <v>751</v>
      </c>
      <c r="B9000" t="s">
        <v>2257</v>
      </c>
      <c r="C9000" t="s">
        <v>35</v>
      </c>
      <c r="D9000" t="s">
        <v>262</v>
      </c>
      <c r="E9000">
        <v>274.06400000000002</v>
      </c>
      <c r="F9000">
        <v>7</v>
      </c>
      <c r="G9000">
        <v>0.2</v>
      </c>
      <c r="H9000">
        <v>102.774</v>
      </c>
      <c r="U9000">
        <v>102.774</v>
      </c>
    </row>
    <row r="9001" spans="1:21" x14ac:dyDescent="0.35">
      <c r="A9001" t="s">
        <v>2112</v>
      </c>
      <c r="B9001" t="s">
        <v>1508</v>
      </c>
      <c r="C9001" t="s">
        <v>55</v>
      </c>
      <c r="D9001" t="s">
        <v>982</v>
      </c>
      <c r="E9001">
        <v>458.43</v>
      </c>
      <c r="F9001">
        <v>5</v>
      </c>
      <c r="G9001">
        <v>0.3</v>
      </c>
      <c r="H9001">
        <v>-124.431</v>
      </c>
      <c r="U9001">
        <v>-124.431</v>
      </c>
    </row>
    <row r="9002" spans="1:21" x14ac:dyDescent="0.35">
      <c r="A9002" t="s">
        <v>712</v>
      </c>
      <c r="B9002" t="s">
        <v>1760</v>
      </c>
      <c r="C9002" t="s">
        <v>13</v>
      </c>
      <c r="D9002" t="s">
        <v>2085</v>
      </c>
      <c r="E9002">
        <v>8.2260000000000009</v>
      </c>
      <c r="F9002">
        <v>3</v>
      </c>
      <c r="G9002">
        <v>0.7</v>
      </c>
      <c r="H9002">
        <v>-6.0324</v>
      </c>
      <c r="U9002">
        <v>-6.0324</v>
      </c>
    </row>
    <row r="9003" spans="1:21" x14ac:dyDescent="0.35">
      <c r="A9003" s="1">
        <v>41682</v>
      </c>
      <c r="B9003" t="s">
        <v>2065</v>
      </c>
      <c r="C9003" t="s">
        <v>8</v>
      </c>
      <c r="D9003" t="s">
        <v>2477</v>
      </c>
      <c r="E9003">
        <v>5.95</v>
      </c>
      <c r="F9003">
        <v>1</v>
      </c>
      <c r="G9003">
        <v>0</v>
      </c>
      <c r="H9003">
        <v>0.83299999999999996</v>
      </c>
      <c r="U9003">
        <v>0.83299999999999996</v>
      </c>
    </row>
    <row r="9004" spans="1:21" x14ac:dyDescent="0.35">
      <c r="A9004" s="1">
        <v>41682</v>
      </c>
      <c r="B9004" t="s">
        <v>2065</v>
      </c>
      <c r="C9004" t="s">
        <v>8</v>
      </c>
      <c r="D9004" t="s">
        <v>1267</v>
      </c>
      <c r="E9004">
        <v>15.24</v>
      </c>
      <c r="F9004">
        <v>3</v>
      </c>
      <c r="G9004">
        <v>0</v>
      </c>
      <c r="H9004">
        <v>7.1627999999999998</v>
      </c>
      <c r="U9004">
        <v>7.1627999999999998</v>
      </c>
    </row>
    <row r="9005" spans="1:21" x14ac:dyDescent="0.35">
      <c r="A9005" s="1">
        <v>42128</v>
      </c>
      <c r="B9005" t="s">
        <v>917</v>
      </c>
      <c r="C9005" t="s">
        <v>13</v>
      </c>
      <c r="D9005" t="s">
        <v>206</v>
      </c>
      <c r="E9005">
        <v>239.94</v>
      </c>
      <c r="F9005">
        <v>6</v>
      </c>
      <c r="G9005">
        <v>0</v>
      </c>
      <c r="H9005">
        <v>26.3934</v>
      </c>
      <c r="U9005">
        <v>26.3934</v>
      </c>
    </row>
    <row r="9006" spans="1:21" x14ac:dyDescent="0.35">
      <c r="A9006" s="1">
        <v>42128</v>
      </c>
      <c r="B9006" t="s">
        <v>917</v>
      </c>
      <c r="C9006" t="s">
        <v>13</v>
      </c>
      <c r="D9006" t="s">
        <v>2557</v>
      </c>
      <c r="E9006">
        <v>23.84</v>
      </c>
      <c r="F9006">
        <v>8</v>
      </c>
      <c r="G9006">
        <v>0</v>
      </c>
      <c r="H9006">
        <v>6.4367999999999999</v>
      </c>
      <c r="U9006">
        <v>6.4367999999999999</v>
      </c>
    </row>
    <row r="9007" spans="1:21" x14ac:dyDescent="0.35">
      <c r="A9007" t="s">
        <v>1684</v>
      </c>
      <c r="B9007" t="s">
        <v>950</v>
      </c>
      <c r="C9007" t="s">
        <v>35</v>
      </c>
      <c r="D9007" t="s">
        <v>794</v>
      </c>
      <c r="E9007">
        <v>92.52</v>
      </c>
      <c r="F9007">
        <v>6</v>
      </c>
      <c r="G9007">
        <v>0</v>
      </c>
      <c r="H9007">
        <v>24.980399999999999</v>
      </c>
      <c r="U9007">
        <v>24.980399999999999</v>
      </c>
    </row>
    <row r="9008" spans="1:21" x14ac:dyDescent="0.35">
      <c r="A9008" t="s">
        <v>1684</v>
      </c>
      <c r="B9008" t="s">
        <v>950</v>
      </c>
      <c r="C9008" t="s">
        <v>35</v>
      </c>
      <c r="D9008" t="s">
        <v>244</v>
      </c>
      <c r="E9008">
        <v>37.76</v>
      </c>
      <c r="F9008">
        <v>1</v>
      </c>
      <c r="G9008">
        <v>0</v>
      </c>
      <c r="H9008">
        <v>10.572800000000001</v>
      </c>
      <c r="U9008">
        <v>10.572800000000001</v>
      </c>
    </row>
    <row r="9009" spans="1:21" x14ac:dyDescent="0.35">
      <c r="A9009" t="s">
        <v>1684</v>
      </c>
      <c r="B9009" t="s">
        <v>950</v>
      </c>
      <c r="C9009" t="s">
        <v>35</v>
      </c>
      <c r="D9009" t="s">
        <v>2498</v>
      </c>
      <c r="E9009">
        <v>7.38</v>
      </c>
      <c r="F9009">
        <v>2</v>
      </c>
      <c r="G9009">
        <v>0</v>
      </c>
      <c r="H9009">
        <v>3.4685999999999999</v>
      </c>
      <c r="U9009">
        <v>3.4685999999999999</v>
      </c>
    </row>
    <row r="9010" spans="1:21" x14ac:dyDescent="0.35">
      <c r="A9010" t="s">
        <v>1684</v>
      </c>
      <c r="B9010" t="s">
        <v>950</v>
      </c>
      <c r="C9010" t="s">
        <v>35</v>
      </c>
      <c r="D9010" t="s">
        <v>753</v>
      </c>
      <c r="E9010">
        <v>5.82</v>
      </c>
      <c r="F9010">
        <v>2</v>
      </c>
      <c r="G9010">
        <v>0</v>
      </c>
      <c r="H9010">
        <v>2.7353999999999998</v>
      </c>
      <c r="U9010">
        <v>2.7353999999999998</v>
      </c>
    </row>
    <row r="9011" spans="1:21" x14ac:dyDescent="0.35">
      <c r="A9011" s="1">
        <v>43076</v>
      </c>
      <c r="B9011" t="s">
        <v>2553</v>
      </c>
      <c r="C9011" t="s">
        <v>55</v>
      </c>
      <c r="D9011" t="s">
        <v>2256</v>
      </c>
      <c r="E9011">
        <v>3.8159999999999998</v>
      </c>
      <c r="F9011">
        <v>1</v>
      </c>
      <c r="G9011">
        <v>0.2</v>
      </c>
      <c r="H9011">
        <v>1.1924999999999999</v>
      </c>
      <c r="U9011">
        <v>1.1924999999999999</v>
      </c>
    </row>
    <row r="9012" spans="1:21" x14ac:dyDescent="0.35">
      <c r="A9012" t="s">
        <v>971</v>
      </c>
      <c r="B9012" t="s">
        <v>1851</v>
      </c>
      <c r="C9012" t="s">
        <v>8</v>
      </c>
      <c r="D9012" t="s">
        <v>2326</v>
      </c>
      <c r="E9012">
        <v>26.16</v>
      </c>
      <c r="F9012">
        <v>4</v>
      </c>
      <c r="G9012">
        <v>0</v>
      </c>
      <c r="H9012">
        <v>12.8184</v>
      </c>
      <c r="U9012">
        <v>12.8184</v>
      </c>
    </row>
    <row r="9013" spans="1:21" x14ac:dyDescent="0.35">
      <c r="A9013" t="s">
        <v>595</v>
      </c>
      <c r="B9013" t="s">
        <v>1806</v>
      </c>
      <c r="C9013" t="s">
        <v>35</v>
      </c>
      <c r="D9013" t="s">
        <v>1265</v>
      </c>
      <c r="E9013">
        <v>100.8</v>
      </c>
      <c r="F9013">
        <v>2</v>
      </c>
      <c r="G9013">
        <v>0.2</v>
      </c>
      <c r="H9013">
        <v>21.42</v>
      </c>
      <c r="U9013">
        <v>21.42</v>
      </c>
    </row>
    <row r="9014" spans="1:21" x14ac:dyDescent="0.35">
      <c r="A9014" t="s">
        <v>2279</v>
      </c>
      <c r="B9014" t="s">
        <v>430</v>
      </c>
      <c r="C9014" t="s">
        <v>55</v>
      </c>
      <c r="D9014" t="s">
        <v>530</v>
      </c>
      <c r="E9014">
        <v>135.80000000000001</v>
      </c>
      <c r="F9014">
        <v>7</v>
      </c>
      <c r="G9014">
        <v>0</v>
      </c>
      <c r="H9014">
        <v>66.542000000000002</v>
      </c>
      <c r="U9014">
        <v>66.542000000000002</v>
      </c>
    </row>
    <row r="9015" spans="1:21" x14ac:dyDescent="0.35">
      <c r="A9015" t="s">
        <v>1027</v>
      </c>
      <c r="B9015" t="s">
        <v>2636</v>
      </c>
      <c r="C9015" t="s">
        <v>13</v>
      </c>
      <c r="D9015" t="s">
        <v>1743</v>
      </c>
      <c r="E9015">
        <v>13.9</v>
      </c>
      <c r="F9015">
        <v>5</v>
      </c>
      <c r="G9015">
        <v>0</v>
      </c>
      <c r="H9015">
        <v>3.7530000000000001</v>
      </c>
      <c r="U9015">
        <v>3.7530000000000001</v>
      </c>
    </row>
    <row r="9016" spans="1:21" x14ac:dyDescent="0.35">
      <c r="A9016" t="s">
        <v>1027</v>
      </c>
      <c r="B9016" t="s">
        <v>2636</v>
      </c>
      <c r="C9016" t="s">
        <v>13</v>
      </c>
      <c r="D9016" t="s">
        <v>1346</v>
      </c>
      <c r="E9016">
        <v>19.399999999999999</v>
      </c>
      <c r="F9016">
        <v>5</v>
      </c>
      <c r="G9016">
        <v>0</v>
      </c>
      <c r="H9016">
        <v>9.3119999999999994</v>
      </c>
      <c r="U9016">
        <v>9.3119999999999994</v>
      </c>
    </row>
    <row r="9017" spans="1:21" x14ac:dyDescent="0.35">
      <c r="A9017" t="s">
        <v>116</v>
      </c>
      <c r="B9017" t="s">
        <v>1366</v>
      </c>
      <c r="C9017" t="s">
        <v>13</v>
      </c>
      <c r="D9017" t="s">
        <v>1193</v>
      </c>
      <c r="E9017">
        <v>13.488</v>
      </c>
      <c r="F9017">
        <v>2</v>
      </c>
      <c r="G9017">
        <v>0.2</v>
      </c>
      <c r="H9017">
        <v>4.3836000000000004</v>
      </c>
      <c r="U9017">
        <v>4.3836000000000004</v>
      </c>
    </row>
    <row r="9018" spans="1:21" x14ac:dyDescent="0.35">
      <c r="A9018" t="s">
        <v>116</v>
      </c>
      <c r="B9018" t="s">
        <v>1366</v>
      </c>
      <c r="C9018" t="s">
        <v>13</v>
      </c>
      <c r="D9018" t="s">
        <v>2188</v>
      </c>
      <c r="E9018">
        <v>11.416</v>
      </c>
      <c r="F9018">
        <v>1</v>
      </c>
      <c r="G9018">
        <v>0.2</v>
      </c>
      <c r="H9018">
        <v>3.8529</v>
      </c>
      <c r="U9018">
        <v>3.8529</v>
      </c>
    </row>
    <row r="9019" spans="1:21" x14ac:dyDescent="0.35">
      <c r="A9019" t="s">
        <v>1015</v>
      </c>
      <c r="B9019" t="s">
        <v>2047</v>
      </c>
      <c r="C9019" t="s">
        <v>13</v>
      </c>
      <c r="D9019" t="s">
        <v>1679</v>
      </c>
      <c r="E9019">
        <v>17.64</v>
      </c>
      <c r="F9019">
        <v>3</v>
      </c>
      <c r="G9019">
        <v>0</v>
      </c>
      <c r="H9019">
        <v>8.6435999999999993</v>
      </c>
      <c r="U9019">
        <v>8.6435999999999993</v>
      </c>
    </row>
    <row r="9020" spans="1:21" x14ac:dyDescent="0.35">
      <c r="A9020" t="s">
        <v>1015</v>
      </c>
      <c r="B9020" t="s">
        <v>2047</v>
      </c>
      <c r="C9020" t="s">
        <v>13</v>
      </c>
      <c r="D9020" t="s">
        <v>48</v>
      </c>
      <c r="E9020">
        <v>17.04</v>
      </c>
      <c r="F9020">
        <v>3</v>
      </c>
      <c r="G9020">
        <v>0.2</v>
      </c>
      <c r="H9020">
        <v>5.5380000000000003</v>
      </c>
      <c r="U9020">
        <v>5.5380000000000003</v>
      </c>
    </row>
    <row r="9021" spans="1:21" x14ac:dyDescent="0.35">
      <c r="A9021" t="s">
        <v>1236</v>
      </c>
      <c r="B9021" t="s">
        <v>395</v>
      </c>
      <c r="C9021" t="s">
        <v>8</v>
      </c>
      <c r="D9021" t="s">
        <v>1595</v>
      </c>
      <c r="E9021">
        <v>99.98</v>
      </c>
      <c r="F9021">
        <v>2</v>
      </c>
      <c r="G9021">
        <v>0</v>
      </c>
      <c r="H9021">
        <v>7.9984000000000002</v>
      </c>
      <c r="U9021">
        <v>7.9984000000000002</v>
      </c>
    </row>
    <row r="9022" spans="1:21" x14ac:dyDescent="0.35">
      <c r="A9022" t="s">
        <v>1236</v>
      </c>
      <c r="B9022" t="s">
        <v>395</v>
      </c>
      <c r="C9022" t="s">
        <v>8</v>
      </c>
      <c r="D9022" t="s">
        <v>1475</v>
      </c>
      <c r="E9022">
        <v>29.46</v>
      </c>
      <c r="F9022">
        <v>6</v>
      </c>
      <c r="G9022">
        <v>0</v>
      </c>
      <c r="H9022">
        <v>9.7218</v>
      </c>
      <c r="U9022">
        <v>9.7218</v>
      </c>
    </row>
    <row r="9023" spans="1:21" x14ac:dyDescent="0.35">
      <c r="A9023" t="s">
        <v>472</v>
      </c>
      <c r="B9023" t="s">
        <v>2661</v>
      </c>
      <c r="C9023" t="s">
        <v>55</v>
      </c>
      <c r="D9023" t="s">
        <v>1866</v>
      </c>
      <c r="E9023">
        <v>166.92</v>
      </c>
      <c r="F9023">
        <v>13</v>
      </c>
      <c r="G9023">
        <v>0.7</v>
      </c>
      <c r="H9023">
        <v>-116.84399999999999</v>
      </c>
      <c r="U9023">
        <v>-116.84399999999999</v>
      </c>
    </row>
    <row r="9024" spans="1:21" x14ac:dyDescent="0.35">
      <c r="A9024" t="s">
        <v>1006</v>
      </c>
      <c r="B9024" t="s">
        <v>2292</v>
      </c>
      <c r="C9024" t="s">
        <v>13</v>
      </c>
      <c r="D9024" t="s">
        <v>943</v>
      </c>
      <c r="E9024">
        <v>98.328000000000003</v>
      </c>
      <c r="F9024">
        <v>3</v>
      </c>
      <c r="G9024">
        <v>0.2</v>
      </c>
      <c r="H9024">
        <v>9.8328000000000007</v>
      </c>
      <c r="U9024">
        <v>9.8328000000000007</v>
      </c>
    </row>
    <row r="9025" spans="1:21" x14ac:dyDescent="0.35">
      <c r="A9025" t="s">
        <v>651</v>
      </c>
      <c r="B9025" t="s">
        <v>1714</v>
      </c>
      <c r="C9025" t="s">
        <v>55</v>
      </c>
      <c r="D9025" t="s">
        <v>982</v>
      </c>
      <c r="E9025">
        <v>117.88200000000001</v>
      </c>
      <c r="F9025">
        <v>1</v>
      </c>
      <c r="G9025">
        <v>0.1</v>
      </c>
      <c r="H9025">
        <v>1.3098000000000001</v>
      </c>
      <c r="U9025">
        <v>1.3098000000000001</v>
      </c>
    </row>
    <row r="9026" spans="1:21" x14ac:dyDescent="0.35">
      <c r="A9026" t="s">
        <v>801</v>
      </c>
      <c r="B9026" t="s">
        <v>2661</v>
      </c>
      <c r="C9026" t="s">
        <v>55</v>
      </c>
      <c r="D9026" t="s">
        <v>2551</v>
      </c>
      <c r="E9026">
        <v>20.97</v>
      </c>
      <c r="F9026">
        <v>3</v>
      </c>
      <c r="G9026">
        <v>0</v>
      </c>
      <c r="H9026">
        <v>9.0170999999999992</v>
      </c>
      <c r="U9026">
        <v>9.0170999999999992</v>
      </c>
    </row>
    <row r="9027" spans="1:21" x14ac:dyDescent="0.35">
      <c r="A9027" t="s">
        <v>801</v>
      </c>
      <c r="B9027" t="s">
        <v>2661</v>
      </c>
      <c r="C9027" t="s">
        <v>55</v>
      </c>
      <c r="D9027" t="s">
        <v>2296</v>
      </c>
      <c r="E9027">
        <v>139.96</v>
      </c>
      <c r="F9027">
        <v>4</v>
      </c>
      <c r="G9027">
        <v>0</v>
      </c>
      <c r="H9027">
        <v>9.7972000000000001</v>
      </c>
      <c r="U9027">
        <v>9.7972000000000001</v>
      </c>
    </row>
    <row r="9028" spans="1:21" x14ac:dyDescent="0.35">
      <c r="A9028" t="s">
        <v>801</v>
      </c>
      <c r="B9028" t="s">
        <v>2661</v>
      </c>
      <c r="C9028" t="s">
        <v>55</v>
      </c>
      <c r="D9028" t="s">
        <v>1622</v>
      </c>
      <c r="E9028">
        <v>37.74</v>
      </c>
      <c r="F9028">
        <v>3</v>
      </c>
      <c r="G9028">
        <v>0</v>
      </c>
      <c r="H9028">
        <v>12.8316</v>
      </c>
      <c r="U9028">
        <v>12.8316</v>
      </c>
    </row>
    <row r="9029" spans="1:21" x14ac:dyDescent="0.35">
      <c r="A9029" t="s">
        <v>183</v>
      </c>
      <c r="B9029" t="s">
        <v>103</v>
      </c>
      <c r="C9029" t="s">
        <v>55</v>
      </c>
      <c r="D9029" t="s">
        <v>1116</v>
      </c>
      <c r="E9029">
        <v>14.82</v>
      </c>
      <c r="F9029">
        <v>3</v>
      </c>
      <c r="G9029">
        <v>0</v>
      </c>
      <c r="H9029">
        <v>6.2244000000000002</v>
      </c>
      <c r="U9029">
        <v>6.2244000000000002</v>
      </c>
    </row>
    <row r="9030" spans="1:21" x14ac:dyDescent="0.35">
      <c r="A9030" t="s">
        <v>183</v>
      </c>
      <c r="B9030" t="s">
        <v>103</v>
      </c>
      <c r="C9030" t="s">
        <v>55</v>
      </c>
      <c r="D9030" t="s">
        <v>836</v>
      </c>
      <c r="E9030">
        <v>191.82</v>
      </c>
      <c r="F9030">
        <v>3</v>
      </c>
      <c r="G9030">
        <v>0</v>
      </c>
      <c r="H9030">
        <v>61.382399999999997</v>
      </c>
      <c r="U9030">
        <v>61.382399999999997</v>
      </c>
    </row>
    <row r="9031" spans="1:21" x14ac:dyDescent="0.35">
      <c r="A9031" t="s">
        <v>1975</v>
      </c>
      <c r="B9031" t="s">
        <v>2328</v>
      </c>
      <c r="C9031" t="s">
        <v>55</v>
      </c>
      <c r="D9031" t="s">
        <v>965</v>
      </c>
      <c r="E9031">
        <v>13.904</v>
      </c>
      <c r="F9031">
        <v>2</v>
      </c>
      <c r="G9031">
        <v>0.2</v>
      </c>
      <c r="H9031">
        <v>4.5187999999999997</v>
      </c>
      <c r="U9031">
        <v>4.5187999999999997</v>
      </c>
    </row>
    <row r="9032" spans="1:21" x14ac:dyDescent="0.35">
      <c r="A9032" s="1">
        <v>42744</v>
      </c>
      <c r="B9032" t="s">
        <v>1624</v>
      </c>
      <c r="C9032" t="s">
        <v>13</v>
      </c>
      <c r="D9032" t="s">
        <v>1858</v>
      </c>
      <c r="E9032">
        <v>314.60000000000002</v>
      </c>
      <c r="F9032">
        <v>4</v>
      </c>
      <c r="G9032">
        <v>0</v>
      </c>
      <c r="H9032">
        <v>103.818</v>
      </c>
      <c r="U9032">
        <v>103.818</v>
      </c>
    </row>
    <row r="9033" spans="1:21" x14ac:dyDescent="0.35">
      <c r="A9033" s="1">
        <v>42744</v>
      </c>
      <c r="B9033" t="s">
        <v>1624</v>
      </c>
      <c r="C9033" t="s">
        <v>13</v>
      </c>
      <c r="D9033" t="s">
        <v>443</v>
      </c>
      <c r="E9033">
        <v>283.56</v>
      </c>
      <c r="F9033">
        <v>4</v>
      </c>
      <c r="G9033">
        <v>0</v>
      </c>
      <c r="H9033">
        <v>45.369599999999998</v>
      </c>
      <c r="U9033">
        <v>45.369599999999998</v>
      </c>
    </row>
    <row r="9034" spans="1:21" x14ac:dyDescent="0.35">
      <c r="A9034" t="s">
        <v>1023</v>
      </c>
      <c r="B9034" t="s">
        <v>204</v>
      </c>
      <c r="C9034" t="s">
        <v>35</v>
      </c>
      <c r="D9034" t="s">
        <v>10</v>
      </c>
      <c r="E9034">
        <v>487.96</v>
      </c>
      <c r="F9034">
        <v>2</v>
      </c>
      <c r="G9034">
        <v>0</v>
      </c>
      <c r="H9034">
        <v>146.38800000000001</v>
      </c>
      <c r="U9034">
        <v>146.38800000000001</v>
      </c>
    </row>
    <row r="9035" spans="1:21" x14ac:dyDescent="0.35">
      <c r="A9035" s="1">
        <v>41679</v>
      </c>
      <c r="B9035" t="s">
        <v>767</v>
      </c>
      <c r="C9035" t="s">
        <v>8</v>
      </c>
      <c r="D9035" t="s">
        <v>1886</v>
      </c>
      <c r="E9035">
        <v>1793.98</v>
      </c>
      <c r="F9035">
        <v>2</v>
      </c>
      <c r="G9035">
        <v>0</v>
      </c>
      <c r="H9035">
        <v>843.17060000000004</v>
      </c>
      <c r="U9035">
        <v>843.17060000000004</v>
      </c>
    </row>
    <row r="9036" spans="1:21" x14ac:dyDescent="0.35">
      <c r="A9036" s="1">
        <v>42014</v>
      </c>
      <c r="B9036" t="s">
        <v>310</v>
      </c>
      <c r="C9036" t="s">
        <v>35</v>
      </c>
      <c r="D9036" t="s">
        <v>2181</v>
      </c>
      <c r="E9036">
        <v>2.992</v>
      </c>
      <c r="F9036">
        <v>4</v>
      </c>
      <c r="G9036">
        <v>0.8</v>
      </c>
      <c r="H9036">
        <v>-4.4880000000000004</v>
      </c>
      <c r="U9036">
        <v>-4.4880000000000004</v>
      </c>
    </row>
    <row r="9037" spans="1:21" x14ac:dyDescent="0.35">
      <c r="A9037" s="1">
        <v>42014</v>
      </c>
      <c r="B9037" t="s">
        <v>310</v>
      </c>
      <c r="C9037" t="s">
        <v>35</v>
      </c>
      <c r="D9037" t="s">
        <v>311</v>
      </c>
      <c r="E9037">
        <v>108.768</v>
      </c>
      <c r="F9037">
        <v>4</v>
      </c>
      <c r="G9037">
        <v>0.2</v>
      </c>
      <c r="H9037">
        <v>2.7191999999999998</v>
      </c>
      <c r="U9037">
        <v>2.7191999999999998</v>
      </c>
    </row>
    <row r="9038" spans="1:21" x14ac:dyDescent="0.35">
      <c r="A9038" s="1">
        <v>42189</v>
      </c>
      <c r="B9038" t="s">
        <v>1020</v>
      </c>
      <c r="C9038" t="s">
        <v>55</v>
      </c>
      <c r="D9038" t="s">
        <v>1665</v>
      </c>
      <c r="E9038">
        <v>25.92</v>
      </c>
      <c r="F9038">
        <v>4</v>
      </c>
      <c r="G9038">
        <v>0</v>
      </c>
      <c r="H9038">
        <v>12.441599999999999</v>
      </c>
      <c r="U9038">
        <v>12.441599999999999</v>
      </c>
    </row>
    <row r="9039" spans="1:21" x14ac:dyDescent="0.35">
      <c r="A9039" s="1">
        <v>42189</v>
      </c>
      <c r="B9039" t="s">
        <v>1020</v>
      </c>
      <c r="C9039" t="s">
        <v>55</v>
      </c>
      <c r="D9039" t="s">
        <v>1667</v>
      </c>
      <c r="E9039">
        <v>22.58</v>
      </c>
      <c r="F9039">
        <v>2</v>
      </c>
      <c r="G9039">
        <v>0</v>
      </c>
      <c r="H9039">
        <v>5.8708</v>
      </c>
      <c r="U9039">
        <v>5.8708</v>
      </c>
    </row>
    <row r="9040" spans="1:21" x14ac:dyDescent="0.35">
      <c r="A9040" t="s">
        <v>1360</v>
      </c>
      <c r="B9040" t="s">
        <v>1790</v>
      </c>
      <c r="C9040" t="s">
        <v>35</v>
      </c>
      <c r="D9040" t="s">
        <v>866</v>
      </c>
      <c r="E9040">
        <v>55.176000000000002</v>
      </c>
      <c r="F9040">
        <v>3</v>
      </c>
      <c r="G9040">
        <v>0.2</v>
      </c>
      <c r="H9040">
        <v>-12.4146</v>
      </c>
      <c r="U9040">
        <v>-12.4146</v>
      </c>
    </row>
    <row r="9041" spans="1:21" x14ac:dyDescent="0.35">
      <c r="A9041" t="s">
        <v>116</v>
      </c>
      <c r="B9041" t="s">
        <v>1618</v>
      </c>
      <c r="C9041" t="s">
        <v>35</v>
      </c>
      <c r="D9041" t="s">
        <v>1215</v>
      </c>
      <c r="E9041">
        <v>9892.74</v>
      </c>
      <c r="F9041">
        <v>13</v>
      </c>
      <c r="G9041">
        <v>0</v>
      </c>
      <c r="H9041">
        <v>4946.37</v>
      </c>
      <c r="U9041">
        <v>4946.37</v>
      </c>
    </row>
    <row r="9042" spans="1:21" x14ac:dyDescent="0.35">
      <c r="A9042" t="s">
        <v>330</v>
      </c>
      <c r="B9042" t="s">
        <v>1851</v>
      </c>
      <c r="C9042" t="s">
        <v>13</v>
      </c>
      <c r="D9042" t="s">
        <v>1810</v>
      </c>
      <c r="E9042">
        <v>73.915000000000006</v>
      </c>
      <c r="F9042">
        <v>1</v>
      </c>
      <c r="G9042">
        <v>0.5</v>
      </c>
      <c r="H9042">
        <v>-45.827300000000001</v>
      </c>
      <c r="U9042">
        <v>-45.827300000000001</v>
      </c>
    </row>
    <row r="9043" spans="1:21" x14ac:dyDescent="0.35">
      <c r="A9043" t="s">
        <v>1561</v>
      </c>
      <c r="B9043" t="s">
        <v>805</v>
      </c>
      <c r="C9043" t="s">
        <v>8</v>
      </c>
      <c r="D9043" t="s">
        <v>2678</v>
      </c>
      <c r="E9043">
        <v>337.08800000000002</v>
      </c>
      <c r="F9043">
        <v>4</v>
      </c>
      <c r="G9043">
        <v>0.2</v>
      </c>
      <c r="H9043">
        <v>16.854399999999998</v>
      </c>
      <c r="U9043">
        <v>16.854399999999998</v>
      </c>
    </row>
    <row r="9044" spans="1:21" x14ac:dyDescent="0.35">
      <c r="A9044" t="s">
        <v>920</v>
      </c>
      <c r="B9044" t="s">
        <v>638</v>
      </c>
      <c r="C9044" t="s">
        <v>13</v>
      </c>
      <c r="D9044" t="s">
        <v>1025</v>
      </c>
      <c r="E9044">
        <v>61.44</v>
      </c>
      <c r="F9044">
        <v>3</v>
      </c>
      <c r="G9044">
        <v>0</v>
      </c>
      <c r="H9044">
        <v>16.588799999999999</v>
      </c>
      <c r="U9044">
        <v>16.588799999999999</v>
      </c>
    </row>
    <row r="9045" spans="1:21" x14ac:dyDescent="0.35">
      <c r="A9045" s="1">
        <v>42562</v>
      </c>
      <c r="B9045" t="s">
        <v>1746</v>
      </c>
      <c r="C9045" t="s">
        <v>13</v>
      </c>
      <c r="D9045" t="s">
        <v>634</v>
      </c>
      <c r="E9045">
        <v>479.97</v>
      </c>
      <c r="F9045">
        <v>3</v>
      </c>
      <c r="G9045">
        <v>0</v>
      </c>
      <c r="H9045">
        <v>163.18979999999999</v>
      </c>
      <c r="U9045">
        <v>163.18979999999999</v>
      </c>
    </row>
    <row r="9046" spans="1:21" x14ac:dyDescent="0.35">
      <c r="A9046" t="s">
        <v>2272</v>
      </c>
      <c r="B9046" t="s">
        <v>1338</v>
      </c>
      <c r="C9046" t="s">
        <v>13</v>
      </c>
      <c r="D9046" t="s">
        <v>2181</v>
      </c>
      <c r="E9046">
        <v>5.984</v>
      </c>
      <c r="F9046">
        <v>2</v>
      </c>
      <c r="G9046">
        <v>0.2</v>
      </c>
      <c r="H9046">
        <v>2.2440000000000002</v>
      </c>
      <c r="U9046">
        <v>2.2440000000000002</v>
      </c>
    </row>
    <row r="9047" spans="1:21" x14ac:dyDescent="0.35">
      <c r="A9047" t="s">
        <v>2272</v>
      </c>
      <c r="B9047" t="s">
        <v>1338</v>
      </c>
      <c r="C9047" t="s">
        <v>13</v>
      </c>
      <c r="D9047" t="s">
        <v>2067</v>
      </c>
      <c r="E9047">
        <v>189.95</v>
      </c>
      <c r="F9047">
        <v>5</v>
      </c>
      <c r="G9047">
        <v>0</v>
      </c>
      <c r="H9047">
        <v>45.588000000000001</v>
      </c>
      <c r="U9047">
        <v>45.588000000000001</v>
      </c>
    </row>
    <row r="9048" spans="1:21" x14ac:dyDescent="0.35">
      <c r="A9048" t="s">
        <v>2272</v>
      </c>
      <c r="B9048" t="s">
        <v>1338</v>
      </c>
      <c r="C9048" t="s">
        <v>13</v>
      </c>
      <c r="D9048" t="s">
        <v>1123</v>
      </c>
      <c r="E9048">
        <v>149.94999999999999</v>
      </c>
      <c r="F9048">
        <v>5</v>
      </c>
      <c r="G9048">
        <v>0</v>
      </c>
      <c r="H9048">
        <v>31.4895</v>
      </c>
      <c r="U9048">
        <v>31.4895</v>
      </c>
    </row>
    <row r="9049" spans="1:21" x14ac:dyDescent="0.35">
      <c r="A9049" t="s">
        <v>2272</v>
      </c>
      <c r="B9049" t="s">
        <v>1338</v>
      </c>
      <c r="C9049" t="s">
        <v>13</v>
      </c>
      <c r="D9049" t="s">
        <v>1310</v>
      </c>
      <c r="E9049">
        <v>29.95</v>
      </c>
      <c r="F9049">
        <v>5</v>
      </c>
      <c r="G9049">
        <v>0</v>
      </c>
      <c r="H9049">
        <v>8.6854999999999993</v>
      </c>
      <c r="U9049">
        <v>8.6854999999999993</v>
      </c>
    </row>
    <row r="9050" spans="1:21" x14ac:dyDescent="0.35">
      <c r="A9050" t="s">
        <v>2272</v>
      </c>
      <c r="B9050" t="s">
        <v>1338</v>
      </c>
      <c r="C9050" t="s">
        <v>13</v>
      </c>
      <c r="D9050" t="s">
        <v>2627</v>
      </c>
      <c r="E9050">
        <v>44.4</v>
      </c>
      <c r="F9050">
        <v>3</v>
      </c>
      <c r="G9050">
        <v>0</v>
      </c>
      <c r="H9050">
        <v>22.2</v>
      </c>
      <c r="U9050">
        <v>22.2</v>
      </c>
    </row>
    <row r="9051" spans="1:21" x14ac:dyDescent="0.35">
      <c r="A9051" t="s">
        <v>467</v>
      </c>
      <c r="B9051" t="s">
        <v>1311</v>
      </c>
      <c r="C9051" t="s">
        <v>55</v>
      </c>
      <c r="D9051" t="s">
        <v>1181</v>
      </c>
      <c r="E9051">
        <v>66.03</v>
      </c>
      <c r="F9051">
        <v>3</v>
      </c>
      <c r="G9051">
        <v>0</v>
      </c>
      <c r="H9051">
        <v>17.1678</v>
      </c>
      <c r="U9051">
        <v>17.1678</v>
      </c>
    </row>
    <row r="9052" spans="1:21" x14ac:dyDescent="0.35">
      <c r="A9052" t="s">
        <v>2650</v>
      </c>
      <c r="B9052" t="s">
        <v>1211</v>
      </c>
      <c r="C9052" t="s">
        <v>13</v>
      </c>
      <c r="D9052" t="s">
        <v>694</v>
      </c>
      <c r="E9052">
        <v>10.86</v>
      </c>
      <c r="F9052">
        <v>2</v>
      </c>
      <c r="G9052">
        <v>0</v>
      </c>
      <c r="H9052">
        <v>5.3213999999999997</v>
      </c>
      <c r="U9052">
        <v>5.3213999999999997</v>
      </c>
    </row>
    <row r="9053" spans="1:21" x14ac:dyDescent="0.35">
      <c r="A9053" t="s">
        <v>1817</v>
      </c>
      <c r="B9053" t="s">
        <v>1626</v>
      </c>
      <c r="C9053" t="s">
        <v>13</v>
      </c>
      <c r="D9053" t="s">
        <v>1979</v>
      </c>
      <c r="E9053">
        <v>3.36</v>
      </c>
      <c r="F9053">
        <v>2</v>
      </c>
      <c r="G9053">
        <v>0</v>
      </c>
      <c r="H9053">
        <v>0.84</v>
      </c>
      <c r="U9053">
        <v>0.84</v>
      </c>
    </row>
    <row r="9054" spans="1:21" x14ac:dyDescent="0.35">
      <c r="A9054" t="s">
        <v>1817</v>
      </c>
      <c r="B9054" t="s">
        <v>1626</v>
      </c>
      <c r="C9054" t="s">
        <v>13</v>
      </c>
      <c r="D9054" t="s">
        <v>100</v>
      </c>
      <c r="E9054">
        <v>27.936</v>
      </c>
      <c r="F9054">
        <v>4</v>
      </c>
      <c r="G9054">
        <v>0.2</v>
      </c>
      <c r="H9054">
        <v>9.4283999999999999</v>
      </c>
      <c r="U9054">
        <v>9.4283999999999999</v>
      </c>
    </row>
    <row r="9055" spans="1:21" x14ac:dyDescent="0.35">
      <c r="A9055" t="s">
        <v>1817</v>
      </c>
      <c r="B9055" t="s">
        <v>1626</v>
      </c>
      <c r="C9055" t="s">
        <v>13</v>
      </c>
      <c r="D9055" t="s">
        <v>2632</v>
      </c>
      <c r="E9055">
        <v>28.783999999999999</v>
      </c>
      <c r="F9055">
        <v>2</v>
      </c>
      <c r="G9055">
        <v>0.2</v>
      </c>
      <c r="H9055">
        <v>2.8784000000000001</v>
      </c>
      <c r="U9055">
        <v>2.8784000000000001</v>
      </c>
    </row>
    <row r="9056" spans="1:21" x14ac:dyDescent="0.35">
      <c r="A9056" t="s">
        <v>1101</v>
      </c>
      <c r="B9056" t="s">
        <v>1203</v>
      </c>
      <c r="C9056" t="s">
        <v>13</v>
      </c>
      <c r="D9056" t="s">
        <v>271</v>
      </c>
      <c r="E9056">
        <v>21.96</v>
      </c>
      <c r="F9056">
        <v>2</v>
      </c>
      <c r="G9056">
        <v>0</v>
      </c>
      <c r="H9056">
        <v>6.1487999999999996</v>
      </c>
      <c r="U9056">
        <v>6.1487999999999996</v>
      </c>
    </row>
    <row r="9057" spans="1:21" x14ac:dyDescent="0.35">
      <c r="A9057" s="1">
        <v>42347</v>
      </c>
      <c r="B9057" t="s">
        <v>461</v>
      </c>
      <c r="C9057" t="s">
        <v>13</v>
      </c>
      <c r="D9057" t="s">
        <v>1528</v>
      </c>
      <c r="E9057">
        <v>21.98</v>
      </c>
      <c r="F9057">
        <v>2</v>
      </c>
      <c r="G9057">
        <v>0</v>
      </c>
      <c r="H9057">
        <v>8.5722000000000005</v>
      </c>
      <c r="U9057">
        <v>8.5722000000000005</v>
      </c>
    </row>
    <row r="9058" spans="1:21" x14ac:dyDescent="0.35">
      <c r="A9058" s="1">
        <v>42046</v>
      </c>
      <c r="B9058" t="s">
        <v>1806</v>
      </c>
      <c r="C9058" t="s">
        <v>55</v>
      </c>
      <c r="D9058" t="s">
        <v>2675</v>
      </c>
      <c r="E9058">
        <v>2621.3220000000001</v>
      </c>
      <c r="F9058">
        <v>11</v>
      </c>
      <c r="G9058">
        <v>0.1</v>
      </c>
      <c r="H9058">
        <v>553.39020000000005</v>
      </c>
      <c r="U9058">
        <v>553.39020000000005</v>
      </c>
    </row>
    <row r="9059" spans="1:21" x14ac:dyDescent="0.35">
      <c r="A9059" t="s">
        <v>223</v>
      </c>
      <c r="B9059" t="s">
        <v>2199</v>
      </c>
      <c r="C9059" t="s">
        <v>13</v>
      </c>
      <c r="D9059" t="s">
        <v>2533</v>
      </c>
      <c r="E9059">
        <v>74.760000000000005</v>
      </c>
      <c r="F9059">
        <v>7</v>
      </c>
      <c r="G9059">
        <v>0</v>
      </c>
      <c r="H9059">
        <v>23.923200000000001</v>
      </c>
      <c r="U9059">
        <v>23.923200000000001</v>
      </c>
    </row>
    <row r="9060" spans="1:21" x14ac:dyDescent="0.35">
      <c r="A9060" t="s">
        <v>223</v>
      </c>
      <c r="B9060" t="s">
        <v>2199</v>
      </c>
      <c r="C9060" t="s">
        <v>13</v>
      </c>
      <c r="D9060" t="s">
        <v>2612</v>
      </c>
      <c r="E9060">
        <v>364.77600000000001</v>
      </c>
      <c r="F9060">
        <v>3</v>
      </c>
      <c r="G9060">
        <v>0.2</v>
      </c>
      <c r="H9060">
        <v>27.3582</v>
      </c>
      <c r="U9060">
        <v>27.3582</v>
      </c>
    </row>
    <row r="9061" spans="1:21" x14ac:dyDescent="0.35">
      <c r="A9061" t="s">
        <v>737</v>
      </c>
      <c r="B9061" t="s">
        <v>1002</v>
      </c>
      <c r="C9061" t="s">
        <v>13</v>
      </c>
      <c r="D9061" t="s">
        <v>1503</v>
      </c>
      <c r="E9061">
        <v>1115.17</v>
      </c>
      <c r="F9061">
        <v>7</v>
      </c>
      <c r="G9061">
        <v>0</v>
      </c>
      <c r="H9061">
        <v>334.55099999999999</v>
      </c>
      <c r="U9061">
        <v>334.55099999999999</v>
      </c>
    </row>
    <row r="9062" spans="1:21" x14ac:dyDescent="0.35">
      <c r="A9062" t="s">
        <v>1187</v>
      </c>
      <c r="B9062" t="s">
        <v>1105</v>
      </c>
      <c r="C9062" t="s">
        <v>13</v>
      </c>
      <c r="D9062" t="s">
        <v>1523</v>
      </c>
      <c r="E9062">
        <v>89.695999999999998</v>
      </c>
      <c r="F9062">
        <v>4</v>
      </c>
      <c r="G9062">
        <v>0.2</v>
      </c>
      <c r="H9062">
        <v>33.636000000000003</v>
      </c>
      <c r="U9062">
        <v>33.636000000000003</v>
      </c>
    </row>
    <row r="9063" spans="1:21" x14ac:dyDescent="0.35">
      <c r="A9063" t="s">
        <v>1187</v>
      </c>
      <c r="B9063" t="s">
        <v>1105</v>
      </c>
      <c r="C9063" t="s">
        <v>13</v>
      </c>
      <c r="D9063" t="s">
        <v>113</v>
      </c>
      <c r="E9063">
        <v>50.12</v>
      </c>
      <c r="F9063">
        <v>4</v>
      </c>
      <c r="G9063">
        <v>0</v>
      </c>
      <c r="H9063">
        <v>23.5564</v>
      </c>
      <c r="U9063">
        <v>23.5564</v>
      </c>
    </row>
    <row r="9064" spans="1:21" x14ac:dyDescent="0.35">
      <c r="A9064" t="s">
        <v>2078</v>
      </c>
      <c r="B9064" t="s">
        <v>2196</v>
      </c>
      <c r="C9064" t="s">
        <v>55</v>
      </c>
      <c r="D9064" t="s">
        <v>263</v>
      </c>
      <c r="E9064">
        <v>36.479999999999997</v>
      </c>
      <c r="F9064">
        <v>6</v>
      </c>
      <c r="G9064">
        <v>0</v>
      </c>
      <c r="H9064">
        <v>18.239999999999998</v>
      </c>
      <c r="U9064">
        <v>18.239999999999998</v>
      </c>
    </row>
    <row r="9065" spans="1:21" x14ac:dyDescent="0.35">
      <c r="A9065" t="s">
        <v>2566</v>
      </c>
      <c r="B9065" t="s">
        <v>883</v>
      </c>
      <c r="C9065" t="s">
        <v>35</v>
      </c>
      <c r="D9065" t="s">
        <v>2092</v>
      </c>
      <c r="E9065">
        <v>322.19200000000001</v>
      </c>
      <c r="F9065">
        <v>13</v>
      </c>
      <c r="G9065">
        <v>0.2</v>
      </c>
      <c r="H9065">
        <v>100.685</v>
      </c>
      <c r="U9065">
        <v>100.685</v>
      </c>
    </row>
    <row r="9066" spans="1:21" x14ac:dyDescent="0.35">
      <c r="A9066" t="s">
        <v>2566</v>
      </c>
      <c r="B9066" t="s">
        <v>883</v>
      </c>
      <c r="C9066" t="s">
        <v>35</v>
      </c>
      <c r="D9066" t="s">
        <v>380</v>
      </c>
      <c r="E9066">
        <v>2.9460000000000002</v>
      </c>
      <c r="F9066">
        <v>3</v>
      </c>
      <c r="G9066">
        <v>0.8</v>
      </c>
      <c r="H9066">
        <v>-4.8609</v>
      </c>
      <c r="U9066">
        <v>-4.8609</v>
      </c>
    </row>
    <row r="9067" spans="1:21" x14ac:dyDescent="0.35">
      <c r="A9067" t="s">
        <v>2566</v>
      </c>
      <c r="B9067" t="s">
        <v>883</v>
      </c>
      <c r="C9067" t="s">
        <v>35</v>
      </c>
      <c r="D9067" t="s">
        <v>2100</v>
      </c>
      <c r="E9067">
        <v>19.135999999999999</v>
      </c>
      <c r="F9067">
        <v>4</v>
      </c>
      <c r="G9067">
        <v>0.2</v>
      </c>
      <c r="H9067">
        <v>6.9367999999999999</v>
      </c>
      <c r="U9067">
        <v>6.9367999999999999</v>
      </c>
    </row>
    <row r="9068" spans="1:21" x14ac:dyDescent="0.35">
      <c r="A9068" t="s">
        <v>1309</v>
      </c>
      <c r="B9068" t="s">
        <v>1121</v>
      </c>
      <c r="C9068" t="s">
        <v>8</v>
      </c>
      <c r="D9068" t="s">
        <v>2421</v>
      </c>
      <c r="E9068">
        <v>23.08</v>
      </c>
      <c r="F9068">
        <v>2</v>
      </c>
      <c r="G9068">
        <v>0</v>
      </c>
      <c r="H9068">
        <v>6.9240000000000004</v>
      </c>
      <c r="U9068">
        <v>6.9240000000000004</v>
      </c>
    </row>
    <row r="9069" spans="1:21" x14ac:dyDescent="0.35">
      <c r="A9069" s="1">
        <v>42462</v>
      </c>
      <c r="B9069" t="s">
        <v>1242</v>
      </c>
      <c r="C9069" t="s">
        <v>55</v>
      </c>
      <c r="D9069" t="s">
        <v>2205</v>
      </c>
      <c r="E9069">
        <v>90.48</v>
      </c>
      <c r="F9069">
        <v>2</v>
      </c>
      <c r="G9069">
        <v>0</v>
      </c>
      <c r="H9069">
        <v>23.524799999999999</v>
      </c>
      <c r="U9069">
        <v>23.524799999999999</v>
      </c>
    </row>
    <row r="9070" spans="1:21" x14ac:dyDescent="0.35">
      <c r="A9070" s="1">
        <v>42409</v>
      </c>
      <c r="B9070" t="s">
        <v>317</v>
      </c>
      <c r="C9070" t="s">
        <v>13</v>
      </c>
      <c r="D9070" t="s">
        <v>115</v>
      </c>
      <c r="E9070">
        <v>215.976</v>
      </c>
      <c r="F9070">
        <v>3</v>
      </c>
      <c r="G9070">
        <v>0.2</v>
      </c>
      <c r="H9070">
        <v>-2.6997</v>
      </c>
      <c r="U9070">
        <v>-2.6997</v>
      </c>
    </row>
    <row r="9071" spans="1:21" x14ac:dyDescent="0.35">
      <c r="A9071" s="1">
        <v>42409</v>
      </c>
      <c r="B9071" t="s">
        <v>317</v>
      </c>
      <c r="C9071" t="s">
        <v>13</v>
      </c>
      <c r="D9071" t="s">
        <v>2519</v>
      </c>
      <c r="E9071">
        <v>65.94</v>
      </c>
      <c r="F9071">
        <v>3</v>
      </c>
      <c r="G9071">
        <v>0</v>
      </c>
      <c r="H9071">
        <v>30.991800000000001</v>
      </c>
      <c r="U9071">
        <v>30.991800000000001</v>
      </c>
    </row>
    <row r="9072" spans="1:21" x14ac:dyDescent="0.35">
      <c r="A9072" s="1">
        <v>42837</v>
      </c>
      <c r="B9072" t="s">
        <v>2439</v>
      </c>
      <c r="C9072" t="s">
        <v>55</v>
      </c>
      <c r="D9072" t="s">
        <v>546</v>
      </c>
      <c r="E9072">
        <v>11.352</v>
      </c>
      <c r="F9072">
        <v>3</v>
      </c>
      <c r="G9072">
        <v>0.2</v>
      </c>
      <c r="H9072">
        <v>2.6960999999999999</v>
      </c>
      <c r="U9072">
        <v>2.6960999999999999</v>
      </c>
    </row>
    <row r="9073" spans="1:21" x14ac:dyDescent="0.35">
      <c r="A9073" s="1">
        <v>42344</v>
      </c>
      <c r="B9073" t="s">
        <v>1596</v>
      </c>
      <c r="C9073" t="s">
        <v>35</v>
      </c>
      <c r="D9073" t="s">
        <v>1040</v>
      </c>
      <c r="E9073">
        <v>24.56</v>
      </c>
      <c r="F9073">
        <v>2</v>
      </c>
      <c r="G9073">
        <v>0</v>
      </c>
      <c r="H9073">
        <v>6.8768000000000002</v>
      </c>
      <c r="U9073">
        <v>6.8768000000000002</v>
      </c>
    </row>
    <row r="9074" spans="1:21" x14ac:dyDescent="0.35">
      <c r="A9074" s="1">
        <v>42469</v>
      </c>
      <c r="B9074" t="s">
        <v>1651</v>
      </c>
      <c r="C9074" t="s">
        <v>35</v>
      </c>
      <c r="D9074" t="s">
        <v>314</v>
      </c>
      <c r="E9074">
        <v>16.559999999999999</v>
      </c>
      <c r="F9074">
        <v>2</v>
      </c>
      <c r="G9074">
        <v>0</v>
      </c>
      <c r="H9074">
        <v>7.7831999999999999</v>
      </c>
      <c r="U9074">
        <v>7.7831999999999999</v>
      </c>
    </row>
    <row r="9075" spans="1:21" x14ac:dyDescent="0.35">
      <c r="A9075" s="1">
        <v>42469</v>
      </c>
      <c r="B9075" t="s">
        <v>1651</v>
      </c>
      <c r="C9075" t="s">
        <v>35</v>
      </c>
      <c r="D9075" t="s">
        <v>408</v>
      </c>
      <c r="E9075">
        <v>279.95</v>
      </c>
      <c r="F9075">
        <v>5</v>
      </c>
      <c r="G9075">
        <v>0</v>
      </c>
      <c r="H9075">
        <v>67.188000000000002</v>
      </c>
      <c r="U9075">
        <v>67.188000000000002</v>
      </c>
    </row>
    <row r="9076" spans="1:21" x14ac:dyDescent="0.35">
      <c r="A9076" t="s">
        <v>1455</v>
      </c>
      <c r="B9076" t="s">
        <v>2021</v>
      </c>
      <c r="C9076" t="s">
        <v>8</v>
      </c>
      <c r="D9076" t="s">
        <v>1575</v>
      </c>
      <c r="E9076">
        <v>828.84</v>
      </c>
      <c r="F9076">
        <v>6</v>
      </c>
      <c r="G9076">
        <v>0</v>
      </c>
      <c r="H9076">
        <v>0</v>
      </c>
      <c r="U9076">
        <v>0</v>
      </c>
    </row>
    <row r="9077" spans="1:21" x14ac:dyDescent="0.35">
      <c r="A9077" s="1">
        <v>42135</v>
      </c>
      <c r="B9077" t="s">
        <v>1928</v>
      </c>
      <c r="C9077" t="s">
        <v>55</v>
      </c>
      <c r="D9077" t="s">
        <v>735</v>
      </c>
      <c r="E9077">
        <v>7.218</v>
      </c>
      <c r="F9077">
        <v>3</v>
      </c>
      <c r="G9077">
        <v>0.7</v>
      </c>
      <c r="H9077">
        <v>-5.5338000000000003</v>
      </c>
      <c r="U9077">
        <v>-5.5338000000000003</v>
      </c>
    </row>
    <row r="9078" spans="1:21" x14ac:dyDescent="0.35">
      <c r="A9078" s="1">
        <v>42135</v>
      </c>
      <c r="B9078" t="s">
        <v>1928</v>
      </c>
      <c r="C9078" t="s">
        <v>55</v>
      </c>
      <c r="D9078" t="s">
        <v>2637</v>
      </c>
      <c r="E9078">
        <v>27.2</v>
      </c>
      <c r="F9078">
        <v>4</v>
      </c>
      <c r="G9078">
        <v>0.2</v>
      </c>
      <c r="H9078">
        <v>2.04</v>
      </c>
      <c r="U9078">
        <v>2.04</v>
      </c>
    </row>
    <row r="9079" spans="1:21" x14ac:dyDescent="0.35">
      <c r="A9079" s="1">
        <v>41709</v>
      </c>
      <c r="B9079" t="s">
        <v>294</v>
      </c>
      <c r="C9079" t="s">
        <v>35</v>
      </c>
      <c r="D9079" t="s">
        <v>1724</v>
      </c>
      <c r="E9079">
        <v>89.97</v>
      </c>
      <c r="F9079">
        <v>3</v>
      </c>
      <c r="G9079">
        <v>0</v>
      </c>
      <c r="H9079">
        <v>18.893699999999999</v>
      </c>
      <c r="U9079">
        <v>18.893699999999999</v>
      </c>
    </row>
    <row r="9080" spans="1:21" x14ac:dyDescent="0.35">
      <c r="A9080" t="s">
        <v>1845</v>
      </c>
      <c r="B9080" t="s">
        <v>1861</v>
      </c>
      <c r="C9080" t="s">
        <v>8</v>
      </c>
      <c r="D9080" t="s">
        <v>259</v>
      </c>
      <c r="E9080">
        <v>318.08</v>
      </c>
      <c r="F9080">
        <v>4</v>
      </c>
      <c r="G9080">
        <v>0</v>
      </c>
      <c r="H9080">
        <v>34.988799999999998</v>
      </c>
      <c r="U9080">
        <v>34.988799999999998</v>
      </c>
    </row>
    <row r="9081" spans="1:21" x14ac:dyDescent="0.35">
      <c r="A9081" t="s">
        <v>1845</v>
      </c>
      <c r="B9081" t="s">
        <v>1861</v>
      </c>
      <c r="C9081" t="s">
        <v>8</v>
      </c>
      <c r="D9081" t="s">
        <v>624</v>
      </c>
      <c r="E9081">
        <v>5.8</v>
      </c>
      <c r="F9081">
        <v>1</v>
      </c>
      <c r="G9081">
        <v>0</v>
      </c>
      <c r="H9081">
        <v>2.61</v>
      </c>
      <c r="U9081">
        <v>2.61</v>
      </c>
    </row>
    <row r="9082" spans="1:21" x14ac:dyDescent="0.35">
      <c r="A9082" s="1">
        <v>43048</v>
      </c>
      <c r="B9082" t="s">
        <v>725</v>
      </c>
      <c r="C9082" t="s">
        <v>13</v>
      </c>
      <c r="D9082" t="s">
        <v>1637</v>
      </c>
      <c r="E9082">
        <v>143.952</v>
      </c>
      <c r="F9082">
        <v>6</v>
      </c>
      <c r="G9082">
        <v>0.2</v>
      </c>
      <c r="H9082">
        <v>17.994</v>
      </c>
      <c r="U9082">
        <v>17.994</v>
      </c>
    </row>
    <row r="9083" spans="1:21" x14ac:dyDescent="0.35">
      <c r="A9083" s="1">
        <v>43048</v>
      </c>
      <c r="B9083" t="s">
        <v>725</v>
      </c>
      <c r="C9083" t="s">
        <v>13</v>
      </c>
      <c r="D9083" t="s">
        <v>1665</v>
      </c>
      <c r="E9083">
        <v>19.440000000000001</v>
      </c>
      <c r="F9083">
        <v>3</v>
      </c>
      <c r="G9083">
        <v>0</v>
      </c>
      <c r="H9083">
        <v>9.3312000000000008</v>
      </c>
      <c r="U9083">
        <v>9.3312000000000008</v>
      </c>
    </row>
    <row r="9084" spans="1:21" x14ac:dyDescent="0.35">
      <c r="A9084" s="1">
        <v>42777</v>
      </c>
      <c r="B9084" t="s">
        <v>2619</v>
      </c>
      <c r="C9084" t="s">
        <v>8</v>
      </c>
      <c r="D9084" t="s">
        <v>51</v>
      </c>
      <c r="E9084">
        <v>5.56</v>
      </c>
      <c r="F9084">
        <v>2</v>
      </c>
      <c r="G9084">
        <v>0</v>
      </c>
      <c r="H9084">
        <v>1.4456</v>
      </c>
      <c r="U9084">
        <v>1.4456</v>
      </c>
    </row>
    <row r="9085" spans="1:21" x14ac:dyDescent="0.35">
      <c r="A9085" s="1">
        <v>42157</v>
      </c>
      <c r="B9085" t="s">
        <v>2151</v>
      </c>
      <c r="C9085" t="s">
        <v>8</v>
      </c>
      <c r="D9085" t="s">
        <v>1872</v>
      </c>
      <c r="E9085">
        <v>146.72999999999999</v>
      </c>
      <c r="F9085">
        <v>3</v>
      </c>
      <c r="G9085">
        <v>0</v>
      </c>
      <c r="H9085">
        <v>2.9346000000000001</v>
      </c>
      <c r="U9085">
        <v>2.9346000000000001</v>
      </c>
    </row>
    <row r="9086" spans="1:21" x14ac:dyDescent="0.35">
      <c r="A9086" s="1">
        <v>42157</v>
      </c>
      <c r="B9086" t="s">
        <v>2151</v>
      </c>
      <c r="C9086" t="s">
        <v>8</v>
      </c>
      <c r="D9086" t="s">
        <v>308</v>
      </c>
      <c r="E9086">
        <v>29.9</v>
      </c>
      <c r="F9086">
        <v>5</v>
      </c>
      <c r="G9086">
        <v>0</v>
      </c>
      <c r="H9086">
        <v>13.455</v>
      </c>
      <c r="U9086">
        <v>13.455</v>
      </c>
    </row>
    <row r="9087" spans="1:21" x14ac:dyDescent="0.35">
      <c r="A9087" s="1">
        <v>42652</v>
      </c>
      <c r="B9087" t="s">
        <v>928</v>
      </c>
      <c r="C9087" t="s">
        <v>13</v>
      </c>
      <c r="D9087" t="s">
        <v>2440</v>
      </c>
      <c r="E9087">
        <v>276.78399999999999</v>
      </c>
      <c r="F9087">
        <v>2</v>
      </c>
      <c r="G9087">
        <v>0.2</v>
      </c>
      <c r="H9087">
        <v>89.954800000000006</v>
      </c>
      <c r="U9087">
        <v>89.954800000000006</v>
      </c>
    </row>
    <row r="9088" spans="1:21" x14ac:dyDescent="0.35">
      <c r="A9088" t="s">
        <v>769</v>
      </c>
      <c r="B9088" t="s">
        <v>2576</v>
      </c>
      <c r="C9088" t="s">
        <v>35</v>
      </c>
      <c r="D9088" t="s">
        <v>2649</v>
      </c>
      <c r="E9088">
        <v>93.031999999999996</v>
      </c>
      <c r="F9088">
        <v>2</v>
      </c>
      <c r="G9088">
        <v>0.8</v>
      </c>
      <c r="H9088">
        <v>-251.18639999999999</v>
      </c>
      <c r="U9088">
        <v>-251.18639999999999</v>
      </c>
    </row>
    <row r="9089" spans="1:21" x14ac:dyDescent="0.35">
      <c r="A9089" t="s">
        <v>769</v>
      </c>
      <c r="B9089" t="s">
        <v>2576</v>
      </c>
      <c r="C9089" t="s">
        <v>35</v>
      </c>
      <c r="D9089" t="s">
        <v>153</v>
      </c>
      <c r="E9089">
        <v>454.96499999999997</v>
      </c>
      <c r="F9089">
        <v>5</v>
      </c>
      <c r="G9089">
        <v>0.3</v>
      </c>
      <c r="H9089">
        <v>-136.48949999999999</v>
      </c>
      <c r="U9089">
        <v>-136.48949999999999</v>
      </c>
    </row>
    <row r="9090" spans="1:21" x14ac:dyDescent="0.35">
      <c r="A9090" t="s">
        <v>342</v>
      </c>
      <c r="B9090" t="s">
        <v>2196</v>
      </c>
      <c r="C9090" t="s">
        <v>8</v>
      </c>
      <c r="D9090" t="s">
        <v>471</v>
      </c>
      <c r="E9090">
        <v>246.16800000000001</v>
      </c>
      <c r="F9090">
        <v>3</v>
      </c>
      <c r="G9090">
        <v>0.2</v>
      </c>
      <c r="H9090">
        <v>21.5397</v>
      </c>
      <c r="U9090">
        <v>21.5397</v>
      </c>
    </row>
    <row r="9091" spans="1:21" x14ac:dyDescent="0.35">
      <c r="A9091" t="s">
        <v>183</v>
      </c>
      <c r="B9091" t="s">
        <v>254</v>
      </c>
      <c r="C9091" t="s">
        <v>55</v>
      </c>
      <c r="D9091" t="s">
        <v>463</v>
      </c>
      <c r="E9091">
        <v>295.39999999999998</v>
      </c>
      <c r="F9091">
        <v>5</v>
      </c>
      <c r="G9091">
        <v>0.2</v>
      </c>
      <c r="H9091">
        <v>-62.772500000000001</v>
      </c>
      <c r="U9091">
        <v>-62.772500000000001</v>
      </c>
    </row>
    <row r="9092" spans="1:21" x14ac:dyDescent="0.35">
      <c r="A9092" t="s">
        <v>497</v>
      </c>
      <c r="B9092" t="s">
        <v>473</v>
      </c>
      <c r="C9092" t="s">
        <v>8</v>
      </c>
      <c r="D9092" t="s">
        <v>256</v>
      </c>
      <c r="E9092">
        <v>348.56</v>
      </c>
      <c r="F9092">
        <v>8</v>
      </c>
      <c r="G9092">
        <v>0</v>
      </c>
      <c r="H9092">
        <v>104.568</v>
      </c>
      <c r="U9092">
        <v>104.568</v>
      </c>
    </row>
    <row r="9093" spans="1:21" x14ac:dyDescent="0.35">
      <c r="A9093" t="s">
        <v>2666</v>
      </c>
      <c r="B9093" t="s">
        <v>260</v>
      </c>
      <c r="C9093" t="s">
        <v>55</v>
      </c>
      <c r="D9093" t="s">
        <v>190</v>
      </c>
      <c r="E9093">
        <v>15.552</v>
      </c>
      <c r="F9093">
        <v>3</v>
      </c>
      <c r="G9093">
        <v>0.2</v>
      </c>
      <c r="H9093">
        <v>5.4432</v>
      </c>
      <c r="U9093">
        <v>5.4432</v>
      </c>
    </row>
    <row r="9094" spans="1:21" x14ac:dyDescent="0.35">
      <c r="A9094" t="s">
        <v>2666</v>
      </c>
      <c r="B9094" t="s">
        <v>260</v>
      </c>
      <c r="C9094" t="s">
        <v>55</v>
      </c>
      <c r="D9094" t="s">
        <v>1868</v>
      </c>
      <c r="E9094">
        <v>482.94</v>
      </c>
      <c r="F9094">
        <v>6</v>
      </c>
      <c r="G9094">
        <v>0.5</v>
      </c>
      <c r="H9094">
        <v>-376.69319999999999</v>
      </c>
      <c r="U9094">
        <v>-376.69319999999999</v>
      </c>
    </row>
    <row r="9095" spans="1:21" x14ac:dyDescent="0.35">
      <c r="A9095" s="1">
        <v>42010</v>
      </c>
      <c r="B9095" t="s">
        <v>899</v>
      </c>
      <c r="C9095" t="s">
        <v>35</v>
      </c>
      <c r="D9095" t="s">
        <v>2324</v>
      </c>
      <c r="E9095">
        <v>299.98</v>
      </c>
      <c r="F9095">
        <v>2</v>
      </c>
      <c r="G9095">
        <v>0</v>
      </c>
      <c r="H9095">
        <v>83.994399999999999</v>
      </c>
      <c r="U9095">
        <v>83.994399999999999</v>
      </c>
    </row>
    <row r="9096" spans="1:21" x14ac:dyDescent="0.35">
      <c r="A9096" s="1">
        <v>42010</v>
      </c>
      <c r="B9096" t="s">
        <v>899</v>
      </c>
      <c r="C9096" t="s">
        <v>35</v>
      </c>
      <c r="D9096" t="s">
        <v>1765</v>
      </c>
      <c r="E9096">
        <v>403.68</v>
      </c>
      <c r="F9096">
        <v>6</v>
      </c>
      <c r="G9096">
        <v>0</v>
      </c>
      <c r="H9096">
        <v>181.65600000000001</v>
      </c>
      <c r="U9096">
        <v>181.65600000000001</v>
      </c>
    </row>
    <row r="9097" spans="1:21" x14ac:dyDescent="0.35">
      <c r="A9097" s="1">
        <v>42010</v>
      </c>
      <c r="B9097" t="s">
        <v>899</v>
      </c>
      <c r="C9097" t="s">
        <v>35</v>
      </c>
      <c r="D9097" t="s">
        <v>1686</v>
      </c>
      <c r="E9097">
        <v>41.9</v>
      </c>
      <c r="F9097">
        <v>2</v>
      </c>
      <c r="G9097">
        <v>0</v>
      </c>
      <c r="H9097">
        <v>11.731999999999999</v>
      </c>
      <c r="U9097">
        <v>11.731999999999999</v>
      </c>
    </row>
    <row r="9098" spans="1:21" x14ac:dyDescent="0.35">
      <c r="A9098" s="1">
        <v>42010</v>
      </c>
      <c r="B9098" t="s">
        <v>899</v>
      </c>
      <c r="C9098" t="s">
        <v>35</v>
      </c>
      <c r="D9098" t="s">
        <v>2583</v>
      </c>
      <c r="E9098">
        <v>28.91</v>
      </c>
      <c r="F9098">
        <v>7</v>
      </c>
      <c r="G9098">
        <v>0</v>
      </c>
      <c r="H9098">
        <v>13.2986</v>
      </c>
      <c r="U9098">
        <v>13.2986</v>
      </c>
    </row>
    <row r="9099" spans="1:21" x14ac:dyDescent="0.35">
      <c r="A9099" s="1">
        <v>41977</v>
      </c>
      <c r="B9099" t="s">
        <v>2199</v>
      </c>
      <c r="C9099" t="s">
        <v>35</v>
      </c>
      <c r="D9099" t="s">
        <v>1273</v>
      </c>
      <c r="E9099">
        <v>32.4</v>
      </c>
      <c r="F9099">
        <v>5</v>
      </c>
      <c r="G9099">
        <v>0</v>
      </c>
      <c r="H9099">
        <v>15.552</v>
      </c>
      <c r="U9099">
        <v>15.552</v>
      </c>
    </row>
    <row r="9100" spans="1:21" x14ac:dyDescent="0.35">
      <c r="A9100" s="1">
        <v>43079</v>
      </c>
      <c r="B9100" t="s">
        <v>1377</v>
      </c>
      <c r="C9100" t="s">
        <v>35</v>
      </c>
      <c r="D9100" t="s">
        <v>1179</v>
      </c>
      <c r="E9100">
        <v>369.54399999999998</v>
      </c>
      <c r="F9100">
        <v>7</v>
      </c>
      <c r="G9100">
        <v>0.2</v>
      </c>
      <c r="H9100">
        <v>27.715800000000002</v>
      </c>
      <c r="U9100">
        <v>27.715800000000002</v>
      </c>
    </row>
    <row r="9101" spans="1:21" x14ac:dyDescent="0.35">
      <c r="A9101" s="1">
        <v>43079</v>
      </c>
      <c r="B9101" t="s">
        <v>1377</v>
      </c>
      <c r="C9101" t="s">
        <v>35</v>
      </c>
      <c r="D9101" t="s">
        <v>999</v>
      </c>
      <c r="E9101">
        <v>10.368</v>
      </c>
      <c r="F9101">
        <v>2</v>
      </c>
      <c r="G9101">
        <v>0.2</v>
      </c>
      <c r="H9101">
        <v>3.7584</v>
      </c>
      <c r="U9101">
        <v>3.7584</v>
      </c>
    </row>
    <row r="9102" spans="1:21" x14ac:dyDescent="0.35">
      <c r="A9102" s="1">
        <v>43079</v>
      </c>
      <c r="B9102" t="s">
        <v>1377</v>
      </c>
      <c r="C9102" t="s">
        <v>35</v>
      </c>
      <c r="D9102" t="s">
        <v>1324</v>
      </c>
      <c r="E9102">
        <v>791.88</v>
      </c>
      <c r="F9102">
        <v>3</v>
      </c>
      <c r="G9102">
        <v>0.2</v>
      </c>
      <c r="H9102">
        <v>128.68049999999999</v>
      </c>
      <c r="U9102">
        <v>128.68049999999999</v>
      </c>
    </row>
    <row r="9103" spans="1:21" x14ac:dyDescent="0.35">
      <c r="A9103" s="1">
        <v>42196</v>
      </c>
      <c r="B9103" t="s">
        <v>1618</v>
      </c>
      <c r="C9103" t="s">
        <v>35</v>
      </c>
      <c r="D9103" t="s">
        <v>71</v>
      </c>
      <c r="E9103">
        <v>23.64</v>
      </c>
      <c r="F9103">
        <v>3</v>
      </c>
      <c r="G9103">
        <v>0.2</v>
      </c>
      <c r="H9103">
        <v>5.319</v>
      </c>
      <c r="U9103">
        <v>5.319</v>
      </c>
    </row>
    <row r="9104" spans="1:21" x14ac:dyDescent="0.35">
      <c r="A9104" s="1">
        <v>42196</v>
      </c>
      <c r="B9104" t="s">
        <v>1618</v>
      </c>
      <c r="C9104" t="s">
        <v>35</v>
      </c>
      <c r="D9104" t="s">
        <v>104</v>
      </c>
      <c r="E9104">
        <v>84.784000000000006</v>
      </c>
      <c r="F9104">
        <v>2</v>
      </c>
      <c r="G9104">
        <v>0.2</v>
      </c>
      <c r="H9104">
        <v>-16.956800000000001</v>
      </c>
      <c r="U9104">
        <v>-16.956800000000001</v>
      </c>
    </row>
    <row r="9105" spans="1:21" x14ac:dyDescent="0.35">
      <c r="A9105" s="1">
        <v>42196</v>
      </c>
      <c r="B9105" t="s">
        <v>1618</v>
      </c>
      <c r="C9105" t="s">
        <v>35</v>
      </c>
      <c r="D9105" t="s">
        <v>2358</v>
      </c>
      <c r="E9105">
        <v>64.959999999999994</v>
      </c>
      <c r="F9105">
        <v>5</v>
      </c>
      <c r="G9105">
        <v>0.6</v>
      </c>
      <c r="H9105">
        <v>-84.447999999999993</v>
      </c>
      <c r="U9105">
        <v>-84.447999999999993</v>
      </c>
    </row>
    <row r="9106" spans="1:21" x14ac:dyDescent="0.35">
      <c r="A9106" s="1">
        <v>42196</v>
      </c>
      <c r="B9106" t="s">
        <v>1618</v>
      </c>
      <c r="C9106" t="s">
        <v>35</v>
      </c>
      <c r="D9106" t="s">
        <v>66</v>
      </c>
      <c r="E9106">
        <v>32.06</v>
      </c>
      <c r="F9106">
        <v>10</v>
      </c>
      <c r="G9106">
        <v>0.8</v>
      </c>
      <c r="H9106">
        <v>-51.295999999999999</v>
      </c>
      <c r="U9106">
        <v>-51.295999999999999</v>
      </c>
    </row>
    <row r="9107" spans="1:21" x14ac:dyDescent="0.35">
      <c r="A9107" s="1">
        <v>42196</v>
      </c>
      <c r="B9107" t="s">
        <v>1618</v>
      </c>
      <c r="C9107" t="s">
        <v>35</v>
      </c>
      <c r="D9107" t="s">
        <v>2521</v>
      </c>
      <c r="E9107">
        <v>177.648</v>
      </c>
      <c r="F9107">
        <v>2</v>
      </c>
      <c r="G9107">
        <v>0.2</v>
      </c>
      <c r="H9107">
        <v>-28.867799999999999</v>
      </c>
      <c r="U9107">
        <v>-28.867799999999999</v>
      </c>
    </row>
    <row r="9108" spans="1:21" x14ac:dyDescent="0.35">
      <c r="A9108" s="1">
        <v>42196</v>
      </c>
      <c r="B9108" t="s">
        <v>1618</v>
      </c>
      <c r="C9108" t="s">
        <v>35</v>
      </c>
      <c r="D9108" t="s">
        <v>2466</v>
      </c>
      <c r="E9108">
        <v>287.91000000000003</v>
      </c>
      <c r="F9108">
        <v>3</v>
      </c>
      <c r="G9108">
        <v>0.4</v>
      </c>
      <c r="H9108">
        <v>33.589500000000001</v>
      </c>
      <c r="U9108">
        <v>33.589500000000001</v>
      </c>
    </row>
    <row r="9109" spans="1:21" x14ac:dyDescent="0.35">
      <c r="A9109" t="s">
        <v>1539</v>
      </c>
      <c r="B9109" t="s">
        <v>638</v>
      </c>
      <c r="C9109" t="s">
        <v>35</v>
      </c>
      <c r="D9109" t="s">
        <v>2132</v>
      </c>
      <c r="E9109">
        <v>22.367999999999999</v>
      </c>
      <c r="F9109">
        <v>2</v>
      </c>
      <c r="G9109">
        <v>0.2</v>
      </c>
      <c r="H9109">
        <v>1.6776</v>
      </c>
      <c r="U9109">
        <v>1.6776</v>
      </c>
    </row>
    <row r="9110" spans="1:21" x14ac:dyDescent="0.35">
      <c r="A9110" t="s">
        <v>1539</v>
      </c>
      <c r="B9110" t="s">
        <v>638</v>
      </c>
      <c r="C9110" t="s">
        <v>35</v>
      </c>
      <c r="D9110" t="s">
        <v>1931</v>
      </c>
      <c r="E9110">
        <v>32.368000000000002</v>
      </c>
      <c r="F9110">
        <v>7</v>
      </c>
      <c r="G9110">
        <v>0.2</v>
      </c>
      <c r="H9110">
        <v>11.7334</v>
      </c>
      <c r="U9110">
        <v>11.7334</v>
      </c>
    </row>
    <row r="9111" spans="1:21" x14ac:dyDescent="0.35">
      <c r="A9111" t="s">
        <v>1539</v>
      </c>
      <c r="B9111" t="s">
        <v>638</v>
      </c>
      <c r="C9111" t="s">
        <v>35</v>
      </c>
      <c r="D9111" t="s">
        <v>2066</v>
      </c>
      <c r="E9111">
        <v>207.98400000000001</v>
      </c>
      <c r="F9111">
        <v>2</v>
      </c>
      <c r="G9111">
        <v>0.2</v>
      </c>
      <c r="H9111">
        <v>36.397199999999998</v>
      </c>
      <c r="U9111">
        <v>36.397199999999998</v>
      </c>
    </row>
    <row r="9112" spans="1:21" x14ac:dyDescent="0.35">
      <c r="A9112" t="s">
        <v>1069</v>
      </c>
      <c r="B9112" t="s">
        <v>2271</v>
      </c>
      <c r="C9112" t="s">
        <v>8</v>
      </c>
      <c r="D9112" t="s">
        <v>1723</v>
      </c>
      <c r="E9112">
        <v>36.4</v>
      </c>
      <c r="F9112">
        <v>5</v>
      </c>
      <c r="G9112">
        <v>0</v>
      </c>
      <c r="H9112">
        <v>17.472000000000001</v>
      </c>
      <c r="U9112">
        <v>17.472000000000001</v>
      </c>
    </row>
    <row r="9113" spans="1:21" x14ac:dyDescent="0.35">
      <c r="A9113" t="s">
        <v>1069</v>
      </c>
      <c r="B9113" t="s">
        <v>2271</v>
      </c>
      <c r="C9113" t="s">
        <v>8</v>
      </c>
      <c r="D9113" t="s">
        <v>2545</v>
      </c>
      <c r="E9113">
        <v>22.96</v>
      </c>
      <c r="F9113">
        <v>2</v>
      </c>
      <c r="G9113">
        <v>0</v>
      </c>
      <c r="H9113">
        <v>4.3624000000000001</v>
      </c>
      <c r="U9113">
        <v>4.3624000000000001</v>
      </c>
    </row>
    <row r="9114" spans="1:21" x14ac:dyDescent="0.35">
      <c r="A9114" t="s">
        <v>1069</v>
      </c>
      <c r="B9114" t="s">
        <v>2271</v>
      </c>
      <c r="C9114" t="s">
        <v>8</v>
      </c>
      <c r="D9114" t="s">
        <v>2693</v>
      </c>
      <c r="E9114">
        <v>315.2</v>
      </c>
      <c r="F9114">
        <v>4</v>
      </c>
      <c r="G9114">
        <v>0</v>
      </c>
      <c r="H9114">
        <v>6.3040000000000003</v>
      </c>
      <c r="U9114">
        <v>6.3040000000000003</v>
      </c>
    </row>
    <row r="9115" spans="1:21" x14ac:dyDescent="0.35">
      <c r="A9115" t="s">
        <v>1069</v>
      </c>
      <c r="B9115" t="s">
        <v>2271</v>
      </c>
      <c r="C9115" t="s">
        <v>8</v>
      </c>
      <c r="D9115" t="s">
        <v>1485</v>
      </c>
      <c r="E9115">
        <v>15.18</v>
      </c>
      <c r="F9115">
        <v>3</v>
      </c>
      <c r="G9115">
        <v>0</v>
      </c>
      <c r="H9115">
        <v>7.1345999999999998</v>
      </c>
      <c r="U9115">
        <v>7.1345999999999998</v>
      </c>
    </row>
    <row r="9116" spans="1:21" x14ac:dyDescent="0.35">
      <c r="A9116" s="1">
        <v>42553</v>
      </c>
      <c r="B9116" t="s">
        <v>1541</v>
      </c>
      <c r="C9116" t="s">
        <v>13</v>
      </c>
      <c r="D9116" t="s">
        <v>2679</v>
      </c>
      <c r="E9116">
        <v>623.96</v>
      </c>
      <c r="F9116">
        <v>5</v>
      </c>
      <c r="G9116">
        <v>0.2</v>
      </c>
      <c r="H9116">
        <v>38.997500000000002</v>
      </c>
      <c r="U9116">
        <v>38.997500000000002</v>
      </c>
    </row>
    <row r="9117" spans="1:21" x14ac:dyDescent="0.35">
      <c r="A9117" t="s">
        <v>1878</v>
      </c>
      <c r="B9117" t="s">
        <v>1774</v>
      </c>
      <c r="C9117" t="s">
        <v>55</v>
      </c>
      <c r="D9117" t="s">
        <v>1813</v>
      </c>
      <c r="E9117">
        <v>429.6</v>
      </c>
      <c r="F9117">
        <v>2</v>
      </c>
      <c r="G9117">
        <v>0.4</v>
      </c>
      <c r="H9117">
        <v>-93.08</v>
      </c>
      <c r="U9117">
        <v>-93.08</v>
      </c>
    </row>
    <row r="9118" spans="1:21" x14ac:dyDescent="0.35">
      <c r="A9118" t="s">
        <v>1878</v>
      </c>
      <c r="B9118" t="s">
        <v>1774</v>
      </c>
      <c r="C9118" t="s">
        <v>55</v>
      </c>
      <c r="D9118" t="s">
        <v>1021</v>
      </c>
      <c r="E9118">
        <v>31.968</v>
      </c>
      <c r="F9118">
        <v>2</v>
      </c>
      <c r="G9118">
        <v>0.2</v>
      </c>
      <c r="H9118">
        <v>6.3936000000000002</v>
      </c>
      <c r="U9118">
        <v>6.3936000000000002</v>
      </c>
    </row>
    <row r="9119" spans="1:21" x14ac:dyDescent="0.35">
      <c r="A9119" t="s">
        <v>1878</v>
      </c>
      <c r="B9119" t="s">
        <v>1774</v>
      </c>
      <c r="C9119" t="s">
        <v>55</v>
      </c>
      <c r="D9119" t="s">
        <v>1343</v>
      </c>
      <c r="E9119">
        <v>887.27099999999996</v>
      </c>
      <c r="F9119">
        <v>3</v>
      </c>
      <c r="G9119">
        <v>0.3</v>
      </c>
      <c r="H9119">
        <v>-63.3765</v>
      </c>
      <c r="U9119">
        <v>-63.3765</v>
      </c>
    </row>
    <row r="9120" spans="1:21" x14ac:dyDescent="0.35">
      <c r="A9120" t="s">
        <v>1878</v>
      </c>
      <c r="B9120" t="s">
        <v>1774</v>
      </c>
      <c r="C9120" t="s">
        <v>55</v>
      </c>
      <c r="D9120" t="s">
        <v>1629</v>
      </c>
      <c r="E9120">
        <v>21.696000000000002</v>
      </c>
      <c r="F9120">
        <v>4</v>
      </c>
      <c r="G9120">
        <v>0.2</v>
      </c>
      <c r="H9120">
        <v>7.0511999999999997</v>
      </c>
      <c r="U9120">
        <v>7.0511999999999997</v>
      </c>
    </row>
    <row r="9121" spans="1:21" x14ac:dyDescent="0.35">
      <c r="A9121" s="1">
        <v>42527</v>
      </c>
      <c r="B9121" t="s">
        <v>729</v>
      </c>
      <c r="C9121" t="s">
        <v>13</v>
      </c>
      <c r="D9121" t="s">
        <v>1399</v>
      </c>
      <c r="E9121">
        <v>22.05</v>
      </c>
      <c r="F9121">
        <v>7</v>
      </c>
      <c r="G9121">
        <v>0</v>
      </c>
      <c r="H9121">
        <v>10.584</v>
      </c>
      <c r="U9121">
        <v>10.584</v>
      </c>
    </row>
    <row r="9122" spans="1:21" x14ac:dyDescent="0.35">
      <c r="A9122" s="1">
        <v>42527</v>
      </c>
      <c r="B9122" t="s">
        <v>729</v>
      </c>
      <c r="C9122" t="s">
        <v>13</v>
      </c>
      <c r="D9122" t="s">
        <v>2733</v>
      </c>
      <c r="E9122">
        <v>99.9</v>
      </c>
      <c r="F9122">
        <v>5</v>
      </c>
      <c r="G9122">
        <v>0</v>
      </c>
      <c r="H9122">
        <v>46.953000000000003</v>
      </c>
      <c r="U9122">
        <v>46.953000000000003</v>
      </c>
    </row>
    <row r="9123" spans="1:21" x14ac:dyDescent="0.35">
      <c r="A9123" t="s">
        <v>1027</v>
      </c>
      <c r="B9123" t="s">
        <v>2593</v>
      </c>
      <c r="C9123" t="s">
        <v>13</v>
      </c>
      <c r="D9123" t="s">
        <v>202</v>
      </c>
      <c r="E9123">
        <v>90.86</v>
      </c>
      <c r="F9123">
        <v>7</v>
      </c>
      <c r="G9123">
        <v>0</v>
      </c>
      <c r="H9123">
        <v>26.349399999999999</v>
      </c>
      <c r="U9123">
        <v>26.349399999999999</v>
      </c>
    </row>
    <row r="9124" spans="1:21" x14ac:dyDescent="0.35">
      <c r="A9124" t="s">
        <v>895</v>
      </c>
      <c r="B9124" t="s">
        <v>2357</v>
      </c>
      <c r="C9124" t="s">
        <v>13</v>
      </c>
      <c r="D9124" t="s">
        <v>1026</v>
      </c>
      <c r="E9124">
        <v>7.78</v>
      </c>
      <c r="F9124">
        <v>1</v>
      </c>
      <c r="G9124">
        <v>0</v>
      </c>
      <c r="H9124">
        <v>3.5009999999999999</v>
      </c>
      <c r="U9124">
        <v>3.5009999999999999</v>
      </c>
    </row>
    <row r="9125" spans="1:21" x14ac:dyDescent="0.35">
      <c r="A9125" t="s">
        <v>1536</v>
      </c>
      <c r="B9125" t="s">
        <v>60</v>
      </c>
      <c r="C9125" t="s">
        <v>55</v>
      </c>
      <c r="D9125" t="s">
        <v>1240</v>
      </c>
      <c r="E9125">
        <v>78.759</v>
      </c>
      <c r="F9125">
        <v>9</v>
      </c>
      <c r="G9125">
        <v>0.7</v>
      </c>
      <c r="H9125">
        <v>-57.756599999999999</v>
      </c>
      <c r="U9125">
        <v>-57.756599999999999</v>
      </c>
    </row>
    <row r="9126" spans="1:21" x14ac:dyDescent="0.35">
      <c r="A9126" t="s">
        <v>1142</v>
      </c>
      <c r="B9126" t="s">
        <v>74</v>
      </c>
      <c r="C9126" t="s">
        <v>35</v>
      </c>
      <c r="D9126" t="s">
        <v>441</v>
      </c>
      <c r="E9126">
        <v>9.5519999999999996</v>
      </c>
      <c r="F9126">
        <v>3</v>
      </c>
      <c r="G9126">
        <v>0.6</v>
      </c>
      <c r="H9126">
        <v>-3.8208000000000002</v>
      </c>
      <c r="U9126">
        <v>-3.8208000000000002</v>
      </c>
    </row>
    <row r="9127" spans="1:21" x14ac:dyDescent="0.35">
      <c r="A9127" t="s">
        <v>1142</v>
      </c>
      <c r="B9127" t="s">
        <v>74</v>
      </c>
      <c r="C9127" t="s">
        <v>35</v>
      </c>
      <c r="D9127" t="s">
        <v>2368</v>
      </c>
      <c r="E9127">
        <v>5.3440000000000003</v>
      </c>
      <c r="F9127">
        <v>4</v>
      </c>
      <c r="G9127">
        <v>0.6</v>
      </c>
      <c r="H9127">
        <v>-2.1375999999999999</v>
      </c>
      <c r="U9127">
        <v>-2.1375999999999999</v>
      </c>
    </row>
    <row r="9128" spans="1:21" x14ac:dyDescent="0.35">
      <c r="A9128" t="s">
        <v>457</v>
      </c>
      <c r="B9128" t="s">
        <v>2271</v>
      </c>
      <c r="C9128" t="s">
        <v>13</v>
      </c>
      <c r="D9128" t="s">
        <v>318</v>
      </c>
      <c r="E9128">
        <v>8.2799999999999994</v>
      </c>
      <c r="F9128">
        <v>2</v>
      </c>
      <c r="G9128">
        <v>0</v>
      </c>
      <c r="H9128">
        <v>3.4775999999999998</v>
      </c>
      <c r="U9128">
        <v>3.4775999999999998</v>
      </c>
    </row>
    <row r="9129" spans="1:21" x14ac:dyDescent="0.35">
      <c r="A9129" t="s">
        <v>2638</v>
      </c>
      <c r="B9129" t="s">
        <v>606</v>
      </c>
      <c r="C9129" t="s">
        <v>35</v>
      </c>
      <c r="D9129" t="s">
        <v>2616</v>
      </c>
      <c r="E9129">
        <v>50.136000000000003</v>
      </c>
      <c r="F9129">
        <v>3</v>
      </c>
      <c r="G9129">
        <v>0.2</v>
      </c>
      <c r="H9129">
        <v>-11.2806</v>
      </c>
      <c r="U9129">
        <v>-11.2806</v>
      </c>
    </row>
    <row r="9130" spans="1:21" x14ac:dyDescent="0.35">
      <c r="A9130" s="1">
        <v>42834</v>
      </c>
      <c r="B9130" t="s">
        <v>1580</v>
      </c>
      <c r="C9130" t="s">
        <v>13</v>
      </c>
      <c r="D9130" t="s">
        <v>1279</v>
      </c>
      <c r="E9130">
        <v>88.073999999999998</v>
      </c>
      <c r="F9130">
        <v>7</v>
      </c>
      <c r="G9130">
        <v>0.7</v>
      </c>
      <c r="H9130">
        <v>-58.716000000000001</v>
      </c>
      <c r="U9130">
        <v>-58.716000000000001</v>
      </c>
    </row>
    <row r="9131" spans="1:21" x14ac:dyDescent="0.35">
      <c r="A9131" t="s">
        <v>933</v>
      </c>
      <c r="B9131" t="s">
        <v>1520</v>
      </c>
      <c r="C9131" t="s">
        <v>55</v>
      </c>
      <c r="D9131" t="s">
        <v>2159</v>
      </c>
      <c r="E9131">
        <v>301.47000000000003</v>
      </c>
      <c r="F9131">
        <v>3</v>
      </c>
      <c r="G9131">
        <v>0.5</v>
      </c>
      <c r="H9131">
        <v>-241.17599999999999</v>
      </c>
      <c r="U9131">
        <v>-241.17599999999999</v>
      </c>
    </row>
    <row r="9132" spans="1:21" x14ac:dyDescent="0.35">
      <c r="A9132" t="s">
        <v>933</v>
      </c>
      <c r="B9132" t="s">
        <v>1520</v>
      </c>
      <c r="C9132" t="s">
        <v>55</v>
      </c>
      <c r="D9132" t="s">
        <v>1832</v>
      </c>
      <c r="E9132">
        <v>18.655999999999999</v>
      </c>
      <c r="F9132">
        <v>2</v>
      </c>
      <c r="G9132">
        <v>0.2</v>
      </c>
      <c r="H9132">
        <v>1.6324000000000001</v>
      </c>
      <c r="U9132">
        <v>1.6324000000000001</v>
      </c>
    </row>
    <row r="9133" spans="1:21" x14ac:dyDescent="0.35">
      <c r="A9133" t="s">
        <v>174</v>
      </c>
      <c r="B9133" t="s">
        <v>1891</v>
      </c>
      <c r="C9133" t="s">
        <v>55</v>
      </c>
      <c r="D9133" t="s">
        <v>1648</v>
      </c>
      <c r="E9133">
        <v>27.46</v>
      </c>
      <c r="F9133">
        <v>2</v>
      </c>
      <c r="G9133">
        <v>0</v>
      </c>
      <c r="H9133">
        <v>9.8856000000000002</v>
      </c>
      <c r="U9133">
        <v>9.8856000000000002</v>
      </c>
    </row>
    <row r="9134" spans="1:21" x14ac:dyDescent="0.35">
      <c r="A9134" t="s">
        <v>174</v>
      </c>
      <c r="B9134" t="s">
        <v>1891</v>
      </c>
      <c r="C9134" t="s">
        <v>55</v>
      </c>
      <c r="D9134" t="s">
        <v>1054</v>
      </c>
      <c r="E9134">
        <v>125.13</v>
      </c>
      <c r="F9134">
        <v>3</v>
      </c>
      <c r="G9134">
        <v>0</v>
      </c>
      <c r="H9134">
        <v>36.287700000000001</v>
      </c>
      <c r="U9134">
        <v>36.287700000000001</v>
      </c>
    </row>
    <row r="9135" spans="1:21" x14ac:dyDescent="0.35">
      <c r="A9135" t="s">
        <v>1103</v>
      </c>
      <c r="B9135" t="s">
        <v>1943</v>
      </c>
      <c r="C9135" t="s">
        <v>13</v>
      </c>
      <c r="D9135" t="s">
        <v>1472</v>
      </c>
      <c r="E9135">
        <v>555.96</v>
      </c>
      <c r="F9135">
        <v>5</v>
      </c>
      <c r="G9135">
        <v>0.2</v>
      </c>
      <c r="H9135">
        <v>41.697000000000003</v>
      </c>
      <c r="U9135">
        <v>41.697000000000003</v>
      </c>
    </row>
    <row r="9136" spans="1:21" x14ac:dyDescent="0.35">
      <c r="A9136" s="1">
        <v>42708</v>
      </c>
      <c r="B9136" t="s">
        <v>1834</v>
      </c>
      <c r="C9136" t="s">
        <v>8</v>
      </c>
      <c r="D9136" t="s">
        <v>756</v>
      </c>
      <c r="E9136">
        <v>129.55199999999999</v>
      </c>
      <c r="F9136">
        <v>3</v>
      </c>
      <c r="G9136">
        <v>0.2</v>
      </c>
      <c r="H9136">
        <v>-22.671600000000002</v>
      </c>
      <c r="U9136">
        <v>-22.671600000000002</v>
      </c>
    </row>
    <row r="9137" spans="1:21" x14ac:dyDescent="0.35">
      <c r="A9137" s="1">
        <v>42708</v>
      </c>
      <c r="B9137" t="s">
        <v>1834</v>
      </c>
      <c r="C9137" t="s">
        <v>8</v>
      </c>
      <c r="D9137" t="s">
        <v>746</v>
      </c>
      <c r="E9137">
        <v>51.984000000000002</v>
      </c>
      <c r="F9137">
        <v>1</v>
      </c>
      <c r="G9137">
        <v>0.2</v>
      </c>
      <c r="H9137">
        <v>-5.1984000000000004</v>
      </c>
      <c r="U9137">
        <v>-5.1984000000000004</v>
      </c>
    </row>
    <row r="9138" spans="1:21" x14ac:dyDescent="0.35">
      <c r="A9138" s="1">
        <v>42708</v>
      </c>
      <c r="B9138" t="s">
        <v>1834</v>
      </c>
      <c r="C9138" t="s">
        <v>8</v>
      </c>
      <c r="D9138" t="s">
        <v>2526</v>
      </c>
      <c r="E9138">
        <v>10.272</v>
      </c>
      <c r="F9138">
        <v>3</v>
      </c>
      <c r="G9138">
        <v>0.2</v>
      </c>
      <c r="H9138">
        <v>3.4668000000000001</v>
      </c>
      <c r="U9138">
        <v>3.4668000000000001</v>
      </c>
    </row>
    <row r="9139" spans="1:21" x14ac:dyDescent="0.35">
      <c r="A9139" s="1">
        <v>41672</v>
      </c>
      <c r="B9139" t="s">
        <v>1781</v>
      </c>
      <c r="C9139" t="s">
        <v>8</v>
      </c>
      <c r="D9139" t="s">
        <v>1642</v>
      </c>
      <c r="E9139">
        <v>18.335999999999999</v>
      </c>
      <c r="F9139">
        <v>2</v>
      </c>
      <c r="G9139">
        <v>0.7</v>
      </c>
      <c r="H9139">
        <v>-12.224</v>
      </c>
      <c r="U9139">
        <v>-12.224</v>
      </c>
    </row>
    <row r="9140" spans="1:21" x14ac:dyDescent="0.35">
      <c r="A9140" s="1">
        <v>41672</v>
      </c>
      <c r="B9140" t="s">
        <v>1781</v>
      </c>
      <c r="C9140" t="s">
        <v>8</v>
      </c>
      <c r="D9140" t="s">
        <v>2205</v>
      </c>
      <c r="E9140">
        <v>180.96</v>
      </c>
      <c r="F9140">
        <v>5</v>
      </c>
      <c r="G9140">
        <v>0.2</v>
      </c>
      <c r="H9140">
        <v>13.571999999999999</v>
      </c>
      <c r="U9140">
        <v>13.571999999999999</v>
      </c>
    </row>
    <row r="9141" spans="1:21" x14ac:dyDescent="0.35">
      <c r="A9141" s="1">
        <v>41679</v>
      </c>
      <c r="B9141" t="s">
        <v>1121</v>
      </c>
      <c r="C9141" t="s">
        <v>35</v>
      </c>
      <c r="D9141" t="s">
        <v>225</v>
      </c>
      <c r="E9141">
        <v>475.94400000000002</v>
      </c>
      <c r="F9141">
        <v>7</v>
      </c>
      <c r="G9141">
        <v>0.2</v>
      </c>
      <c r="H9141">
        <v>95.188800000000001</v>
      </c>
      <c r="U9141">
        <v>95.188800000000001</v>
      </c>
    </row>
    <row r="9142" spans="1:21" x14ac:dyDescent="0.35">
      <c r="A9142" t="s">
        <v>1384</v>
      </c>
      <c r="B9142" t="s">
        <v>1471</v>
      </c>
      <c r="C9142" t="s">
        <v>13</v>
      </c>
      <c r="D9142" t="s">
        <v>1170</v>
      </c>
      <c r="E9142">
        <v>159.97999999999999</v>
      </c>
      <c r="F9142">
        <v>2</v>
      </c>
      <c r="G9142">
        <v>0</v>
      </c>
      <c r="H9142">
        <v>47.994</v>
      </c>
      <c r="U9142">
        <v>47.994</v>
      </c>
    </row>
    <row r="9143" spans="1:21" x14ac:dyDescent="0.35">
      <c r="A9143" s="1">
        <v>42499</v>
      </c>
      <c r="B9143" t="s">
        <v>2698</v>
      </c>
      <c r="C9143" t="s">
        <v>55</v>
      </c>
      <c r="D9143" t="s">
        <v>109</v>
      </c>
      <c r="E9143">
        <v>43.6</v>
      </c>
      <c r="F9143">
        <v>4</v>
      </c>
      <c r="G9143">
        <v>0</v>
      </c>
      <c r="H9143">
        <v>12.208</v>
      </c>
      <c r="U9143">
        <v>12.208</v>
      </c>
    </row>
    <row r="9144" spans="1:21" x14ac:dyDescent="0.35">
      <c r="A9144" t="s">
        <v>2113</v>
      </c>
      <c r="B9144" t="s">
        <v>1736</v>
      </c>
      <c r="C9144" t="s">
        <v>13</v>
      </c>
      <c r="D9144" t="s">
        <v>2322</v>
      </c>
      <c r="E9144">
        <v>8.2880000000000003</v>
      </c>
      <c r="F9144">
        <v>2</v>
      </c>
      <c r="G9144">
        <v>0.2</v>
      </c>
      <c r="H9144">
        <v>3.0044</v>
      </c>
      <c r="U9144">
        <v>3.0044</v>
      </c>
    </row>
    <row r="9145" spans="1:21" x14ac:dyDescent="0.35">
      <c r="A9145" t="s">
        <v>2113</v>
      </c>
      <c r="B9145" t="s">
        <v>1736</v>
      </c>
      <c r="C9145" t="s">
        <v>13</v>
      </c>
      <c r="D9145" t="s">
        <v>2679</v>
      </c>
      <c r="E9145">
        <v>1123.1279999999999</v>
      </c>
      <c r="F9145">
        <v>9</v>
      </c>
      <c r="G9145">
        <v>0.2</v>
      </c>
      <c r="H9145">
        <v>70.195499999999996</v>
      </c>
      <c r="U9145">
        <v>70.195499999999996</v>
      </c>
    </row>
    <row r="9146" spans="1:21" x14ac:dyDescent="0.35">
      <c r="A9146" t="s">
        <v>2113</v>
      </c>
      <c r="B9146" t="s">
        <v>1736</v>
      </c>
      <c r="C9146" t="s">
        <v>13</v>
      </c>
      <c r="D9146" t="s">
        <v>202</v>
      </c>
      <c r="E9146">
        <v>64.900000000000006</v>
      </c>
      <c r="F9146">
        <v>5</v>
      </c>
      <c r="G9146">
        <v>0</v>
      </c>
      <c r="H9146">
        <v>18.821000000000002</v>
      </c>
      <c r="U9146">
        <v>18.821000000000002</v>
      </c>
    </row>
    <row r="9147" spans="1:21" x14ac:dyDescent="0.35">
      <c r="A9147" t="s">
        <v>2472</v>
      </c>
      <c r="B9147" t="s">
        <v>944</v>
      </c>
      <c r="C9147" t="s">
        <v>35</v>
      </c>
      <c r="D9147" t="s">
        <v>1083</v>
      </c>
      <c r="E9147">
        <v>2.8079999999999998</v>
      </c>
      <c r="F9147">
        <v>3</v>
      </c>
      <c r="G9147">
        <v>0.8</v>
      </c>
      <c r="H9147">
        <v>-4.4927999999999999</v>
      </c>
      <c r="U9147">
        <v>-4.4927999999999999</v>
      </c>
    </row>
    <row r="9148" spans="1:21" x14ac:dyDescent="0.35">
      <c r="A9148" t="s">
        <v>2254</v>
      </c>
      <c r="B9148" t="s">
        <v>476</v>
      </c>
      <c r="C9148" t="s">
        <v>55</v>
      </c>
      <c r="D9148" t="s">
        <v>1837</v>
      </c>
      <c r="E9148">
        <v>99.98</v>
      </c>
      <c r="F9148">
        <v>2</v>
      </c>
      <c r="G9148">
        <v>0</v>
      </c>
      <c r="H9148">
        <v>42.991399999999999</v>
      </c>
      <c r="U9148">
        <v>42.991399999999999</v>
      </c>
    </row>
    <row r="9149" spans="1:21" x14ac:dyDescent="0.35">
      <c r="A9149" t="s">
        <v>2254</v>
      </c>
      <c r="B9149" t="s">
        <v>476</v>
      </c>
      <c r="C9149" t="s">
        <v>55</v>
      </c>
      <c r="D9149" t="s">
        <v>2734</v>
      </c>
      <c r="E9149">
        <v>8.0399999999999991</v>
      </c>
      <c r="F9149">
        <v>6</v>
      </c>
      <c r="G9149">
        <v>0</v>
      </c>
      <c r="H9149">
        <v>2.7336</v>
      </c>
      <c r="U9149">
        <v>2.7336</v>
      </c>
    </row>
    <row r="9150" spans="1:21" x14ac:dyDescent="0.35">
      <c r="A9150" t="s">
        <v>2254</v>
      </c>
      <c r="B9150" t="s">
        <v>476</v>
      </c>
      <c r="C9150" t="s">
        <v>55</v>
      </c>
      <c r="D9150" t="s">
        <v>1341</v>
      </c>
      <c r="E9150">
        <v>1564.29</v>
      </c>
      <c r="F9150">
        <v>13</v>
      </c>
      <c r="G9150">
        <v>0</v>
      </c>
      <c r="H9150">
        <v>406.71539999999999</v>
      </c>
      <c r="U9150">
        <v>406.71539999999999</v>
      </c>
    </row>
    <row r="9151" spans="1:21" x14ac:dyDescent="0.35">
      <c r="A9151" s="1">
        <v>41645</v>
      </c>
      <c r="B9151" t="s">
        <v>1543</v>
      </c>
      <c r="C9151" t="s">
        <v>35</v>
      </c>
      <c r="D9151" t="s">
        <v>1649</v>
      </c>
      <c r="E9151">
        <v>138.56</v>
      </c>
      <c r="F9151">
        <v>4</v>
      </c>
      <c r="G9151">
        <v>0</v>
      </c>
      <c r="H9151">
        <v>66.508799999999994</v>
      </c>
      <c r="U9151">
        <v>66.508799999999994</v>
      </c>
    </row>
    <row r="9152" spans="1:21" x14ac:dyDescent="0.35">
      <c r="A9152" s="1">
        <v>41645</v>
      </c>
      <c r="B9152" t="s">
        <v>1543</v>
      </c>
      <c r="C9152" t="s">
        <v>35</v>
      </c>
      <c r="D9152" t="s">
        <v>1558</v>
      </c>
      <c r="E9152">
        <v>65.52</v>
      </c>
      <c r="F9152">
        <v>5</v>
      </c>
      <c r="G9152">
        <v>0.1</v>
      </c>
      <c r="H9152">
        <v>12.375999999999999</v>
      </c>
      <c r="U9152">
        <v>12.375999999999999</v>
      </c>
    </row>
    <row r="9153" spans="1:21" x14ac:dyDescent="0.35">
      <c r="A9153" t="s">
        <v>1546</v>
      </c>
      <c r="B9153" t="s">
        <v>131</v>
      </c>
      <c r="C9153" t="s">
        <v>13</v>
      </c>
      <c r="D9153" t="s">
        <v>2432</v>
      </c>
      <c r="E9153">
        <v>14.576000000000001</v>
      </c>
      <c r="F9153">
        <v>2</v>
      </c>
      <c r="G9153">
        <v>0.2</v>
      </c>
      <c r="H9153">
        <v>2.3685999999999998</v>
      </c>
      <c r="U9153">
        <v>2.3685999999999998</v>
      </c>
    </row>
    <row r="9154" spans="1:21" x14ac:dyDescent="0.35">
      <c r="A9154" t="s">
        <v>1546</v>
      </c>
      <c r="B9154" t="s">
        <v>131</v>
      </c>
      <c r="C9154" t="s">
        <v>13</v>
      </c>
      <c r="D9154" t="s">
        <v>354</v>
      </c>
      <c r="E9154">
        <v>23.2</v>
      </c>
      <c r="F9154">
        <v>2</v>
      </c>
      <c r="G9154">
        <v>0.2</v>
      </c>
      <c r="H9154">
        <v>1.45</v>
      </c>
      <c r="U9154">
        <v>1.45</v>
      </c>
    </row>
    <row r="9155" spans="1:21" x14ac:dyDescent="0.35">
      <c r="A9155" t="s">
        <v>1546</v>
      </c>
      <c r="B9155" t="s">
        <v>131</v>
      </c>
      <c r="C9155" t="s">
        <v>13</v>
      </c>
      <c r="D9155" t="s">
        <v>855</v>
      </c>
      <c r="E9155">
        <v>16.463999999999999</v>
      </c>
      <c r="F9155">
        <v>7</v>
      </c>
      <c r="G9155">
        <v>0.2</v>
      </c>
      <c r="H9155">
        <v>1.8522000000000001</v>
      </c>
      <c r="U9155">
        <v>1.8522000000000001</v>
      </c>
    </row>
    <row r="9156" spans="1:21" x14ac:dyDescent="0.35">
      <c r="A9156" s="1">
        <v>42377</v>
      </c>
      <c r="B9156" t="s">
        <v>2467</v>
      </c>
      <c r="C9156" t="s">
        <v>55</v>
      </c>
      <c r="D9156" t="s">
        <v>2592</v>
      </c>
      <c r="E9156">
        <v>19.312000000000001</v>
      </c>
      <c r="F9156">
        <v>2</v>
      </c>
      <c r="G9156">
        <v>0.2</v>
      </c>
      <c r="H9156">
        <v>3.1381999999999999</v>
      </c>
      <c r="U9156">
        <v>3.1381999999999999</v>
      </c>
    </row>
    <row r="9157" spans="1:21" x14ac:dyDescent="0.35">
      <c r="A9157" t="s">
        <v>2735</v>
      </c>
      <c r="B9157" t="s">
        <v>2672</v>
      </c>
      <c r="C9157" t="s">
        <v>13</v>
      </c>
      <c r="D9157" t="s">
        <v>266</v>
      </c>
      <c r="E9157">
        <v>40.08</v>
      </c>
      <c r="F9157">
        <v>6</v>
      </c>
      <c r="G9157">
        <v>0</v>
      </c>
      <c r="H9157">
        <v>19.238399999999999</v>
      </c>
      <c r="U9157">
        <v>19.238399999999999</v>
      </c>
    </row>
    <row r="9158" spans="1:21" x14ac:dyDescent="0.35">
      <c r="A9158" s="1">
        <v>41737</v>
      </c>
      <c r="B9158" t="s">
        <v>1746</v>
      </c>
      <c r="C9158" t="s">
        <v>55</v>
      </c>
      <c r="D9158" t="s">
        <v>881</v>
      </c>
      <c r="E9158">
        <v>101.96</v>
      </c>
      <c r="F9158">
        <v>2</v>
      </c>
      <c r="G9158">
        <v>0</v>
      </c>
      <c r="H9158">
        <v>27.529199999999999</v>
      </c>
      <c r="U9158">
        <v>27.529199999999999</v>
      </c>
    </row>
    <row r="9159" spans="1:21" x14ac:dyDescent="0.35">
      <c r="A9159" s="1">
        <v>41737</v>
      </c>
      <c r="B9159" t="s">
        <v>1746</v>
      </c>
      <c r="C9159" t="s">
        <v>55</v>
      </c>
      <c r="D9159" t="s">
        <v>2528</v>
      </c>
      <c r="E9159">
        <v>259.74</v>
      </c>
      <c r="F9159">
        <v>13</v>
      </c>
      <c r="G9159">
        <v>0</v>
      </c>
      <c r="H9159">
        <v>124.6752</v>
      </c>
      <c r="U9159">
        <v>124.6752</v>
      </c>
    </row>
    <row r="9160" spans="1:21" x14ac:dyDescent="0.35">
      <c r="A9160" s="1">
        <v>41737</v>
      </c>
      <c r="B9160" t="s">
        <v>1746</v>
      </c>
      <c r="C9160" t="s">
        <v>55</v>
      </c>
      <c r="D9160" t="s">
        <v>1260</v>
      </c>
      <c r="E9160">
        <v>255.42</v>
      </c>
      <c r="F9160">
        <v>9</v>
      </c>
      <c r="G9160">
        <v>0</v>
      </c>
      <c r="H9160">
        <v>104.7222</v>
      </c>
      <c r="U9160">
        <v>104.7222</v>
      </c>
    </row>
    <row r="9161" spans="1:21" x14ac:dyDescent="0.35">
      <c r="A9161" s="1">
        <v>42621</v>
      </c>
      <c r="B9161" t="s">
        <v>2319</v>
      </c>
      <c r="C9161" t="s">
        <v>8</v>
      </c>
      <c r="D9161" t="s">
        <v>587</v>
      </c>
      <c r="E9161">
        <v>4.3380000000000001</v>
      </c>
      <c r="F9161">
        <v>3</v>
      </c>
      <c r="G9161">
        <v>0.7</v>
      </c>
      <c r="H9161">
        <v>-3.0366</v>
      </c>
      <c r="U9161">
        <v>-3.0366</v>
      </c>
    </row>
    <row r="9162" spans="1:21" x14ac:dyDescent="0.35">
      <c r="A9162" s="1">
        <v>42621</v>
      </c>
      <c r="B9162" t="s">
        <v>2319</v>
      </c>
      <c r="C9162" t="s">
        <v>8</v>
      </c>
      <c r="D9162" t="s">
        <v>1288</v>
      </c>
      <c r="E9162">
        <v>11.88</v>
      </c>
      <c r="F9162">
        <v>5</v>
      </c>
      <c r="G9162">
        <v>0.7</v>
      </c>
      <c r="H9162">
        <v>-7.92</v>
      </c>
      <c r="U9162">
        <v>-7.92</v>
      </c>
    </row>
    <row r="9163" spans="1:21" x14ac:dyDescent="0.35">
      <c r="A9163" s="1">
        <v>42594</v>
      </c>
      <c r="B9163" t="s">
        <v>633</v>
      </c>
      <c r="C9163" t="s">
        <v>35</v>
      </c>
      <c r="D9163" t="s">
        <v>2155</v>
      </c>
      <c r="E9163">
        <v>405.86</v>
      </c>
      <c r="F9163">
        <v>7</v>
      </c>
      <c r="G9163">
        <v>0</v>
      </c>
      <c r="H9163">
        <v>32.468800000000002</v>
      </c>
      <c r="U9163">
        <v>32.468800000000002</v>
      </c>
    </row>
    <row r="9164" spans="1:21" x14ac:dyDescent="0.35">
      <c r="A9164" s="1">
        <v>42594</v>
      </c>
      <c r="B9164" t="s">
        <v>633</v>
      </c>
      <c r="C9164" t="s">
        <v>35</v>
      </c>
      <c r="D9164" t="s">
        <v>1120</v>
      </c>
      <c r="E9164">
        <v>680.01</v>
      </c>
      <c r="F9164">
        <v>3</v>
      </c>
      <c r="G9164">
        <v>0</v>
      </c>
      <c r="H9164">
        <v>176.80260000000001</v>
      </c>
      <c r="U9164">
        <v>176.80260000000001</v>
      </c>
    </row>
    <row r="9165" spans="1:21" x14ac:dyDescent="0.35">
      <c r="A9165" s="1">
        <v>42222</v>
      </c>
      <c r="B9165" t="s">
        <v>2458</v>
      </c>
      <c r="C9165" t="s">
        <v>35</v>
      </c>
      <c r="D9165" t="s">
        <v>2232</v>
      </c>
      <c r="E9165">
        <v>2.3759999999999999</v>
      </c>
      <c r="F9165">
        <v>3</v>
      </c>
      <c r="G9165">
        <v>0.2</v>
      </c>
      <c r="H9165">
        <v>0.74250000000000005</v>
      </c>
      <c r="U9165">
        <v>0.74250000000000005</v>
      </c>
    </row>
    <row r="9166" spans="1:21" x14ac:dyDescent="0.35">
      <c r="A9166" s="1">
        <v>42222</v>
      </c>
      <c r="B9166" t="s">
        <v>2458</v>
      </c>
      <c r="C9166" t="s">
        <v>35</v>
      </c>
      <c r="D9166" t="s">
        <v>1435</v>
      </c>
      <c r="E9166">
        <v>143.12799999999999</v>
      </c>
      <c r="F9166">
        <v>2</v>
      </c>
      <c r="G9166">
        <v>0.8</v>
      </c>
      <c r="H9166">
        <v>-393.60199999999998</v>
      </c>
      <c r="U9166">
        <v>-393.60199999999998</v>
      </c>
    </row>
    <row r="9167" spans="1:21" x14ac:dyDescent="0.35">
      <c r="A9167" t="s">
        <v>1268</v>
      </c>
      <c r="B9167" t="s">
        <v>315</v>
      </c>
      <c r="C9167" t="s">
        <v>13</v>
      </c>
      <c r="D9167" t="s">
        <v>2710</v>
      </c>
      <c r="E9167">
        <v>4476.8</v>
      </c>
      <c r="F9167">
        <v>4</v>
      </c>
      <c r="G9167">
        <v>0.2</v>
      </c>
      <c r="H9167">
        <v>503.64</v>
      </c>
      <c r="U9167">
        <v>503.64</v>
      </c>
    </row>
    <row r="9168" spans="1:21" x14ac:dyDescent="0.35">
      <c r="A9168" t="s">
        <v>1268</v>
      </c>
      <c r="B9168" t="s">
        <v>315</v>
      </c>
      <c r="C9168" t="s">
        <v>13</v>
      </c>
      <c r="D9168" t="s">
        <v>1615</v>
      </c>
      <c r="E9168">
        <v>104.85</v>
      </c>
      <c r="F9168">
        <v>1</v>
      </c>
      <c r="G9168">
        <v>0</v>
      </c>
      <c r="H9168">
        <v>50.328000000000003</v>
      </c>
      <c r="U9168">
        <v>50.328000000000003</v>
      </c>
    </row>
    <row r="9169" spans="1:21" x14ac:dyDescent="0.35">
      <c r="A9169" t="s">
        <v>1268</v>
      </c>
      <c r="B9169" t="s">
        <v>315</v>
      </c>
      <c r="C9169" t="s">
        <v>13</v>
      </c>
      <c r="D9169" t="s">
        <v>2230</v>
      </c>
      <c r="E9169">
        <v>241.44</v>
      </c>
      <c r="F9169">
        <v>3</v>
      </c>
      <c r="G9169">
        <v>0</v>
      </c>
      <c r="H9169">
        <v>72.432000000000002</v>
      </c>
      <c r="U9169">
        <v>72.432000000000002</v>
      </c>
    </row>
    <row r="9170" spans="1:21" x14ac:dyDescent="0.35">
      <c r="A9170" t="s">
        <v>1650</v>
      </c>
      <c r="B9170" t="s">
        <v>1207</v>
      </c>
      <c r="C9170" t="s">
        <v>8</v>
      </c>
      <c r="D9170" t="s">
        <v>1077</v>
      </c>
      <c r="E9170">
        <v>319.76</v>
      </c>
      <c r="F9170">
        <v>14</v>
      </c>
      <c r="G9170">
        <v>0</v>
      </c>
      <c r="H9170">
        <v>147.08959999999999</v>
      </c>
      <c r="U9170">
        <v>147.08959999999999</v>
      </c>
    </row>
    <row r="9171" spans="1:21" x14ac:dyDescent="0.35">
      <c r="A9171" t="s">
        <v>1650</v>
      </c>
      <c r="B9171" t="s">
        <v>1207</v>
      </c>
      <c r="C9171" t="s">
        <v>8</v>
      </c>
      <c r="D9171" t="s">
        <v>1077</v>
      </c>
      <c r="E9171">
        <v>45.68</v>
      </c>
      <c r="F9171">
        <v>2</v>
      </c>
      <c r="G9171">
        <v>0</v>
      </c>
      <c r="H9171">
        <v>21.012799999999999</v>
      </c>
      <c r="U9171">
        <v>21.012799999999999</v>
      </c>
    </row>
    <row r="9172" spans="1:21" x14ac:dyDescent="0.35">
      <c r="A9172" s="1">
        <v>42381</v>
      </c>
      <c r="B9172" t="s">
        <v>2342</v>
      </c>
      <c r="C9172" t="s">
        <v>13</v>
      </c>
      <c r="D9172" t="s">
        <v>874</v>
      </c>
      <c r="E9172">
        <v>31.96</v>
      </c>
      <c r="F9172">
        <v>2</v>
      </c>
      <c r="G9172">
        <v>0</v>
      </c>
      <c r="H9172">
        <v>1.5980000000000001</v>
      </c>
      <c r="U9172">
        <v>1.5980000000000001</v>
      </c>
    </row>
    <row r="9173" spans="1:21" x14ac:dyDescent="0.35">
      <c r="A9173" s="1">
        <v>42381</v>
      </c>
      <c r="B9173" t="s">
        <v>2342</v>
      </c>
      <c r="C9173" t="s">
        <v>13</v>
      </c>
      <c r="D9173" t="s">
        <v>1730</v>
      </c>
      <c r="E9173">
        <v>47.9</v>
      </c>
      <c r="F9173">
        <v>1</v>
      </c>
      <c r="G9173">
        <v>0</v>
      </c>
      <c r="H9173">
        <v>22.992000000000001</v>
      </c>
      <c r="U9173">
        <v>22.992000000000001</v>
      </c>
    </row>
    <row r="9174" spans="1:21" x14ac:dyDescent="0.35">
      <c r="A9174" s="1">
        <v>42381</v>
      </c>
      <c r="B9174" t="s">
        <v>2342</v>
      </c>
      <c r="C9174" t="s">
        <v>13</v>
      </c>
      <c r="D9174" t="s">
        <v>1479</v>
      </c>
      <c r="E9174">
        <v>1112.94</v>
      </c>
      <c r="F9174">
        <v>3</v>
      </c>
      <c r="G9174">
        <v>0</v>
      </c>
      <c r="H9174">
        <v>222.58799999999999</v>
      </c>
      <c r="U9174">
        <v>222.58799999999999</v>
      </c>
    </row>
    <row r="9175" spans="1:21" x14ac:dyDescent="0.35">
      <c r="A9175" s="1">
        <v>42381</v>
      </c>
      <c r="B9175" t="s">
        <v>2342</v>
      </c>
      <c r="C9175" t="s">
        <v>13</v>
      </c>
      <c r="D9175" t="s">
        <v>1056</v>
      </c>
      <c r="E9175">
        <v>22.92</v>
      </c>
      <c r="F9175">
        <v>3</v>
      </c>
      <c r="G9175">
        <v>0</v>
      </c>
      <c r="H9175">
        <v>11.2308</v>
      </c>
      <c r="U9175">
        <v>11.2308</v>
      </c>
    </row>
    <row r="9176" spans="1:21" x14ac:dyDescent="0.35">
      <c r="A9176" s="1">
        <v>43075</v>
      </c>
      <c r="B9176" t="s">
        <v>2617</v>
      </c>
      <c r="C9176" t="s">
        <v>13</v>
      </c>
      <c r="D9176" t="s">
        <v>1637</v>
      </c>
      <c r="E9176">
        <v>71.975999999999999</v>
      </c>
      <c r="F9176">
        <v>3</v>
      </c>
      <c r="G9176">
        <v>0.2</v>
      </c>
      <c r="H9176">
        <v>8.9969999999999999</v>
      </c>
      <c r="U9176">
        <v>8.9969999999999999</v>
      </c>
    </row>
    <row r="9177" spans="1:21" x14ac:dyDescent="0.35">
      <c r="A9177" s="1">
        <v>43075</v>
      </c>
      <c r="B9177" t="s">
        <v>2617</v>
      </c>
      <c r="C9177" t="s">
        <v>13</v>
      </c>
      <c r="D9177" t="s">
        <v>1631</v>
      </c>
      <c r="E9177">
        <v>19.440000000000001</v>
      </c>
      <c r="F9177">
        <v>3</v>
      </c>
      <c r="G9177">
        <v>0</v>
      </c>
      <c r="H9177">
        <v>9.3312000000000008</v>
      </c>
      <c r="U9177">
        <v>9.3312000000000008</v>
      </c>
    </row>
    <row r="9178" spans="1:21" x14ac:dyDescent="0.35">
      <c r="A9178" t="s">
        <v>1748</v>
      </c>
      <c r="B9178" t="s">
        <v>1961</v>
      </c>
      <c r="C9178" t="s">
        <v>8</v>
      </c>
      <c r="D9178" t="s">
        <v>580</v>
      </c>
      <c r="E9178">
        <v>31.085999999999999</v>
      </c>
      <c r="F9178">
        <v>3</v>
      </c>
      <c r="G9178">
        <v>0.7</v>
      </c>
      <c r="H9178">
        <v>-20.724</v>
      </c>
      <c r="U9178">
        <v>-20.724</v>
      </c>
    </row>
    <row r="9179" spans="1:21" x14ac:dyDescent="0.35">
      <c r="A9179" t="s">
        <v>2048</v>
      </c>
      <c r="B9179" t="s">
        <v>111</v>
      </c>
      <c r="C9179" t="s">
        <v>55</v>
      </c>
      <c r="D9179" t="s">
        <v>2570</v>
      </c>
      <c r="E9179">
        <v>13.98</v>
      </c>
      <c r="F9179">
        <v>2</v>
      </c>
      <c r="G9179">
        <v>0</v>
      </c>
      <c r="H9179">
        <v>3.9144000000000001</v>
      </c>
      <c r="U9179">
        <v>3.9144000000000001</v>
      </c>
    </row>
    <row r="9180" spans="1:21" x14ac:dyDescent="0.35">
      <c r="A9180" t="s">
        <v>2048</v>
      </c>
      <c r="B9180" t="s">
        <v>111</v>
      </c>
      <c r="C9180" t="s">
        <v>55</v>
      </c>
      <c r="D9180" t="s">
        <v>2406</v>
      </c>
      <c r="E9180">
        <v>23.65</v>
      </c>
      <c r="F9180">
        <v>1</v>
      </c>
      <c r="G9180">
        <v>0</v>
      </c>
      <c r="H9180">
        <v>6.149</v>
      </c>
      <c r="U9180">
        <v>6.149</v>
      </c>
    </row>
    <row r="9181" spans="1:21" x14ac:dyDescent="0.35">
      <c r="A9181" s="1">
        <v>42924</v>
      </c>
      <c r="B9181" t="s">
        <v>606</v>
      </c>
      <c r="C9181" t="s">
        <v>13</v>
      </c>
      <c r="D9181" t="s">
        <v>2378</v>
      </c>
      <c r="E9181">
        <v>707.88</v>
      </c>
      <c r="F9181">
        <v>3</v>
      </c>
      <c r="G9181">
        <v>0.2</v>
      </c>
      <c r="H9181">
        <v>44.2425</v>
      </c>
      <c r="U9181">
        <v>44.2425</v>
      </c>
    </row>
    <row r="9182" spans="1:21" x14ac:dyDescent="0.35">
      <c r="A9182" s="1">
        <v>42924</v>
      </c>
      <c r="B9182" t="s">
        <v>606</v>
      </c>
      <c r="C9182" t="s">
        <v>13</v>
      </c>
      <c r="D9182" t="s">
        <v>1060</v>
      </c>
      <c r="E9182">
        <v>11.952</v>
      </c>
      <c r="F9182">
        <v>3</v>
      </c>
      <c r="G9182">
        <v>0.2</v>
      </c>
      <c r="H9182">
        <v>4.1832000000000003</v>
      </c>
      <c r="U9182">
        <v>4.1832000000000003</v>
      </c>
    </row>
    <row r="9183" spans="1:21" x14ac:dyDescent="0.35">
      <c r="A9183" s="1">
        <v>42924</v>
      </c>
      <c r="B9183" t="s">
        <v>606</v>
      </c>
      <c r="C9183" t="s">
        <v>13</v>
      </c>
      <c r="D9183" t="s">
        <v>2497</v>
      </c>
      <c r="E9183">
        <v>31.128</v>
      </c>
      <c r="F9183">
        <v>3</v>
      </c>
      <c r="G9183">
        <v>0.2</v>
      </c>
      <c r="H9183">
        <v>11.673</v>
      </c>
      <c r="U9183">
        <v>11.673</v>
      </c>
    </row>
    <row r="9184" spans="1:21" x14ac:dyDescent="0.35">
      <c r="A9184" s="1">
        <v>42924</v>
      </c>
      <c r="B9184" t="s">
        <v>606</v>
      </c>
      <c r="C9184" t="s">
        <v>13</v>
      </c>
      <c r="D9184" t="s">
        <v>2645</v>
      </c>
      <c r="E9184">
        <v>55.76</v>
      </c>
      <c r="F9184">
        <v>4</v>
      </c>
      <c r="G9184">
        <v>0</v>
      </c>
      <c r="H9184">
        <v>7.8064</v>
      </c>
      <c r="U9184">
        <v>7.8064</v>
      </c>
    </row>
    <row r="9185" spans="1:21" x14ac:dyDescent="0.35">
      <c r="A9185" s="1">
        <v>42924</v>
      </c>
      <c r="B9185" t="s">
        <v>606</v>
      </c>
      <c r="C9185" t="s">
        <v>13</v>
      </c>
      <c r="D9185" t="s">
        <v>602</v>
      </c>
      <c r="E9185">
        <v>24.56</v>
      </c>
      <c r="F9185">
        <v>2</v>
      </c>
      <c r="G9185">
        <v>0</v>
      </c>
      <c r="H9185">
        <v>11.543200000000001</v>
      </c>
      <c r="U9185">
        <v>11.543200000000001</v>
      </c>
    </row>
    <row r="9186" spans="1:21" x14ac:dyDescent="0.35">
      <c r="A9186" s="1">
        <v>42924</v>
      </c>
      <c r="B9186" t="s">
        <v>606</v>
      </c>
      <c r="C9186" t="s">
        <v>13</v>
      </c>
      <c r="D9186" t="s">
        <v>67</v>
      </c>
      <c r="E9186">
        <v>51.75</v>
      </c>
      <c r="F9186">
        <v>1</v>
      </c>
      <c r="G9186">
        <v>0</v>
      </c>
      <c r="H9186">
        <v>15.525</v>
      </c>
      <c r="U9186">
        <v>15.525</v>
      </c>
    </row>
    <row r="9187" spans="1:21" x14ac:dyDescent="0.35">
      <c r="A9187" s="1">
        <v>42924</v>
      </c>
      <c r="B9187" t="s">
        <v>606</v>
      </c>
      <c r="C9187" t="s">
        <v>13</v>
      </c>
      <c r="D9187" t="s">
        <v>2736</v>
      </c>
      <c r="E9187">
        <v>207.184</v>
      </c>
      <c r="F9187">
        <v>1</v>
      </c>
      <c r="G9187">
        <v>0.2</v>
      </c>
      <c r="H9187">
        <v>25.898</v>
      </c>
      <c r="U9187">
        <v>25.898</v>
      </c>
    </row>
    <row r="9188" spans="1:21" x14ac:dyDescent="0.35">
      <c r="A9188" s="1">
        <v>42924</v>
      </c>
      <c r="B9188" t="s">
        <v>606</v>
      </c>
      <c r="C9188" t="s">
        <v>13</v>
      </c>
      <c r="D9188" t="s">
        <v>1936</v>
      </c>
      <c r="E9188">
        <v>1473.1</v>
      </c>
      <c r="F9188">
        <v>5</v>
      </c>
      <c r="G9188">
        <v>0</v>
      </c>
      <c r="H9188">
        <v>412.46800000000002</v>
      </c>
      <c r="U9188">
        <v>412.46800000000002</v>
      </c>
    </row>
    <row r="9189" spans="1:21" x14ac:dyDescent="0.35">
      <c r="A9189" t="s">
        <v>1119</v>
      </c>
      <c r="B9189" t="s">
        <v>2050</v>
      </c>
      <c r="C9189" t="s">
        <v>55</v>
      </c>
      <c r="D9189" t="s">
        <v>625</v>
      </c>
      <c r="E9189">
        <v>3.488</v>
      </c>
      <c r="F9189">
        <v>2</v>
      </c>
      <c r="G9189">
        <v>0.2</v>
      </c>
      <c r="H9189">
        <v>-0.6976</v>
      </c>
      <c r="U9189">
        <v>-0.6976</v>
      </c>
    </row>
    <row r="9190" spans="1:21" x14ac:dyDescent="0.35">
      <c r="A9190" t="s">
        <v>1119</v>
      </c>
      <c r="B9190" t="s">
        <v>2050</v>
      </c>
      <c r="C9190" t="s">
        <v>55</v>
      </c>
      <c r="D9190" t="s">
        <v>462</v>
      </c>
      <c r="E9190">
        <v>21.728000000000002</v>
      </c>
      <c r="F9190">
        <v>4</v>
      </c>
      <c r="G9190">
        <v>0.2</v>
      </c>
      <c r="H9190">
        <v>3.8024</v>
      </c>
      <c r="U9190">
        <v>3.8024</v>
      </c>
    </row>
    <row r="9191" spans="1:21" x14ac:dyDescent="0.35">
      <c r="A9191" t="s">
        <v>1119</v>
      </c>
      <c r="B9191" t="s">
        <v>2050</v>
      </c>
      <c r="C9191" t="s">
        <v>55</v>
      </c>
      <c r="D9191" t="s">
        <v>1575</v>
      </c>
      <c r="E9191">
        <v>663.072</v>
      </c>
      <c r="F9191">
        <v>6</v>
      </c>
      <c r="G9191">
        <v>0.2</v>
      </c>
      <c r="H9191">
        <v>-165.768</v>
      </c>
      <c r="U9191">
        <v>-165.768</v>
      </c>
    </row>
    <row r="9192" spans="1:21" x14ac:dyDescent="0.35">
      <c r="A9192" t="s">
        <v>1119</v>
      </c>
      <c r="B9192" t="s">
        <v>2050</v>
      </c>
      <c r="C9192" t="s">
        <v>55</v>
      </c>
      <c r="D9192" t="s">
        <v>1499</v>
      </c>
      <c r="E9192">
        <v>99.587999999999994</v>
      </c>
      <c r="F9192">
        <v>2</v>
      </c>
      <c r="G9192">
        <v>0.7</v>
      </c>
      <c r="H9192">
        <v>-82.99</v>
      </c>
      <c r="U9192">
        <v>-82.99</v>
      </c>
    </row>
    <row r="9193" spans="1:21" x14ac:dyDescent="0.35">
      <c r="A9193" t="s">
        <v>1119</v>
      </c>
      <c r="B9193" t="s">
        <v>2050</v>
      </c>
      <c r="C9193" t="s">
        <v>55</v>
      </c>
      <c r="D9193" t="s">
        <v>1313</v>
      </c>
      <c r="E9193">
        <v>49.567999999999998</v>
      </c>
      <c r="F9193">
        <v>2</v>
      </c>
      <c r="G9193">
        <v>0.2</v>
      </c>
      <c r="H9193">
        <v>15.49</v>
      </c>
      <c r="U9193">
        <v>15.49</v>
      </c>
    </row>
    <row r="9194" spans="1:21" x14ac:dyDescent="0.35">
      <c r="A9194" s="1">
        <v>42046</v>
      </c>
      <c r="B9194" t="s">
        <v>494</v>
      </c>
      <c r="C9194" t="s">
        <v>35</v>
      </c>
      <c r="D9194" t="s">
        <v>576</v>
      </c>
      <c r="E9194">
        <v>29.372</v>
      </c>
      <c r="F9194">
        <v>7</v>
      </c>
      <c r="G9194">
        <v>0.8</v>
      </c>
      <c r="H9194">
        <v>-46.995199999999997</v>
      </c>
      <c r="U9194">
        <v>-46.995199999999997</v>
      </c>
    </row>
    <row r="9195" spans="1:21" x14ac:dyDescent="0.35">
      <c r="A9195" s="1">
        <v>42046</v>
      </c>
      <c r="B9195" t="s">
        <v>494</v>
      </c>
      <c r="C9195" t="s">
        <v>35</v>
      </c>
      <c r="D9195" t="s">
        <v>2310</v>
      </c>
      <c r="E9195">
        <v>344.70400000000001</v>
      </c>
      <c r="F9195">
        <v>2</v>
      </c>
      <c r="G9195">
        <v>0.2</v>
      </c>
      <c r="H9195">
        <v>38.779200000000003</v>
      </c>
      <c r="U9195">
        <v>38.779200000000003</v>
      </c>
    </row>
    <row r="9196" spans="1:21" x14ac:dyDescent="0.35">
      <c r="A9196" t="s">
        <v>1465</v>
      </c>
      <c r="B9196" t="s">
        <v>707</v>
      </c>
      <c r="C9196" t="s">
        <v>13</v>
      </c>
      <c r="D9196" t="s">
        <v>1994</v>
      </c>
      <c r="E9196">
        <v>47.991999999999997</v>
      </c>
      <c r="F9196">
        <v>7</v>
      </c>
      <c r="G9196">
        <v>0.2</v>
      </c>
      <c r="H9196">
        <v>3.5994000000000002</v>
      </c>
      <c r="U9196">
        <v>3.5994000000000002</v>
      </c>
    </row>
    <row r="9197" spans="1:21" x14ac:dyDescent="0.35">
      <c r="A9197" t="s">
        <v>1465</v>
      </c>
      <c r="B9197" t="s">
        <v>707</v>
      </c>
      <c r="C9197" t="s">
        <v>13</v>
      </c>
      <c r="D9197" t="s">
        <v>2405</v>
      </c>
      <c r="E9197">
        <v>102.24</v>
      </c>
      <c r="F9197">
        <v>4</v>
      </c>
      <c r="G9197">
        <v>0.2</v>
      </c>
      <c r="H9197">
        <v>-16.614000000000001</v>
      </c>
      <c r="U9197">
        <v>-16.614000000000001</v>
      </c>
    </row>
    <row r="9198" spans="1:21" x14ac:dyDescent="0.35">
      <c r="A9198" s="1">
        <v>41917</v>
      </c>
      <c r="B9198" t="s">
        <v>1495</v>
      </c>
      <c r="C9198" t="s">
        <v>13</v>
      </c>
      <c r="D9198" t="s">
        <v>2528</v>
      </c>
      <c r="E9198">
        <v>39.96</v>
      </c>
      <c r="F9198">
        <v>2</v>
      </c>
      <c r="G9198">
        <v>0</v>
      </c>
      <c r="H9198">
        <v>19.180800000000001</v>
      </c>
      <c r="U9198">
        <v>19.180800000000001</v>
      </c>
    </row>
    <row r="9199" spans="1:21" x14ac:dyDescent="0.35">
      <c r="A9199" s="1">
        <v>41917</v>
      </c>
      <c r="B9199" t="s">
        <v>1495</v>
      </c>
      <c r="C9199" t="s">
        <v>13</v>
      </c>
      <c r="D9199" t="s">
        <v>1813</v>
      </c>
      <c r="E9199">
        <v>1432</v>
      </c>
      <c r="F9199">
        <v>5</v>
      </c>
      <c r="G9199">
        <v>0.2</v>
      </c>
      <c r="H9199">
        <v>125.3</v>
      </c>
      <c r="U9199">
        <v>125.3</v>
      </c>
    </row>
    <row r="9200" spans="1:21" x14ac:dyDescent="0.35">
      <c r="A9200" s="1">
        <v>41917</v>
      </c>
      <c r="B9200" t="s">
        <v>1495</v>
      </c>
      <c r="C9200" t="s">
        <v>13</v>
      </c>
      <c r="D9200" t="s">
        <v>2587</v>
      </c>
      <c r="E9200">
        <v>41.04</v>
      </c>
      <c r="F9200">
        <v>6</v>
      </c>
      <c r="G9200">
        <v>0</v>
      </c>
      <c r="H9200">
        <v>11.0808</v>
      </c>
      <c r="U9200">
        <v>11.0808</v>
      </c>
    </row>
    <row r="9201" spans="1:21" x14ac:dyDescent="0.35">
      <c r="A9201" s="1">
        <v>41917</v>
      </c>
      <c r="B9201" t="s">
        <v>1495</v>
      </c>
      <c r="C9201" t="s">
        <v>13</v>
      </c>
      <c r="D9201" t="s">
        <v>2291</v>
      </c>
      <c r="E9201">
        <v>256.78399999999999</v>
      </c>
      <c r="F9201">
        <v>1</v>
      </c>
      <c r="G9201">
        <v>0.2</v>
      </c>
      <c r="H9201">
        <v>32.097999999999999</v>
      </c>
      <c r="U9201">
        <v>32.097999999999999</v>
      </c>
    </row>
    <row r="9202" spans="1:21" x14ac:dyDescent="0.35">
      <c r="A9202" t="s">
        <v>1683</v>
      </c>
      <c r="B9202" t="s">
        <v>2549</v>
      </c>
      <c r="C9202" t="s">
        <v>55</v>
      </c>
      <c r="D9202" t="s">
        <v>813</v>
      </c>
      <c r="E9202">
        <v>120.98</v>
      </c>
      <c r="F9202">
        <v>1</v>
      </c>
      <c r="G9202">
        <v>0</v>
      </c>
      <c r="H9202">
        <v>12.098000000000001</v>
      </c>
      <c r="U9202">
        <v>12.098000000000001</v>
      </c>
    </row>
    <row r="9203" spans="1:21" x14ac:dyDescent="0.35">
      <c r="A9203" t="s">
        <v>1683</v>
      </c>
      <c r="B9203" t="s">
        <v>2549</v>
      </c>
      <c r="C9203" t="s">
        <v>55</v>
      </c>
      <c r="D9203" t="s">
        <v>730</v>
      </c>
      <c r="E9203">
        <v>315.98</v>
      </c>
      <c r="F9203">
        <v>1</v>
      </c>
      <c r="G9203">
        <v>0</v>
      </c>
      <c r="H9203">
        <v>148.51060000000001</v>
      </c>
      <c r="U9203">
        <v>148.51060000000001</v>
      </c>
    </row>
    <row r="9204" spans="1:21" x14ac:dyDescent="0.35">
      <c r="A9204" t="s">
        <v>2351</v>
      </c>
      <c r="B9204" t="s">
        <v>1902</v>
      </c>
      <c r="C9204" t="s">
        <v>55</v>
      </c>
      <c r="D9204" t="s">
        <v>1948</v>
      </c>
      <c r="E9204">
        <v>28.751999999999999</v>
      </c>
      <c r="F9204">
        <v>3</v>
      </c>
      <c r="G9204">
        <v>0.2</v>
      </c>
      <c r="H9204">
        <v>10.0632</v>
      </c>
      <c r="U9204">
        <v>10.0632</v>
      </c>
    </row>
    <row r="9205" spans="1:21" x14ac:dyDescent="0.35">
      <c r="A9205" t="s">
        <v>2351</v>
      </c>
      <c r="B9205" t="s">
        <v>1902</v>
      </c>
      <c r="C9205" t="s">
        <v>55</v>
      </c>
      <c r="D9205" t="s">
        <v>1973</v>
      </c>
      <c r="E9205">
        <v>114.95</v>
      </c>
      <c r="F9205">
        <v>5</v>
      </c>
      <c r="G9205">
        <v>0</v>
      </c>
      <c r="H9205">
        <v>32.186</v>
      </c>
      <c r="U9205">
        <v>32.186</v>
      </c>
    </row>
    <row r="9206" spans="1:21" x14ac:dyDescent="0.35">
      <c r="A9206" s="1">
        <v>42381</v>
      </c>
      <c r="B9206" t="s">
        <v>379</v>
      </c>
      <c r="C9206" t="s">
        <v>13</v>
      </c>
      <c r="D9206" t="s">
        <v>268</v>
      </c>
      <c r="E9206">
        <v>23.04</v>
      </c>
      <c r="F9206">
        <v>8</v>
      </c>
      <c r="G9206">
        <v>0</v>
      </c>
      <c r="H9206">
        <v>6.9119999999999999</v>
      </c>
      <c r="U9206">
        <v>6.9119999999999999</v>
      </c>
    </row>
    <row r="9207" spans="1:21" x14ac:dyDescent="0.35">
      <c r="A9207" t="s">
        <v>728</v>
      </c>
      <c r="B9207" t="s">
        <v>1840</v>
      </c>
      <c r="C9207" t="s">
        <v>55</v>
      </c>
      <c r="D9207" t="s">
        <v>1535</v>
      </c>
      <c r="E9207">
        <v>15.48</v>
      </c>
      <c r="F9207">
        <v>3</v>
      </c>
      <c r="G9207">
        <v>0</v>
      </c>
      <c r="H9207">
        <v>4.4892000000000003</v>
      </c>
      <c r="U9207">
        <v>4.4892000000000003</v>
      </c>
    </row>
    <row r="9208" spans="1:21" x14ac:dyDescent="0.35">
      <c r="A9208" t="s">
        <v>728</v>
      </c>
      <c r="B9208" t="s">
        <v>1840</v>
      </c>
      <c r="C9208" t="s">
        <v>55</v>
      </c>
      <c r="D9208" t="s">
        <v>2584</v>
      </c>
      <c r="E9208">
        <v>51.84</v>
      </c>
      <c r="F9208">
        <v>8</v>
      </c>
      <c r="G9208">
        <v>0</v>
      </c>
      <c r="H9208">
        <v>24.883199999999999</v>
      </c>
      <c r="U9208">
        <v>24.883199999999999</v>
      </c>
    </row>
    <row r="9209" spans="1:21" x14ac:dyDescent="0.35">
      <c r="A9209" s="1">
        <v>42802</v>
      </c>
      <c r="B9209" t="s">
        <v>1618</v>
      </c>
      <c r="C9209" t="s">
        <v>35</v>
      </c>
      <c r="D9209" t="s">
        <v>2130</v>
      </c>
      <c r="E9209">
        <v>39.816000000000003</v>
      </c>
      <c r="F9209">
        <v>3</v>
      </c>
      <c r="G9209">
        <v>0.2</v>
      </c>
      <c r="H9209">
        <v>7.4654999999999996</v>
      </c>
      <c r="U9209">
        <v>7.4654999999999996</v>
      </c>
    </row>
    <row r="9210" spans="1:21" x14ac:dyDescent="0.35">
      <c r="A9210" s="1">
        <v>42802</v>
      </c>
      <c r="B9210" t="s">
        <v>1904</v>
      </c>
      <c r="C9210" t="s">
        <v>13</v>
      </c>
      <c r="D9210" t="s">
        <v>1954</v>
      </c>
      <c r="E9210">
        <v>16.059999999999999</v>
      </c>
      <c r="F9210">
        <v>1</v>
      </c>
      <c r="G9210">
        <v>0</v>
      </c>
      <c r="H9210">
        <v>4.1756000000000002</v>
      </c>
      <c r="U9210">
        <v>4.1756000000000002</v>
      </c>
    </row>
    <row r="9211" spans="1:21" x14ac:dyDescent="0.35">
      <c r="A9211" s="1">
        <v>43051</v>
      </c>
      <c r="B9211" t="s">
        <v>2737</v>
      </c>
      <c r="C9211" t="s">
        <v>35</v>
      </c>
      <c r="D9211" t="s">
        <v>1723</v>
      </c>
      <c r="E9211">
        <v>7.28</v>
      </c>
      <c r="F9211">
        <v>1</v>
      </c>
      <c r="G9211">
        <v>0</v>
      </c>
      <c r="H9211">
        <v>3.4944000000000002</v>
      </c>
      <c r="U9211">
        <v>3.4944000000000002</v>
      </c>
    </row>
    <row r="9212" spans="1:21" x14ac:dyDescent="0.35">
      <c r="A9212" s="1">
        <v>43051</v>
      </c>
      <c r="B9212" t="s">
        <v>2737</v>
      </c>
      <c r="C9212" t="s">
        <v>35</v>
      </c>
      <c r="D9212" t="s">
        <v>1298</v>
      </c>
      <c r="E9212">
        <v>5.4</v>
      </c>
      <c r="F9212">
        <v>3</v>
      </c>
      <c r="G9212">
        <v>0</v>
      </c>
      <c r="H9212">
        <v>2.5920000000000001</v>
      </c>
      <c r="U9212">
        <v>2.5920000000000001</v>
      </c>
    </row>
    <row r="9213" spans="1:21" x14ac:dyDescent="0.35">
      <c r="A9213" t="s">
        <v>2482</v>
      </c>
      <c r="B9213" t="s">
        <v>1690</v>
      </c>
      <c r="C9213" t="s">
        <v>13</v>
      </c>
      <c r="D9213" t="s">
        <v>527</v>
      </c>
      <c r="E9213">
        <v>19.440000000000001</v>
      </c>
      <c r="F9213">
        <v>3</v>
      </c>
      <c r="G9213">
        <v>0</v>
      </c>
      <c r="H9213">
        <v>9.3312000000000008</v>
      </c>
      <c r="U9213">
        <v>9.3312000000000008</v>
      </c>
    </row>
    <row r="9214" spans="1:21" x14ac:dyDescent="0.35">
      <c r="A9214" s="1">
        <v>41863</v>
      </c>
      <c r="B9214" t="s">
        <v>981</v>
      </c>
      <c r="C9214" t="s">
        <v>13</v>
      </c>
      <c r="D9214" t="s">
        <v>135</v>
      </c>
      <c r="E9214">
        <v>39.880000000000003</v>
      </c>
      <c r="F9214">
        <v>2</v>
      </c>
      <c r="G9214">
        <v>0</v>
      </c>
      <c r="H9214">
        <v>11.166399999999999</v>
      </c>
      <c r="U9214">
        <v>11.166399999999999</v>
      </c>
    </row>
    <row r="9215" spans="1:21" x14ac:dyDescent="0.35">
      <c r="A9215" s="1">
        <v>41863</v>
      </c>
      <c r="B9215" t="s">
        <v>981</v>
      </c>
      <c r="C9215" t="s">
        <v>13</v>
      </c>
      <c r="D9215" t="s">
        <v>1782</v>
      </c>
      <c r="E9215">
        <v>79.44</v>
      </c>
      <c r="F9215">
        <v>3</v>
      </c>
      <c r="G9215">
        <v>0</v>
      </c>
      <c r="H9215">
        <v>28.598400000000002</v>
      </c>
      <c r="U9215">
        <v>28.598400000000002</v>
      </c>
    </row>
    <row r="9216" spans="1:21" x14ac:dyDescent="0.35">
      <c r="A9216" t="s">
        <v>1384</v>
      </c>
      <c r="B9216" t="s">
        <v>1857</v>
      </c>
      <c r="C9216" t="s">
        <v>55</v>
      </c>
      <c r="D9216" t="s">
        <v>2738</v>
      </c>
      <c r="E9216">
        <v>20.664000000000001</v>
      </c>
      <c r="F9216">
        <v>7</v>
      </c>
      <c r="G9216">
        <v>0.2</v>
      </c>
      <c r="H9216">
        <v>6.9741</v>
      </c>
      <c r="U9216">
        <v>6.9741</v>
      </c>
    </row>
    <row r="9217" spans="1:21" x14ac:dyDescent="0.35">
      <c r="A9217" t="s">
        <v>2288</v>
      </c>
      <c r="B9217" t="s">
        <v>1017</v>
      </c>
      <c r="C9217" t="s">
        <v>13</v>
      </c>
      <c r="D9217" t="s">
        <v>915</v>
      </c>
      <c r="E9217">
        <v>32.4</v>
      </c>
      <c r="F9217">
        <v>5</v>
      </c>
      <c r="G9217">
        <v>0</v>
      </c>
      <c r="H9217">
        <v>15.552</v>
      </c>
      <c r="U9217">
        <v>15.552</v>
      </c>
    </row>
    <row r="9218" spans="1:21" x14ac:dyDescent="0.35">
      <c r="A9218" t="s">
        <v>895</v>
      </c>
      <c r="B9218" t="s">
        <v>2302</v>
      </c>
      <c r="C9218" t="s">
        <v>35</v>
      </c>
      <c r="D9218" t="s">
        <v>36</v>
      </c>
      <c r="E9218">
        <v>13.762</v>
      </c>
      <c r="F9218">
        <v>1</v>
      </c>
      <c r="G9218">
        <v>0.8</v>
      </c>
      <c r="H9218">
        <v>-24.771599999999999</v>
      </c>
      <c r="U9218">
        <v>-24.771599999999999</v>
      </c>
    </row>
    <row r="9219" spans="1:21" x14ac:dyDescent="0.35">
      <c r="A9219" t="s">
        <v>954</v>
      </c>
      <c r="B9219" t="s">
        <v>2014</v>
      </c>
      <c r="C9219" t="s">
        <v>35</v>
      </c>
      <c r="D9219" t="s">
        <v>1175</v>
      </c>
      <c r="E9219">
        <v>15.28</v>
      </c>
      <c r="F9219">
        <v>2</v>
      </c>
      <c r="G9219">
        <v>0</v>
      </c>
      <c r="H9219">
        <v>7.4871999999999996</v>
      </c>
      <c r="U9219">
        <v>7.4871999999999996</v>
      </c>
    </row>
    <row r="9220" spans="1:21" x14ac:dyDescent="0.35">
      <c r="A9220" t="s">
        <v>419</v>
      </c>
      <c r="B9220" t="s">
        <v>1811</v>
      </c>
      <c r="C9220" t="s">
        <v>55</v>
      </c>
      <c r="D9220" t="s">
        <v>1453</v>
      </c>
      <c r="E9220">
        <v>44.688000000000002</v>
      </c>
      <c r="F9220">
        <v>7</v>
      </c>
      <c r="G9220">
        <v>0.2</v>
      </c>
      <c r="H9220">
        <v>3.3515999999999999</v>
      </c>
      <c r="U9220">
        <v>3.3515999999999999</v>
      </c>
    </row>
    <row r="9221" spans="1:21" x14ac:dyDescent="0.35">
      <c r="A9221" t="s">
        <v>419</v>
      </c>
      <c r="B9221" t="s">
        <v>1811</v>
      </c>
      <c r="C9221" t="s">
        <v>55</v>
      </c>
      <c r="D9221" t="s">
        <v>2104</v>
      </c>
      <c r="E9221">
        <v>301.47000000000003</v>
      </c>
      <c r="F9221">
        <v>3</v>
      </c>
      <c r="G9221">
        <v>0.5</v>
      </c>
      <c r="H9221">
        <v>-204.99959999999999</v>
      </c>
      <c r="U9221">
        <v>-204.99959999999999</v>
      </c>
    </row>
    <row r="9222" spans="1:21" x14ac:dyDescent="0.35">
      <c r="A9222" t="s">
        <v>497</v>
      </c>
      <c r="B9222" t="s">
        <v>2235</v>
      </c>
      <c r="C9222" t="s">
        <v>8</v>
      </c>
      <c r="D9222" t="s">
        <v>1968</v>
      </c>
      <c r="E9222">
        <v>11.07</v>
      </c>
      <c r="F9222">
        <v>3</v>
      </c>
      <c r="G9222">
        <v>0</v>
      </c>
      <c r="H9222">
        <v>5.2028999999999996</v>
      </c>
      <c r="U9222">
        <v>5.2028999999999996</v>
      </c>
    </row>
    <row r="9223" spans="1:21" x14ac:dyDescent="0.35">
      <c r="A9223" t="s">
        <v>497</v>
      </c>
      <c r="B9223" t="s">
        <v>2235</v>
      </c>
      <c r="C9223" t="s">
        <v>8</v>
      </c>
      <c r="D9223" t="s">
        <v>433</v>
      </c>
      <c r="E9223">
        <v>1504.52</v>
      </c>
      <c r="F9223">
        <v>4</v>
      </c>
      <c r="G9223">
        <v>0</v>
      </c>
      <c r="H9223">
        <v>346.03960000000001</v>
      </c>
      <c r="U9223">
        <v>346.03960000000001</v>
      </c>
    </row>
    <row r="9224" spans="1:21" x14ac:dyDescent="0.35">
      <c r="A9224" t="s">
        <v>497</v>
      </c>
      <c r="B9224" t="s">
        <v>2235</v>
      </c>
      <c r="C9224" t="s">
        <v>8</v>
      </c>
      <c r="D9224" t="s">
        <v>1807</v>
      </c>
      <c r="E9224">
        <v>25.92</v>
      </c>
      <c r="F9224">
        <v>4</v>
      </c>
      <c r="G9224">
        <v>0</v>
      </c>
      <c r="H9224">
        <v>12.441599999999999</v>
      </c>
      <c r="U9224">
        <v>12.441599999999999</v>
      </c>
    </row>
    <row r="9225" spans="1:21" x14ac:dyDescent="0.35">
      <c r="A9225" s="1">
        <v>42836</v>
      </c>
      <c r="B9225" t="s">
        <v>360</v>
      </c>
      <c r="C9225" t="s">
        <v>35</v>
      </c>
      <c r="D9225" t="s">
        <v>2161</v>
      </c>
      <c r="E9225">
        <v>7.5359999999999996</v>
      </c>
      <c r="F9225">
        <v>6</v>
      </c>
      <c r="G9225">
        <v>0.8</v>
      </c>
      <c r="H9225">
        <v>-13.188000000000001</v>
      </c>
      <c r="U9225">
        <v>-13.188000000000001</v>
      </c>
    </row>
    <row r="9226" spans="1:21" x14ac:dyDescent="0.35">
      <c r="A9226" s="1">
        <v>42836</v>
      </c>
      <c r="B9226" t="s">
        <v>360</v>
      </c>
      <c r="C9226" t="s">
        <v>35</v>
      </c>
      <c r="D9226" t="s">
        <v>1164</v>
      </c>
      <c r="E9226">
        <v>1.4079999999999999</v>
      </c>
      <c r="F9226">
        <v>2</v>
      </c>
      <c r="G9226">
        <v>0.8</v>
      </c>
      <c r="H9226">
        <v>-2.3231999999999999</v>
      </c>
      <c r="U9226">
        <v>-2.3231999999999999</v>
      </c>
    </row>
    <row r="9227" spans="1:21" x14ac:dyDescent="0.35">
      <c r="A9227" s="1">
        <v>42836</v>
      </c>
      <c r="B9227" t="s">
        <v>360</v>
      </c>
      <c r="C9227" t="s">
        <v>35</v>
      </c>
      <c r="D9227" t="s">
        <v>2322</v>
      </c>
      <c r="E9227">
        <v>4.1440000000000001</v>
      </c>
      <c r="F9227">
        <v>4</v>
      </c>
      <c r="G9227">
        <v>0.8</v>
      </c>
      <c r="H9227">
        <v>-6.4231999999999996</v>
      </c>
      <c r="U9227">
        <v>-6.4231999999999996</v>
      </c>
    </row>
    <row r="9228" spans="1:21" x14ac:dyDescent="0.35">
      <c r="A9228" s="1">
        <v>42836</v>
      </c>
      <c r="B9228" t="s">
        <v>360</v>
      </c>
      <c r="C9228" t="s">
        <v>35</v>
      </c>
      <c r="D9228" t="s">
        <v>423</v>
      </c>
      <c r="E9228">
        <v>52.752000000000002</v>
      </c>
      <c r="F9228">
        <v>3</v>
      </c>
      <c r="G9228">
        <v>0.2</v>
      </c>
      <c r="H9228">
        <v>-12.528600000000001</v>
      </c>
      <c r="U9228">
        <v>-12.528600000000001</v>
      </c>
    </row>
    <row r="9229" spans="1:21" x14ac:dyDescent="0.35">
      <c r="A9229" t="s">
        <v>1661</v>
      </c>
      <c r="B9229" t="s">
        <v>1562</v>
      </c>
      <c r="C9229" t="s">
        <v>13</v>
      </c>
      <c r="D9229" t="s">
        <v>2079</v>
      </c>
      <c r="E9229">
        <v>381.36</v>
      </c>
      <c r="F9229">
        <v>7</v>
      </c>
      <c r="G9229">
        <v>0</v>
      </c>
      <c r="H9229">
        <v>106.7808</v>
      </c>
      <c r="U9229">
        <v>106.7808</v>
      </c>
    </row>
    <row r="9230" spans="1:21" x14ac:dyDescent="0.35">
      <c r="A9230" s="1">
        <v>41709</v>
      </c>
      <c r="B9230" t="s">
        <v>1547</v>
      </c>
      <c r="C9230" t="s">
        <v>13</v>
      </c>
      <c r="D9230" t="s">
        <v>128</v>
      </c>
      <c r="E9230">
        <v>6.72</v>
      </c>
      <c r="F9230">
        <v>4</v>
      </c>
      <c r="G9230">
        <v>0</v>
      </c>
      <c r="H9230">
        <v>3.36</v>
      </c>
      <c r="U9230">
        <v>3.36</v>
      </c>
    </row>
    <row r="9231" spans="1:21" x14ac:dyDescent="0.35">
      <c r="A9231" t="s">
        <v>1099</v>
      </c>
      <c r="B9231" t="s">
        <v>64</v>
      </c>
      <c r="C9231" t="s">
        <v>13</v>
      </c>
      <c r="D9231" t="s">
        <v>1450</v>
      </c>
      <c r="E9231">
        <v>15.192</v>
      </c>
      <c r="F9231">
        <v>3</v>
      </c>
      <c r="G9231">
        <v>0.2</v>
      </c>
      <c r="H9231">
        <v>5.5071000000000003</v>
      </c>
      <c r="U9231">
        <v>5.5071000000000003</v>
      </c>
    </row>
    <row r="9232" spans="1:21" x14ac:dyDescent="0.35">
      <c r="A9232" t="s">
        <v>1099</v>
      </c>
      <c r="B9232" t="s">
        <v>64</v>
      </c>
      <c r="C9232" t="s">
        <v>13</v>
      </c>
      <c r="D9232" t="s">
        <v>1761</v>
      </c>
      <c r="E9232">
        <v>58.32</v>
      </c>
      <c r="F9232">
        <v>9</v>
      </c>
      <c r="G9232">
        <v>0</v>
      </c>
      <c r="H9232">
        <v>27.993600000000001</v>
      </c>
      <c r="U9232">
        <v>27.993600000000001</v>
      </c>
    </row>
    <row r="9233" spans="1:21" x14ac:dyDescent="0.35">
      <c r="A9233" t="s">
        <v>1458</v>
      </c>
      <c r="B9233" t="s">
        <v>1020</v>
      </c>
      <c r="C9233" t="s">
        <v>13</v>
      </c>
      <c r="D9233" t="s">
        <v>241</v>
      </c>
      <c r="E9233">
        <v>946.76400000000001</v>
      </c>
      <c r="F9233">
        <v>6</v>
      </c>
      <c r="G9233">
        <v>0.7</v>
      </c>
      <c r="H9233">
        <v>-694.29359999999997</v>
      </c>
      <c r="U9233">
        <v>-694.29359999999997</v>
      </c>
    </row>
    <row r="9234" spans="1:21" x14ac:dyDescent="0.35">
      <c r="A9234" s="1">
        <v>42409</v>
      </c>
      <c r="B9234" t="s">
        <v>941</v>
      </c>
      <c r="C9234" t="s">
        <v>13</v>
      </c>
      <c r="D9234" t="s">
        <v>1880</v>
      </c>
      <c r="E9234">
        <v>94.68</v>
      </c>
      <c r="F9234">
        <v>9</v>
      </c>
      <c r="G9234">
        <v>0</v>
      </c>
      <c r="H9234">
        <v>31.244399999999999</v>
      </c>
      <c r="U9234">
        <v>31.244399999999999</v>
      </c>
    </row>
    <row r="9235" spans="1:21" x14ac:dyDescent="0.35">
      <c r="A9235" s="1">
        <v>42409</v>
      </c>
      <c r="B9235" t="s">
        <v>941</v>
      </c>
      <c r="C9235" t="s">
        <v>13</v>
      </c>
      <c r="D9235" t="s">
        <v>2399</v>
      </c>
      <c r="E9235">
        <v>23.67</v>
      </c>
      <c r="F9235">
        <v>3</v>
      </c>
      <c r="G9235">
        <v>0</v>
      </c>
      <c r="H9235">
        <v>0.94679999999999997</v>
      </c>
      <c r="U9235">
        <v>0.94679999999999997</v>
      </c>
    </row>
    <row r="9236" spans="1:21" x14ac:dyDescent="0.35">
      <c r="A9236" s="1">
        <v>42409</v>
      </c>
      <c r="B9236" t="s">
        <v>941</v>
      </c>
      <c r="C9236" t="s">
        <v>13</v>
      </c>
      <c r="D9236" t="s">
        <v>1133</v>
      </c>
      <c r="E9236">
        <v>1091.1679999999999</v>
      </c>
      <c r="F9236">
        <v>4</v>
      </c>
      <c r="G9236">
        <v>0.2</v>
      </c>
      <c r="H9236">
        <v>68.197999999999993</v>
      </c>
      <c r="U9236">
        <v>68.197999999999993</v>
      </c>
    </row>
    <row r="9237" spans="1:21" x14ac:dyDescent="0.35">
      <c r="A9237" s="1">
        <v>42409</v>
      </c>
      <c r="B9237" t="s">
        <v>941</v>
      </c>
      <c r="C9237" t="s">
        <v>13</v>
      </c>
      <c r="D9237" t="s">
        <v>1823</v>
      </c>
      <c r="E9237">
        <v>18.690000000000001</v>
      </c>
      <c r="F9237">
        <v>7</v>
      </c>
      <c r="G9237">
        <v>0</v>
      </c>
      <c r="H9237">
        <v>5.2332000000000001</v>
      </c>
      <c r="U9237">
        <v>5.2332000000000001</v>
      </c>
    </row>
    <row r="9238" spans="1:21" x14ac:dyDescent="0.35">
      <c r="A9238" s="1">
        <v>42409</v>
      </c>
      <c r="B9238" t="s">
        <v>941</v>
      </c>
      <c r="C9238" t="s">
        <v>13</v>
      </c>
      <c r="D9238" t="s">
        <v>25</v>
      </c>
      <c r="E9238">
        <v>568.72799999999995</v>
      </c>
      <c r="F9238">
        <v>3</v>
      </c>
      <c r="G9238">
        <v>0.2</v>
      </c>
      <c r="H9238">
        <v>28.436399999999999</v>
      </c>
      <c r="U9238">
        <v>28.436399999999999</v>
      </c>
    </row>
    <row r="9239" spans="1:21" x14ac:dyDescent="0.35">
      <c r="A9239" s="1">
        <v>42409</v>
      </c>
      <c r="B9239" t="s">
        <v>941</v>
      </c>
      <c r="C9239" t="s">
        <v>13</v>
      </c>
      <c r="D9239" t="s">
        <v>2085</v>
      </c>
      <c r="E9239">
        <v>7.3120000000000003</v>
      </c>
      <c r="F9239">
        <v>1</v>
      </c>
      <c r="G9239">
        <v>0.2</v>
      </c>
      <c r="H9239">
        <v>2.5592000000000001</v>
      </c>
      <c r="U9239">
        <v>2.5592000000000001</v>
      </c>
    </row>
    <row r="9240" spans="1:21" x14ac:dyDescent="0.35">
      <c r="A9240" s="1">
        <v>43041</v>
      </c>
      <c r="B9240" t="s">
        <v>1970</v>
      </c>
      <c r="C9240" t="s">
        <v>55</v>
      </c>
      <c r="D9240" t="s">
        <v>1282</v>
      </c>
      <c r="E9240">
        <v>147.56800000000001</v>
      </c>
      <c r="F9240">
        <v>2</v>
      </c>
      <c r="G9240">
        <v>0.2</v>
      </c>
      <c r="H9240">
        <v>-3.6892</v>
      </c>
      <c r="U9240">
        <v>-3.6892</v>
      </c>
    </row>
    <row r="9241" spans="1:21" x14ac:dyDescent="0.35">
      <c r="A9241" t="s">
        <v>1513</v>
      </c>
      <c r="B9241" t="s">
        <v>950</v>
      </c>
      <c r="C9241" t="s">
        <v>8</v>
      </c>
      <c r="D9241" t="s">
        <v>75</v>
      </c>
      <c r="E9241">
        <v>56.783999999999999</v>
      </c>
      <c r="F9241">
        <v>7</v>
      </c>
      <c r="G9241">
        <v>0.2</v>
      </c>
      <c r="H9241">
        <v>20.584199999999999</v>
      </c>
      <c r="U9241">
        <v>20.584199999999999</v>
      </c>
    </row>
    <row r="9242" spans="1:21" x14ac:dyDescent="0.35">
      <c r="A9242" t="s">
        <v>1513</v>
      </c>
      <c r="B9242" t="s">
        <v>950</v>
      </c>
      <c r="C9242" t="s">
        <v>8</v>
      </c>
      <c r="D9242" t="s">
        <v>1375</v>
      </c>
      <c r="E9242">
        <v>5.6070000000000002</v>
      </c>
      <c r="F9242">
        <v>3</v>
      </c>
      <c r="G9242">
        <v>0.7</v>
      </c>
      <c r="H9242">
        <v>-3.9249000000000001</v>
      </c>
      <c r="U9242">
        <v>-3.9249000000000001</v>
      </c>
    </row>
    <row r="9243" spans="1:21" x14ac:dyDescent="0.35">
      <c r="A9243" t="s">
        <v>1513</v>
      </c>
      <c r="B9243" t="s">
        <v>950</v>
      </c>
      <c r="C9243" t="s">
        <v>8</v>
      </c>
      <c r="D9243" t="s">
        <v>846</v>
      </c>
      <c r="E9243">
        <v>6.5759999999999996</v>
      </c>
      <c r="F9243">
        <v>3</v>
      </c>
      <c r="G9243">
        <v>0.2</v>
      </c>
      <c r="H9243">
        <v>0.57540000000000002</v>
      </c>
      <c r="U9243">
        <v>0.57540000000000002</v>
      </c>
    </row>
    <row r="9244" spans="1:21" x14ac:dyDescent="0.35">
      <c r="A9244" s="1">
        <v>41889</v>
      </c>
      <c r="B9244" t="s">
        <v>1081</v>
      </c>
      <c r="C9244" t="s">
        <v>13</v>
      </c>
      <c r="D9244" t="s">
        <v>207</v>
      </c>
      <c r="E9244">
        <v>14.304</v>
      </c>
      <c r="F9244">
        <v>6</v>
      </c>
      <c r="G9244">
        <v>0.2</v>
      </c>
      <c r="H9244">
        <v>4.6487999999999996</v>
      </c>
      <c r="U9244">
        <v>4.6487999999999996</v>
      </c>
    </row>
    <row r="9245" spans="1:21" x14ac:dyDescent="0.35">
      <c r="A9245" s="1">
        <v>41889</v>
      </c>
      <c r="B9245" t="s">
        <v>1081</v>
      </c>
      <c r="C9245" t="s">
        <v>13</v>
      </c>
      <c r="D9245" t="s">
        <v>2454</v>
      </c>
      <c r="E9245">
        <v>119.833</v>
      </c>
      <c r="F9245">
        <v>1</v>
      </c>
      <c r="G9245">
        <v>0.15</v>
      </c>
      <c r="H9245">
        <v>7.0490000000000004</v>
      </c>
      <c r="U9245">
        <v>7.0490000000000004</v>
      </c>
    </row>
    <row r="9246" spans="1:21" x14ac:dyDescent="0.35">
      <c r="A9246" s="1">
        <v>41889</v>
      </c>
      <c r="B9246" t="s">
        <v>1081</v>
      </c>
      <c r="C9246" t="s">
        <v>13</v>
      </c>
      <c r="D9246" t="s">
        <v>1743</v>
      </c>
      <c r="E9246">
        <v>5.56</v>
      </c>
      <c r="F9246">
        <v>2</v>
      </c>
      <c r="G9246">
        <v>0</v>
      </c>
      <c r="H9246">
        <v>2.2240000000000002</v>
      </c>
      <c r="U9246">
        <v>2.2240000000000002</v>
      </c>
    </row>
    <row r="9247" spans="1:21" x14ac:dyDescent="0.35">
      <c r="A9247" s="1">
        <v>41889</v>
      </c>
      <c r="B9247" t="s">
        <v>1081</v>
      </c>
      <c r="C9247" t="s">
        <v>13</v>
      </c>
      <c r="D9247" t="s">
        <v>30</v>
      </c>
      <c r="E9247">
        <v>32.4</v>
      </c>
      <c r="F9247">
        <v>5</v>
      </c>
      <c r="G9247">
        <v>0</v>
      </c>
      <c r="H9247">
        <v>15.552</v>
      </c>
      <c r="U9247">
        <v>15.552</v>
      </c>
    </row>
    <row r="9248" spans="1:21" x14ac:dyDescent="0.35">
      <c r="A9248" t="s">
        <v>2245</v>
      </c>
      <c r="B9248" t="s">
        <v>2249</v>
      </c>
      <c r="C9248" t="s">
        <v>13</v>
      </c>
      <c r="D9248" t="s">
        <v>537</v>
      </c>
      <c r="E9248">
        <v>9.84</v>
      </c>
      <c r="F9248">
        <v>3</v>
      </c>
      <c r="G9248">
        <v>0</v>
      </c>
      <c r="H9248">
        <v>2.8536000000000001</v>
      </c>
      <c r="U9248">
        <v>2.8536000000000001</v>
      </c>
    </row>
    <row r="9249" spans="1:21" x14ac:dyDescent="0.35">
      <c r="A9249" t="s">
        <v>2245</v>
      </c>
      <c r="B9249" t="s">
        <v>2249</v>
      </c>
      <c r="C9249" t="s">
        <v>13</v>
      </c>
      <c r="D9249" t="s">
        <v>618</v>
      </c>
      <c r="E9249">
        <v>2.78</v>
      </c>
      <c r="F9249">
        <v>1</v>
      </c>
      <c r="G9249">
        <v>0</v>
      </c>
      <c r="H9249">
        <v>0.7228</v>
      </c>
      <c r="U9249">
        <v>0.7228</v>
      </c>
    </row>
    <row r="9250" spans="1:21" x14ac:dyDescent="0.35">
      <c r="A9250" s="1">
        <v>42654</v>
      </c>
      <c r="B9250" t="s">
        <v>1285</v>
      </c>
      <c r="C9250" t="s">
        <v>55</v>
      </c>
      <c r="D9250" t="s">
        <v>492</v>
      </c>
      <c r="E9250">
        <v>3.64</v>
      </c>
      <c r="F9250">
        <v>1</v>
      </c>
      <c r="G9250">
        <v>0.2</v>
      </c>
      <c r="H9250">
        <v>1.365</v>
      </c>
      <c r="U9250">
        <v>1.365</v>
      </c>
    </row>
    <row r="9251" spans="1:21" x14ac:dyDescent="0.35">
      <c r="A9251" s="1">
        <v>42654</v>
      </c>
      <c r="B9251" t="s">
        <v>1285</v>
      </c>
      <c r="C9251" t="s">
        <v>55</v>
      </c>
      <c r="D9251" t="s">
        <v>2218</v>
      </c>
      <c r="E9251">
        <v>881.93</v>
      </c>
      <c r="F9251">
        <v>7</v>
      </c>
      <c r="G9251">
        <v>0</v>
      </c>
      <c r="H9251">
        <v>220.48249999999999</v>
      </c>
      <c r="U9251">
        <v>220.48249999999999</v>
      </c>
    </row>
    <row r="9252" spans="1:21" x14ac:dyDescent="0.35">
      <c r="A9252" s="1">
        <v>42412</v>
      </c>
      <c r="B9252" t="s">
        <v>1634</v>
      </c>
      <c r="C9252" t="s">
        <v>35</v>
      </c>
      <c r="D9252" t="s">
        <v>914</v>
      </c>
      <c r="E9252">
        <v>115.84</v>
      </c>
      <c r="F9252">
        <v>8</v>
      </c>
      <c r="G9252">
        <v>0</v>
      </c>
      <c r="H9252">
        <v>54.444800000000001</v>
      </c>
      <c r="U9252">
        <v>54.444800000000001</v>
      </c>
    </row>
    <row r="9253" spans="1:21" x14ac:dyDescent="0.35">
      <c r="A9253" s="1">
        <v>42769</v>
      </c>
      <c r="B9253" t="s">
        <v>2153</v>
      </c>
      <c r="C9253" t="s">
        <v>13</v>
      </c>
      <c r="D9253" t="s">
        <v>1765</v>
      </c>
      <c r="E9253">
        <v>107.648</v>
      </c>
      <c r="F9253">
        <v>2</v>
      </c>
      <c r="G9253">
        <v>0.2</v>
      </c>
      <c r="H9253">
        <v>33.64</v>
      </c>
      <c r="U9253">
        <v>33.64</v>
      </c>
    </row>
    <row r="9254" spans="1:21" x14ac:dyDescent="0.35">
      <c r="A9254" t="s">
        <v>94</v>
      </c>
      <c r="B9254" t="s">
        <v>2631</v>
      </c>
      <c r="C9254" t="s">
        <v>8</v>
      </c>
      <c r="D9254" t="s">
        <v>1953</v>
      </c>
      <c r="E9254">
        <v>199.95</v>
      </c>
      <c r="F9254">
        <v>5</v>
      </c>
      <c r="G9254">
        <v>0</v>
      </c>
      <c r="H9254">
        <v>63.984000000000002</v>
      </c>
      <c r="U9254">
        <v>63.984000000000002</v>
      </c>
    </row>
    <row r="9255" spans="1:21" x14ac:dyDescent="0.35">
      <c r="A9255" t="s">
        <v>94</v>
      </c>
      <c r="B9255" t="s">
        <v>2631</v>
      </c>
      <c r="C9255" t="s">
        <v>8</v>
      </c>
      <c r="D9255" t="s">
        <v>936</v>
      </c>
      <c r="E9255">
        <v>12.96</v>
      </c>
      <c r="F9255">
        <v>2</v>
      </c>
      <c r="G9255">
        <v>0</v>
      </c>
      <c r="H9255">
        <v>6.2207999999999997</v>
      </c>
      <c r="U9255">
        <v>6.2207999999999997</v>
      </c>
    </row>
    <row r="9256" spans="1:21" x14ac:dyDescent="0.35">
      <c r="A9256" s="1">
        <v>41945</v>
      </c>
      <c r="B9256" t="s">
        <v>1195</v>
      </c>
      <c r="C9256" t="s">
        <v>35</v>
      </c>
      <c r="D9256" t="s">
        <v>138</v>
      </c>
      <c r="E9256">
        <v>60.89</v>
      </c>
      <c r="F9256">
        <v>1</v>
      </c>
      <c r="G9256">
        <v>0</v>
      </c>
      <c r="H9256">
        <v>15.2225</v>
      </c>
      <c r="U9256">
        <v>15.2225</v>
      </c>
    </row>
    <row r="9257" spans="1:21" x14ac:dyDescent="0.35">
      <c r="A9257" s="1">
        <v>41945</v>
      </c>
      <c r="B9257" t="s">
        <v>1195</v>
      </c>
      <c r="C9257" t="s">
        <v>35</v>
      </c>
      <c r="D9257" t="s">
        <v>1213</v>
      </c>
      <c r="E9257">
        <v>14.94</v>
      </c>
      <c r="F9257">
        <v>3</v>
      </c>
      <c r="G9257">
        <v>0</v>
      </c>
      <c r="H9257">
        <v>6.8723999999999998</v>
      </c>
      <c r="U9257">
        <v>6.8723999999999998</v>
      </c>
    </row>
    <row r="9258" spans="1:21" x14ac:dyDescent="0.35">
      <c r="A9258" s="1">
        <v>41945</v>
      </c>
      <c r="B9258" t="s">
        <v>1195</v>
      </c>
      <c r="C9258" t="s">
        <v>35</v>
      </c>
      <c r="D9258" t="s">
        <v>988</v>
      </c>
      <c r="E9258">
        <v>9.64</v>
      </c>
      <c r="F9258">
        <v>2</v>
      </c>
      <c r="G9258">
        <v>0</v>
      </c>
      <c r="H9258">
        <v>4.4344000000000001</v>
      </c>
      <c r="U9258">
        <v>4.4344000000000001</v>
      </c>
    </row>
    <row r="9259" spans="1:21" x14ac:dyDescent="0.35">
      <c r="A9259" s="1">
        <v>41945</v>
      </c>
      <c r="B9259" t="s">
        <v>1195</v>
      </c>
      <c r="C9259" t="s">
        <v>35</v>
      </c>
      <c r="D9259" t="s">
        <v>2089</v>
      </c>
      <c r="E9259">
        <v>332.94</v>
      </c>
      <c r="F9259">
        <v>3</v>
      </c>
      <c r="G9259">
        <v>0</v>
      </c>
      <c r="H9259">
        <v>53.270400000000002</v>
      </c>
      <c r="U9259">
        <v>53.270400000000002</v>
      </c>
    </row>
    <row r="9260" spans="1:21" x14ac:dyDescent="0.35">
      <c r="A9260" s="1">
        <v>41945</v>
      </c>
      <c r="B9260" t="s">
        <v>1195</v>
      </c>
      <c r="C9260" t="s">
        <v>35</v>
      </c>
      <c r="D9260" t="s">
        <v>2280</v>
      </c>
      <c r="E9260">
        <v>51.9</v>
      </c>
      <c r="F9260">
        <v>3</v>
      </c>
      <c r="G9260">
        <v>0</v>
      </c>
      <c r="H9260">
        <v>24.393000000000001</v>
      </c>
      <c r="U9260">
        <v>24.393000000000001</v>
      </c>
    </row>
    <row r="9261" spans="1:21" x14ac:dyDescent="0.35">
      <c r="A9261" s="1">
        <v>41945</v>
      </c>
      <c r="B9261" t="s">
        <v>1195</v>
      </c>
      <c r="C9261" t="s">
        <v>35</v>
      </c>
      <c r="D9261" t="s">
        <v>1035</v>
      </c>
      <c r="E9261">
        <v>64.959999999999994</v>
      </c>
      <c r="F9261">
        <v>2</v>
      </c>
      <c r="G9261">
        <v>0</v>
      </c>
      <c r="H9261">
        <v>2.5983999999999998</v>
      </c>
      <c r="U9261">
        <v>2.5983999999999998</v>
      </c>
    </row>
    <row r="9262" spans="1:21" x14ac:dyDescent="0.35">
      <c r="A9262" s="1">
        <v>43050</v>
      </c>
      <c r="B9262" t="s">
        <v>606</v>
      </c>
      <c r="C9262" t="s">
        <v>35</v>
      </c>
      <c r="D9262" t="s">
        <v>2637</v>
      </c>
      <c r="E9262">
        <v>25.5</v>
      </c>
      <c r="F9262">
        <v>3</v>
      </c>
      <c r="G9262">
        <v>0</v>
      </c>
      <c r="H9262">
        <v>6.63</v>
      </c>
      <c r="U9262">
        <v>6.63</v>
      </c>
    </row>
    <row r="9263" spans="1:21" x14ac:dyDescent="0.35">
      <c r="A9263" s="1">
        <v>42775</v>
      </c>
      <c r="B9263" t="s">
        <v>2390</v>
      </c>
      <c r="C9263" t="s">
        <v>13</v>
      </c>
      <c r="D9263" t="s">
        <v>115</v>
      </c>
      <c r="E9263">
        <v>215.976</v>
      </c>
      <c r="F9263">
        <v>3</v>
      </c>
      <c r="G9263">
        <v>0.2</v>
      </c>
      <c r="H9263">
        <v>-2.6997</v>
      </c>
      <c r="U9263">
        <v>-2.6997</v>
      </c>
    </row>
    <row r="9264" spans="1:21" x14ac:dyDescent="0.35">
      <c r="A9264" s="1">
        <v>42257</v>
      </c>
      <c r="B9264" t="s">
        <v>975</v>
      </c>
      <c r="C9264" t="s">
        <v>35</v>
      </c>
      <c r="D9264" t="s">
        <v>153</v>
      </c>
      <c r="E9264">
        <v>389.97</v>
      </c>
      <c r="F9264">
        <v>3</v>
      </c>
      <c r="G9264">
        <v>0</v>
      </c>
      <c r="H9264">
        <v>35.097299999999997</v>
      </c>
      <c r="U9264">
        <v>35.097299999999997</v>
      </c>
    </row>
    <row r="9265" spans="1:21" x14ac:dyDescent="0.35">
      <c r="A9265" s="1">
        <v>42257</v>
      </c>
      <c r="B9265" t="s">
        <v>975</v>
      </c>
      <c r="C9265" t="s">
        <v>35</v>
      </c>
      <c r="D9265" t="s">
        <v>1395</v>
      </c>
      <c r="E9265">
        <v>269.91000000000003</v>
      </c>
      <c r="F9265">
        <v>5</v>
      </c>
      <c r="G9265">
        <v>0.1</v>
      </c>
      <c r="H9265">
        <v>53.981999999999999</v>
      </c>
      <c r="U9265">
        <v>53.981999999999999</v>
      </c>
    </row>
    <row r="9266" spans="1:21" x14ac:dyDescent="0.35">
      <c r="A9266" t="s">
        <v>895</v>
      </c>
      <c r="B9266" t="s">
        <v>839</v>
      </c>
      <c r="C9266" t="s">
        <v>8</v>
      </c>
      <c r="D9266" t="s">
        <v>2497</v>
      </c>
      <c r="E9266">
        <v>11.673</v>
      </c>
      <c r="F9266">
        <v>3</v>
      </c>
      <c r="G9266">
        <v>0.7</v>
      </c>
      <c r="H9266">
        <v>-7.782</v>
      </c>
      <c r="U9266">
        <v>-7.782</v>
      </c>
    </row>
    <row r="9267" spans="1:21" x14ac:dyDescent="0.35">
      <c r="A9267" t="s">
        <v>895</v>
      </c>
      <c r="B9267" t="s">
        <v>839</v>
      </c>
      <c r="C9267" t="s">
        <v>8</v>
      </c>
      <c r="D9267" t="s">
        <v>2585</v>
      </c>
      <c r="E9267">
        <v>64.847999999999999</v>
      </c>
      <c r="F9267">
        <v>7</v>
      </c>
      <c r="G9267">
        <v>0.2</v>
      </c>
      <c r="H9267">
        <v>24.318000000000001</v>
      </c>
      <c r="U9267">
        <v>24.318000000000001</v>
      </c>
    </row>
    <row r="9268" spans="1:21" x14ac:dyDescent="0.35">
      <c r="A9268" s="1">
        <v>41853</v>
      </c>
      <c r="B9268" t="s">
        <v>558</v>
      </c>
      <c r="C9268" t="s">
        <v>13</v>
      </c>
      <c r="D9268" t="s">
        <v>2530</v>
      </c>
      <c r="E9268">
        <v>14.56</v>
      </c>
      <c r="F9268">
        <v>2</v>
      </c>
      <c r="G9268">
        <v>0</v>
      </c>
      <c r="H9268">
        <v>5.5327999999999999</v>
      </c>
      <c r="U9268">
        <v>5.5327999999999999</v>
      </c>
    </row>
    <row r="9269" spans="1:21" x14ac:dyDescent="0.35">
      <c r="A9269" t="s">
        <v>57</v>
      </c>
      <c r="B9269" t="s">
        <v>925</v>
      </c>
      <c r="C9269" t="s">
        <v>55</v>
      </c>
      <c r="D9269" t="s">
        <v>2620</v>
      </c>
      <c r="E9269">
        <v>102.58199999999999</v>
      </c>
      <c r="F9269">
        <v>1</v>
      </c>
      <c r="G9269">
        <v>0.1</v>
      </c>
      <c r="H9269">
        <v>6.8388</v>
      </c>
      <c r="U9269">
        <v>6.8388</v>
      </c>
    </row>
    <row r="9270" spans="1:21" x14ac:dyDescent="0.35">
      <c r="A9270" t="s">
        <v>57</v>
      </c>
      <c r="B9270" t="s">
        <v>925</v>
      </c>
      <c r="C9270" t="s">
        <v>55</v>
      </c>
      <c r="D9270" t="s">
        <v>1249</v>
      </c>
      <c r="E9270">
        <v>20.04</v>
      </c>
      <c r="F9270">
        <v>3</v>
      </c>
      <c r="G9270">
        <v>0</v>
      </c>
      <c r="H9270">
        <v>9.6191999999999993</v>
      </c>
      <c r="U9270">
        <v>9.6191999999999993</v>
      </c>
    </row>
    <row r="9271" spans="1:21" x14ac:dyDescent="0.35">
      <c r="A9271" t="s">
        <v>717</v>
      </c>
      <c r="B9271" t="s">
        <v>39</v>
      </c>
      <c r="C9271" t="s">
        <v>55</v>
      </c>
      <c r="D9271" t="s">
        <v>2391</v>
      </c>
      <c r="E9271">
        <v>32.088000000000001</v>
      </c>
      <c r="F9271">
        <v>7</v>
      </c>
      <c r="G9271">
        <v>0.2</v>
      </c>
      <c r="H9271">
        <v>11.2308</v>
      </c>
      <c r="U9271">
        <v>11.2308</v>
      </c>
    </row>
    <row r="9272" spans="1:21" x14ac:dyDescent="0.35">
      <c r="A9272" t="s">
        <v>717</v>
      </c>
      <c r="B9272" t="s">
        <v>39</v>
      </c>
      <c r="C9272" t="s">
        <v>55</v>
      </c>
      <c r="D9272" t="s">
        <v>1886</v>
      </c>
      <c r="E9272">
        <v>4305.5519999999997</v>
      </c>
      <c r="F9272">
        <v>6</v>
      </c>
      <c r="G9272">
        <v>0.2</v>
      </c>
      <c r="H9272">
        <v>1453.1238000000001</v>
      </c>
      <c r="U9272">
        <v>1453.1238000000001</v>
      </c>
    </row>
    <row r="9273" spans="1:21" x14ac:dyDescent="0.35">
      <c r="A9273" s="1">
        <v>42709</v>
      </c>
      <c r="B9273" t="s">
        <v>1591</v>
      </c>
      <c r="C9273" t="s">
        <v>55</v>
      </c>
      <c r="D9273" t="s">
        <v>2368</v>
      </c>
      <c r="E9273">
        <v>10.02</v>
      </c>
      <c r="F9273">
        <v>3</v>
      </c>
      <c r="G9273">
        <v>0</v>
      </c>
      <c r="H9273">
        <v>4.4088000000000003</v>
      </c>
      <c r="U9273">
        <v>4.4088000000000003</v>
      </c>
    </row>
    <row r="9274" spans="1:21" x14ac:dyDescent="0.35">
      <c r="A9274" s="1">
        <v>42709</v>
      </c>
      <c r="B9274" t="s">
        <v>1591</v>
      </c>
      <c r="C9274" t="s">
        <v>55</v>
      </c>
      <c r="D9274" t="s">
        <v>2137</v>
      </c>
      <c r="E9274">
        <v>631.96</v>
      </c>
      <c r="F9274">
        <v>4</v>
      </c>
      <c r="G9274">
        <v>0</v>
      </c>
      <c r="H9274">
        <v>303.3408</v>
      </c>
      <c r="U9274">
        <v>303.3408</v>
      </c>
    </row>
    <row r="9275" spans="1:21" x14ac:dyDescent="0.35">
      <c r="A9275" s="1">
        <v>42775</v>
      </c>
      <c r="B9275" t="s">
        <v>473</v>
      </c>
      <c r="C9275" t="s">
        <v>8</v>
      </c>
      <c r="D9275" t="s">
        <v>241</v>
      </c>
      <c r="E9275">
        <v>1577.94</v>
      </c>
      <c r="F9275">
        <v>3</v>
      </c>
      <c r="G9275">
        <v>0</v>
      </c>
      <c r="H9275">
        <v>757.41120000000001</v>
      </c>
      <c r="U9275">
        <v>757.41120000000001</v>
      </c>
    </row>
    <row r="9276" spans="1:21" x14ac:dyDescent="0.35">
      <c r="A9276" s="1">
        <v>41922</v>
      </c>
      <c r="B9276" t="s">
        <v>2398</v>
      </c>
      <c r="C9276" t="s">
        <v>13</v>
      </c>
      <c r="D9276" t="s">
        <v>2712</v>
      </c>
      <c r="E9276">
        <v>255.85</v>
      </c>
      <c r="F9276">
        <v>7</v>
      </c>
      <c r="G9276">
        <v>0</v>
      </c>
      <c r="H9276">
        <v>112.574</v>
      </c>
      <c r="U9276">
        <v>112.574</v>
      </c>
    </row>
    <row r="9277" spans="1:21" x14ac:dyDescent="0.35">
      <c r="A9277" t="s">
        <v>1524</v>
      </c>
      <c r="B9277" t="s">
        <v>1566</v>
      </c>
      <c r="C9277" t="s">
        <v>8</v>
      </c>
      <c r="D9277" t="s">
        <v>2222</v>
      </c>
      <c r="E9277">
        <v>184.70400000000001</v>
      </c>
      <c r="F9277">
        <v>6</v>
      </c>
      <c r="G9277">
        <v>0.2</v>
      </c>
      <c r="H9277">
        <v>13.8528</v>
      </c>
      <c r="U9277">
        <v>13.8528</v>
      </c>
    </row>
    <row r="9278" spans="1:21" x14ac:dyDescent="0.35">
      <c r="A9278" t="s">
        <v>1524</v>
      </c>
      <c r="B9278" t="s">
        <v>1566</v>
      </c>
      <c r="C9278" t="s">
        <v>8</v>
      </c>
      <c r="D9278" t="s">
        <v>976</v>
      </c>
      <c r="E9278">
        <v>47.92</v>
      </c>
      <c r="F9278">
        <v>2</v>
      </c>
      <c r="G9278">
        <v>0.2</v>
      </c>
      <c r="H9278">
        <v>11.98</v>
      </c>
      <c r="U9278">
        <v>11.98</v>
      </c>
    </row>
    <row r="9279" spans="1:21" x14ac:dyDescent="0.35">
      <c r="A9279" s="1">
        <v>42747</v>
      </c>
      <c r="B9279" t="s">
        <v>996</v>
      </c>
      <c r="C9279" t="s">
        <v>55</v>
      </c>
      <c r="D9279" t="s">
        <v>1213</v>
      </c>
      <c r="E9279">
        <v>15.936</v>
      </c>
      <c r="F9279">
        <v>4</v>
      </c>
      <c r="G9279">
        <v>0.2</v>
      </c>
      <c r="H9279">
        <v>5.1791999999999998</v>
      </c>
      <c r="U9279">
        <v>5.1791999999999998</v>
      </c>
    </row>
    <row r="9280" spans="1:21" x14ac:dyDescent="0.35">
      <c r="A9280" s="1">
        <v>42747</v>
      </c>
      <c r="B9280" t="s">
        <v>996</v>
      </c>
      <c r="C9280" t="s">
        <v>55</v>
      </c>
      <c r="D9280" t="s">
        <v>1276</v>
      </c>
      <c r="E9280">
        <v>8.0009999999999994</v>
      </c>
      <c r="F9280">
        <v>7</v>
      </c>
      <c r="G9280">
        <v>0.7</v>
      </c>
      <c r="H9280">
        <v>-5.6006999999999998</v>
      </c>
      <c r="U9280">
        <v>-5.6006999999999998</v>
      </c>
    </row>
    <row r="9281" spans="1:21" x14ac:dyDescent="0.35">
      <c r="A9281" s="1">
        <v>42747</v>
      </c>
      <c r="B9281" t="s">
        <v>996</v>
      </c>
      <c r="C9281" t="s">
        <v>55</v>
      </c>
      <c r="D9281" t="s">
        <v>870</v>
      </c>
      <c r="E9281">
        <v>398.97199999999998</v>
      </c>
      <c r="F9281">
        <v>2</v>
      </c>
      <c r="G9281">
        <v>0.3</v>
      </c>
      <c r="H9281">
        <v>-28.498000000000001</v>
      </c>
      <c r="U9281">
        <v>-28.498000000000001</v>
      </c>
    </row>
    <row r="9282" spans="1:21" x14ac:dyDescent="0.35">
      <c r="A9282" t="s">
        <v>1263</v>
      </c>
      <c r="B9282" t="s">
        <v>2382</v>
      </c>
      <c r="C9282" t="s">
        <v>13</v>
      </c>
      <c r="D9282" t="s">
        <v>2487</v>
      </c>
      <c r="E9282">
        <v>163.88</v>
      </c>
      <c r="F9282">
        <v>2</v>
      </c>
      <c r="G9282">
        <v>0</v>
      </c>
      <c r="H9282">
        <v>40.97</v>
      </c>
      <c r="U9282">
        <v>40.97</v>
      </c>
    </row>
    <row r="9283" spans="1:21" x14ac:dyDescent="0.35">
      <c r="A9283" s="1">
        <v>43048</v>
      </c>
      <c r="B9283" t="s">
        <v>374</v>
      </c>
      <c r="C9283" t="s">
        <v>8</v>
      </c>
      <c r="D9283" t="s">
        <v>2701</v>
      </c>
      <c r="E9283">
        <v>67.900000000000006</v>
      </c>
      <c r="F9283">
        <v>5</v>
      </c>
      <c r="G9283">
        <v>0</v>
      </c>
      <c r="H9283">
        <v>20.37</v>
      </c>
      <c r="U9283">
        <v>20.37</v>
      </c>
    </row>
    <row r="9284" spans="1:21" x14ac:dyDescent="0.35">
      <c r="A9284" t="s">
        <v>1628</v>
      </c>
      <c r="B9284" t="s">
        <v>2345</v>
      </c>
      <c r="C9284" t="s">
        <v>8</v>
      </c>
      <c r="D9284" t="s">
        <v>2239</v>
      </c>
      <c r="E9284">
        <v>72.224000000000004</v>
      </c>
      <c r="F9284">
        <v>4</v>
      </c>
      <c r="G9284">
        <v>0.2</v>
      </c>
      <c r="H9284">
        <v>25.278400000000001</v>
      </c>
      <c r="U9284">
        <v>25.278400000000001</v>
      </c>
    </row>
    <row r="9285" spans="1:21" x14ac:dyDescent="0.35">
      <c r="A9285" s="1">
        <v>42775</v>
      </c>
      <c r="B9285" t="s">
        <v>1937</v>
      </c>
      <c r="C9285" t="s">
        <v>13</v>
      </c>
      <c r="D9285" t="s">
        <v>305</v>
      </c>
      <c r="E9285">
        <v>11.696</v>
      </c>
      <c r="F9285">
        <v>2</v>
      </c>
      <c r="G9285">
        <v>0.2</v>
      </c>
      <c r="H9285">
        <v>3.9474</v>
      </c>
      <c r="U9285">
        <v>3.9474</v>
      </c>
    </row>
    <row r="9286" spans="1:21" x14ac:dyDescent="0.35">
      <c r="A9286" t="s">
        <v>38</v>
      </c>
      <c r="B9286" t="s">
        <v>623</v>
      </c>
      <c r="C9286" t="s">
        <v>35</v>
      </c>
      <c r="D9286" t="s">
        <v>982</v>
      </c>
      <c r="E9286">
        <v>392.94</v>
      </c>
      <c r="F9286">
        <v>3</v>
      </c>
      <c r="G9286">
        <v>0</v>
      </c>
      <c r="H9286">
        <v>43.223399999999998</v>
      </c>
      <c r="U9286">
        <v>43.223399999999998</v>
      </c>
    </row>
    <row r="9287" spans="1:21" x14ac:dyDescent="0.35">
      <c r="A9287" t="s">
        <v>338</v>
      </c>
      <c r="B9287" t="s">
        <v>2000</v>
      </c>
      <c r="C9287" t="s">
        <v>8</v>
      </c>
      <c r="D9287" t="s">
        <v>416</v>
      </c>
      <c r="E9287">
        <v>18.175999999999998</v>
      </c>
      <c r="F9287">
        <v>1</v>
      </c>
      <c r="G9287">
        <v>0.2</v>
      </c>
      <c r="H9287">
        <v>4.7712000000000003</v>
      </c>
      <c r="U9287">
        <v>4.7712000000000003</v>
      </c>
    </row>
    <row r="9288" spans="1:21" x14ac:dyDescent="0.35">
      <c r="A9288" t="s">
        <v>597</v>
      </c>
      <c r="B9288" t="s">
        <v>1704</v>
      </c>
      <c r="C9288" t="s">
        <v>35</v>
      </c>
      <c r="D9288" t="s">
        <v>2227</v>
      </c>
      <c r="E9288">
        <v>6.8879999999999999</v>
      </c>
      <c r="F9288">
        <v>3</v>
      </c>
      <c r="G9288">
        <v>0.8</v>
      </c>
      <c r="H9288">
        <v>-11.020799999999999</v>
      </c>
      <c r="U9288">
        <v>-11.020799999999999</v>
      </c>
    </row>
    <row r="9289" spans="1:21" x14ac:dyDescent="0.35">
      <c r="A9289" t="s">
        <v>597</v>
      </c>
      <c r="B9289" t="s">
        <v>1704</v>
      </c>
      <c r="C9289" t="s">
        <v>35</v>
      </c>
      <c r="D9289" t="s">
        <v>1022</v>
      </c>
      <c r="E9289">
        <v>457.48500000000001</v>
      </c>
      <c r="F9289">
        <v>3</v>
      </c>
      <c r="G9289">
        <v>0.3</v>
      </c>
      <c r="H9289">
        <v>-84.961500000000001</v>
      </c>
      <c r="U9289">
        <v>-84.961500000000001</v>
      </c>
    </row>
    <row r="9290" spans="1:21" x14ac:dyDescent="0.35">
      <c r="A9290" t="s">
        <v>1224</v>
      </c>
      <c r="B9290" t="s">
        <v>1992</v>
      </c>
      <c r="C9290" t="s">
        <v>55</v>
      </c>
      <c r="D9290" t="s">
        <v>1903</v>
      </c>
      <c r="E9290">
        <v>1079.316</v>
      </c>
      <c r="F9290">
        <v>6</v>
      </c>
      <c r="G9290">
        <v>0.3</v>
      </c>
      <c r="H9290">
        <v>-15.418799999999999</v>
      </c>
      <c r="U9290">
        <v>-15.418799999999999</v>
      </c>
    </row>
    <row r="9291" spans="1:21" x14ac:dyDescent="0.35">
      <c r="A9291" t="s">
        <v>1638</v>
      </c>
      <c r="B9291" t="s">
        <v>558</v>
      </c>
      <c r="C9291" t="s">
        <v>13</v>
      </c>
      <c r="D9291" t="s">
        <v>1896</v>
      </c>
      <c r="E9291">
        <v>48.91</v>
      </c>
      <c r="F9291">
        <v>1</v>
      </c>
      <c r="G9291">
        <v>0</v>
      </c>
      <c r="H9291">
        <v>22.9877</v>
      </c>
      <c r="U9291">
        <v>22.9877</v>
      </c>
    </row>
    <row r="9292" spans="1:21" x14ac:dyDescent="0.35">
      <c r="A9292" t="s">
        <v>666</v>
      </c>
      <c r="B9292" t="s">
        <v>2149</v>
      </c>
      <c r="C9292" t="s">
        <v>55</v>
      </c>
      <c r="D9292" t="s">
        <v>1424</v>
      </c>
      <c r="E9292">
        <v>9.84</v>
      </c>
      <c r="F9292">
        <v>3</v>
      </c>
      <c r="G9292">
        <v>0</v>
      </c>
      <c r="H9292">
        <v>2.8536000000000001</v>
      </c>
      <c r="U9292">
        <v>2.8536000000000001</v>
      </c>
    </row>
    <row r="9293" spans="1:21" x14ac:dyDescent="0.35">
      <c r="A9293" t="s">
        <v>666</v>
      </c>
      <c r="B9293" t="s">
        <v>2149</v>
      </c>
      <c r="C9293" t="s">
        <v>55</v>
      </c>
      <c r="D9293" t="s">
        <v>1689</v>
      </c>
      <c r="E9293">
        <v>34.5</v>
      </c>
      <c r="F9293">
        <v>3</v>
      </c>
      <c r="G9293">
        <v>0</v>
      </c>
      <c r="H9293">
        <v>15.525</v>
      </c>
      <c r="U9293">
        <v>15.525</v>
      </c>
    </row>
    <row r="9294" spans="1:21" x14ac:dyDescent="0.35">
      <c r="A9294" s="1">
        <v>42769</v>
      </c>
      <c r="B9294" t="s">
        <v>1057</v>
      </c>
      <c r="C9294" t="s">
        <v>35</v>
      </c>
      <c r="D9294" t="s">
        <v>1308</v>
      </c>
      <c r="E9294">
        <v>0.55600000000000005</v>
      </c>
      <c r="F9294">
        <v>1</v>
      </c>
      <c r="G9294">
        <v>0.8</v>
      </c>
      <c r="H9294">
        <v>-0.94520000000000004</v>
      </c>
      <c r="U9294">
        <v>-0.94520000000000004</v>
      </c>
    </row>
    <row r="9295" spans="1:21" x14ac:dyDescent="0.35">
      <c r="A9295" t="s">
        <v>955</v>
      </c>
      <c r="B9295" t="s">
        <v>1992</v>
      </c>
      <c r="C9295" t="s">
        <v>55</v>
      </c>
      <c r="D9295" t="s">
        <v>665</v>
      </c>
      <c r="E9295">
        <v>43.8</v>
      </c>
      <c r="F9295">
        <v>6</v>
      </c>
      <c r="G9295">
        <v>0</v>
      </c>
      <c r="H9295">
        <v>20.585999999999999</v>
      </c>
      <c r="U9295">
        <v>20.585999999999999</v>
      </c>
    </row>
    <row r="9296" spans="1:21" x14ac:dyDescent="0.35">
      <c r="A9296" t="s">
        <v>174</v>
      </c>
      <c r="B9296" t="s">
        <v>363</v>
      </c>
      <c r="C9296" t="s">
        <v>55</v>
      </c>
      <c r="D9296" t="s">
        <v>1666</v>
      </c>
      <c r="E9296">
        <v>13.872</v>
      </c>
      <c r="F9296">
        <v>3</v>
      </c>
      <c r="G9296">
        <v>0.2</v>
      </c>
      <c r="H9296">
        <v>5.0286</v>
      </c>
      <c r="U9296">
        <v>5.0286</v>
      </c>
    </row>
    <row r="9297" spans="1:21" x14ac:dyDescent="0.35">
      <c r="A9297" t="s">
        <v>174</v>
      </c>
      <c r="B9297" t="s">
        <v>363</v>
      </c>
      <c r="C9297" t="s">
        <v>55</v>
      </c>
      <c r="D9297" t="s">
        <v>520</v>
      </c>
      <c r="E9297">
        <v>115.96</v>
      </c>
      <c r="F9297">
        <v>4</v>
      </c>
      <c r="G9297">
        <v>0.5</v>
      </c>
      <c r="H9297">
        <v>-64.937600000000003</v>
      </c>
      <c r="U9297">
        <v>-64.937600000000003</v>
      </c>
    </row>
    <row r="9298" spans="1:21" x14ac:dyDescent="0.35">
      <c r="A9298" t="s">
        <v>110</v>
      </c>
      <c r="B9298" t="s">
        <v>714</v>
      </c>
      <c r="C9298" t="s">
        <v>35</v>
      </c>
      <c r="D9298" t="s">
        <v>1805</v>
      </c>
      <c r="E9298">
        <v>41.423999999999999</v>
      </c>
      <c r="F9298">
        <v>2</v>
      </c>
      <c r="G9298">
        <v>0.2</v>
      </c>
      <c r="H9298">
        <v>8.2848000000000006</v>
      </c>
      <c r="U9298">
        <v>8.2848000000000006</v>
      </c>
    </row>
    <row r="9299" spans="1:21" x14ac:dyDescent="0.35">
      <c r="A9299" t="s">
        <v>110</v>
      </c>
      <c r="B9299" t="s">
        <v>714</v>
      </c>
      <c r="C9299" t="s">
        <v>35</v>
      </c>
      <c r="D9299" t="s">
        <v>1766</v>
      </c>
      <c r="E9299">
        <v>244.768</v>
      </c>
      <c r="F9299">
        <v>4</v>
      </c>
      <c r="G9299">
        <v>0.2</v>
      </c>
      <c r="H9299">
        <v>24.476800000000001</v>
      </c>
      <c r="U9299">
        <v>24.476800000000001</v>
      </c>
    </row>
    <row r="9300" spans="1:21" x14ac:dyDescent="0.35">
      <c r="A9300" t="s">
        <v>110</v>
      </c>
      <c r="B9300" t="s">
        <v>714</v>
      </c>
      <c r="C9300" t="s">
        <v>35</v>
      </c>
      <c r="D9300" t="s">
        <v>557</v>
      </c>
      <c r="E9300">
        <v>74.352000000000004</v>
      </c>
      <c r="F9300">
        <v>3</v>
      </c>
      <c r="G9300">
        <v>0.2</v>
      </c>
      <c r="H9300">
        <v>6.5057999999999998</v>
      </c>
      <c r="U9300">
        <v>6.5057999999999998</v>
      </c>
    </row>
    <row r="9301" spans="1:21" x14ac:dyDescent="0.35">
      <c r="A9301" t="s">
        <v>110</v>
      </c>
      <c r="B9301" t="s">
        <v>714</v>
      </c>
      <c r="C9301" t="s">
        <v>35</v>
      </c>
      <c r="D9301" t="s">
        <v>1415</v>
      </c>
      <c r="E9301">
        <v>4.3120000000000003</v>
      </c>
      <c r="F9301">
        <v>2</v>
      </c>
      <c r="G9301">
        <v>0.8</v>
      </c>
      <c r="H9301">
        <v>-6.8992000000000004</v>
      </c>
      <c r="U9301">
        <v>-6.8992000000000004</v>
      </c>
    </row>
    <row r="9302" spans="1:21" x14ac:dyDescent="0.35">
      <c r="A9302" t="s">
        <v>110</v>
      </c>
      <c r="B9302" t="s">
        <v>714</v>
      </c>
      <c r="C9302" t="s">
        <v>35</v>
      </c>
      <c r="D9302" t="s">
        <v>768</v>
      </c>
      <c r="E9302">
        <v>56.686</v>
      </c>
      <c r="F9302">
        <v>1</v>
      </c>
      <c r="G9302">
        <v>0.3</v>
      </c>
      <c r="H9302">
        <v>-20.245000000000001</v>
      </c>
      <c r="U9302">
        <v>-20.245000000000001</v>
      </c>
    </row>
    <row r="9303" spans="1:21" x14ac:dyDescent="0.35">
      <c r="A9303" t="s">
        <v>110</v>
      </c>
      <c r="B9303" t="s">
        <v>714</v>
      </c>
      <c r="C9303" t="s">
        <v>35</v>
      </c>
      <c r="D9303" t="s">
        <v>2615</v>
      </c>
      <c r="E9303">
        <v>97.968000000000004</v>
      </c>
      <c r="F9303">
        <v>2</v>
      </c>
      <c r="G9303">
        <v>0.2</v>
      </c>
      <c r="H9303">
        <v>6.1230000000000002</v>
      </c>
      <c r="U9303">
        <v>6.1230000000000002</v>
      </c>
    </row>
    <row r="9304" spans="1:21" x14ac:dyDescent="0.35">
      <c r="A9304" t="s">
        <v>110</v>
      </c>
      <c r="B9304" t="s">
        <v>714</v>
      </c>
      <c r="C9304" t="s">
        <v>35</v>
      </c>
      <c r="D9304" t="s">
        <v>2459</v>
      </c>
      <c r="E9304">
        <v>7.8719999999999999</v>
      </c>
      <c r="F9304">
        <v>3</v>
      </c>
      <c r="G9304">
        <v>0.2</v>
      </c>
      <c r="H9304">
        <v>0.88560000000000005</v>
      </c>
      <c r="U9304">
        <v>0.88560000000000005</v>
      </c>
    </row>
    <row r="9305" spans="1:21" x14ac:dyDescent="0.35">
      <c r="A9305" t="s">
        <v>110</v>
      </c>
      <c r="B9305" t="s">
        <v>714</v>
      </c>
      <c r="C9305" t="s">
        <v>35</v>
      </c>
      <c r="D9305" t="s">
        <v>2074</v>
      </c>
      <c r="E9305">
        <v>15.552</v>
      </c>
      <c r="F9305">
        <v>3</v>
      </c>
      <c r="G9305">
        <v>0.2</v>
      </c>
      <c r="H9305">
        <v>5.4432</v>
      </c>
      <c r="U9305">
        <v>5.4432</v>
      </c>
    </row>
    <row r="9306" spans="1:21" x14ac:dyDescent="0.35">
      <c r="A9306" t="s">
        <v>110</v>
      </c>
      <c r="B9306" t="s">
        <v>714</v>
      </c>
      <c r="C9306" t="s">
        <v>35</v>
      </c>
      <c r="D9306" t="s">
        <v>1348</v>
      </c>
      <c r="E9306">
        <v>1.476</v>
      </c>
      <c r="F9306">
        <v>1</v>
      </c>
      <c r="G9306">
        <v>0.8</v>
      </c>
      <c r="H9306">
        <v>-2.2877999999999998</v>
      </c>
      <c r="U9306">
        <v>-2.2877999999999998</v>
      </c>
    </row>
    <row r="9307" spans="1:21" x14ac:dyDescent="0.35">
      <c r="A9307" t="s">
        <v>1337</v>
      </c>
      <c r="B9307" t="s">
        <v>2603</v>
      </c>
      <c r="C9307" t="s">
        <v>13</v>
      </c>
      <c r="D9307" t="s">
        <v>2495</v>
      </c>
      <c r="E9307">
        <v>8.4</v>
      </c>
      <c r="F9307">
        <v>5</v>
      </c>
      <c r="G9307">
        <v>0</v>
      </c>
      <c r="H9307">
        <v>2.1840000000000002</v>
      </c>
      <c r="U9307">
        <v>2.1840000000000002</v>
      </c>
    </row>
    <row r="9308" spans="1:21" x14ac:dyDescent="0.35">
      <c r="A9308" t="s">
        <v>373</v>
      </c>
      <c r="B9308" t="s">
        <v>964</v>
      </c>
      <c r="C9308" t="s">
        <v>13</v>
      </c>
      <c r="D9308" t="s">
        <v>1584</v>
      </c>
      <c r="E9308">
        <v>6.56</v>
      </c>
      <c r="F9308">
        <v>2</v>
      </c>
      <c r="G9308">
        <v>0</v>
      </c>
      <c r="H9308">
        <v>1.9024000000000001</v>
      </c>
      <c r="U9308">
        <v>1.9024000000000001</v>
      </c>
    </row>
    <row r="9309" spans="1:21" x14ac:dyDescent="0.35">
      <c r="A9309" t="s">
        <v>373</v>
      </c>
      <c r="B9309" t="s">
        <v>964</v>
      </c>
      <c r="C9309" t="s">
        <v>13</v>
      </c>
      <c r="D9309" t="s">
        <v>2262</v>
      </c>
      <c r="E9309">
        <v>14.88</v>
      </c>
      <c r="F9309">
        <v>2</v>
      </c>
      <c r="G9309">
        <v>0</v>
      </c>
      <c r="H9309">
        <v>3.72</v>
      </c>
      <c r="U9309">
        <v>3.72</v>
      </c>
    </row>
    <row r="9310" spans="1:21" x14ac:dyDescent="0.35">
      <c r="A9310" t="s">
        <v>373</v>
      </c>
      <c r="B9310" t="s">
        <v>964</v>
      </c>
      <c r="C9310" t="s">
        <v>13</v>
      </c>
      <c r="D9310" t="s">
        <v>2410</v>
      </c>
      <c r="E9310">
        <v>45.48</v>
      </c>
      <c r="F9310">
        <v>4</v>
      </c>
      <c r="G9310">
        <v>0</v>
      </c>
      <c r="H9310">
        <v>15.917999999999999</v>
      </c>
      <c r="U9310">
        <v>15.917999999999999</v>
      </c>
    </row>
    <row r="9311" spans="1:21" x14ac:dyDescent="0.35">
      <c r="A9311" t="s">
        <v>373</v>
      </c>
      <c r="B9311" t="s">
        <v>964</v>
      </c>
      <c r="C9311" t="s">
        <v>13</v>
      </c>
      <c r="D9311" t="s">
        <v>1303</v>
      </c>
      <c r="E9311">
        <v>25.44</v>
      </c>
      <c r="F9311">
        <v>6</v>
      </c>
      <c r="G9311">
        <v>0</v>
      </c>
      <c r="H9311">
        <v>9.9215999999999998</v>
      </c>
      <c r="U9311">
        <v>9.9215999999999998</v>
      </c>
    </row>
    <row r="9312" spans="1:21" x14ac:dyDescent="0.35">
      <c r="A9312" t="s">
        <v>1312</v>
      </c>
      <c r="B9312" t="s">
        <v>2153</v>
      </c>
      <c r="C9312" t="s">
        <v>55</v>
      </c>
      <c r="D9312" t="s">
        <v>1248</v>
      </c>
      <c r="E9312">
        <v>146.68799999999999</v>
      </c>
      <c r="F9312">
        <v>8</v>
      </c>
      <c r="G9312">
        <v>0.2</v>
      </c>
      <c r="H9312">
        <v>45.84</v>
      </c>
      <c r="U9312">
        <v>45.84</v>
      </c>
    </row>
    <row r="9313" spans="1:21" x14ac:dyDescent="0.35">
      <c r="A9313" s="1">
        <v>42889</v>
      </c>
      <c r="B9313" t="s">
        <v>1394</v>
      </c>
      <c r="C9313" t="s">
        <v>35</v>
      </c>
      <c r="D9313" t="s">
        <v>180</v>
      </c>
      <c r="E9313">
        <v>4.9279999999999999</v>
      </c>
      <c r="F9313">
        <v>2</v>
      </c>
      <c r="G9313">
        <v>0.2</v>
      </c>
      <c r="H9313">
        <v>1.7248000000000001</v>
      </c>
      <c r="U9313">
        <v>1.7248000000000001</v>
      </c>
    </row>
    <row r="9314" spans="1:21" x14ac:dyDescent="0.35">
      <c r="A9314" s="1">
        <v>42889</v>
      </c>
      <c r="B9314" t="s">
        <v>1394</v>
      </c>
      <c r="C9314" t="s">
        <v>35</v>
      </c>
      <c r="D9314" t="s">
        <v>755</v>
      </c>
      <c r="E9314">
        <v>63.488</v>
      </c>
      <c r="F9314">
        <v>4</v>
      </c>
      <c r="G9314">
        <v>0.2</v>
      </c>
      <c r="H9314">
        <v>4.7615999999999996</v>
      </c>
      <c r="U9314">
        <v>4.7615999999999996</v>
      </c>
    </row>
    <row r="9315" spans="1:21" x14ac:dyDescent="0.35">
      <c r="A9315" s="1">
        <v>42319</v>
      </c>
      <c r="B9315" t="s">
        <v>499</v>
      </c>
      <c r="C9315" t="s">
        <v>35</v>
      </c>
      <c r="D9315" t="s">
        <v>96</v>
      </c>
      <c r="E9315">
        <v>418.32</v>
      </c>
      <c r="F9315">
        <v>7</v>
      </c>
      <c r="G9315">
        <v>0</v>
      </c>
      <c r="H9315">
        <v>117.1296</v>
      </c>
      <c r="U9315">
        <v>117.1296</v>
      </c>
    </row>
    <row r="9316" spans="1:21" x14ac:dyDescent="0.35">
      <c r="A9316" s="1">
        <v>42319</v>
      </c>
      <c r="B9316" t="s">
        <v>499</v>
      </c>
      <c r="C9316" t="s">
        <v>35</v>
      </c>
      <c r="D9316" t="s">
        <v>36</v>
      </c>
      <c r="E9316">
        <v>123.858</v>
      </c>
      <c r="F9316">
        <v>2</v>
      </c>
      <c r="G9316">
        <v>0.1</v>
      </c>
      <c r="H9316">
        <v>46.790799999999997</v>
      </c>
      <c r="U9316">
        <v>46.790799999999997</v>
      </c>
    </row>
    <row r="9317" spans="1:21" x14ac:dyDescent="0.35">
      <c r="A9317" s="1">
        <v>42494</v>
      </c>
      <c r="B9317" t="s">
        <v>1540</v>
      </c>
      <c r="C9317" t="s">
        <v>55</v>
      </c>
      <c r="D9317" t="s">
        <v>2096</v>
      </c>
      <c r="E9317">
        <v>118.782</v>
      </c>
      <c r="F9317">
        <v>3</v>
      </c>
      <c r="G9317">
        <v>0.4</v>
      </c>
      <c r="H9317">
        <v>-27.715800000000002</v>
      </c>
      <c r="U9317">
        <v>-27.715800000000002</v>
      </c>
    </row>
    <row r="9318" spans="1:21" x14ac:dyDescent="0.35">
      <c r="A9318" s="1">
        <v>42494</v>
      </c>
      <c r="B9318" t="s">
        <v>1540</v>
      </c>
      <c r="C9318" t="s">
        <v>55</v>
      </c>
      <c r="D9318" t="s">
        <v>515</v>
      </c>
      <c r="E9318">
        <v>769.18399999999997</v>
      </c>
      <c r="F9318">
        <v>4</v>
      </c>
      <c r="G9318">
        <v>0.2</v>
      </c>
      <c r="H9318">
        <v>-163.45160000000001</v>
      </c>
      <c r="U9318">
        <v>-163.45160000000001</v>
      </c>
    </row>
    <row r="9319" spans="1:21" x14ac:dyDescent="0.35">
      <c r="A9319" t="s">
        <v>1856</v>
      </c>
      <c r="B9319" t="s">
        <v>238</v>
      </c>
      <c r="C9319" t="s">
        <v>35</v>
      </c>
      <c r="D9319" t="s">
        <v>636</v>
      </c>
      <c r="E9319">
        <v>47.904000000000003</v>
      </c>
      <c r="F9319">
        <v>1</v>
      </c>
      <c r="G9319">
        <v>0.2</v>
      </c>
      <c r="H9319">
        <v>-2.9940000000000002</v>
      </c>
      <c r="U9319">
        <v>-2.9940000000000002</v>
      </c>
    </row>
    <row r="9320" spans="1:21" x14ac:dyDescent="0.35">
      <c r="A9320" t="s">
        <v>923</v>
      </c>
      <c r="B9320" t="s">
        <v>1002</v>
      </c>
      <c r="C9320" t="s">
        <v>55</v>
      </c>
      <c r="D9320" t="s">
        <v>1042</v>
      </c>
      <c r="E9320">
        <v>13.36</v>
      </c>
      <c r="F9320">
        <v>2</v>
      </c>
      <c r="G9320">
        <v>0</v>
      </c>
      <c r="H9320">
        <v>6.4127999999999998</v>
      </c>
      <c r="U9320">
        <v>6.4127999999999998</v>
      </c>
    </row>
    <row r="9321" spans="1:21" x14ac:dyDescent="0.35">
      <c r="A9321" t="s">
        <v>923</v>
      </c>
      <c r="B9321" t="s">
        <v>1002</v>
      </c>
      <c r="C9321" t="s">
        <v>55</v>
      </c>
      <c r="D9321" t="s">
        <v>2739</v>
      </c>
      <c r="E9321">
        <v>163.76400000000001</v>
      </c>
      <c r="F9321">
        <v>2</v>
      </c>
      <c r="G9321">
        <v>0.1</v>
      </c>
      <c r="H9321">
        <v>25.474399999999999</v>
      </c>
      <c r="U9321">
        <v>25.474399999999999</v>
      </c>
    </row>
    <row r="9322" spans="1:21" x14ac:dyDescent="0.35">
      <c r="A9322" t="s">
        <v>923</v>
      </c>
      <c r="B9322" t="s">
        <v>1002</v>
      </c>
      <c r="C9322" t="s">
        <v>55</v>
      </c>
      <c r="D9322" t="s">
        <v>2629</v>
      </c>
      <c r="E9322">
        <v>183.92</v>
      </c>
      <c r="F9322">
        <v>4</v>
      </c>
      <c r="G9322">
        <v>0</v>
      </c>
      <c r="H9322">
        <v>31.266400000000001</v>
      </c>
      <c r="U9322">
        <v>31.266400000000001</v>
      </c>
    </row>
    <row r="9323" spans="1:21" x14ac:dyDescent="0.35">
      <c r="A9323" s="1">
        <v>42471</v>
      </c>
      <c r="B9323" t="s">
        <v>1219</v>
      </c>
      <c r="C9323" t="s">
        <v>35</v>
      </c>
      <c r="D9323" t="s">
        <v>2274</v>
      </c>
      <c r="E9323">
        <v>11.375999999999999</v>
      </c>
      <c r="F9323">
        <v>3</v>
      </c>
      <c r="G9323">
        <v>0.6</v>
      </c>
      <c r="H9323">
        <v>-5.6879999999999997</v>
      </c>
      <c r="U9323">
        <v>-5.6879999999999997</v>
      </c>
    </row>
    <row r="9324" spans="1:21" x14ac:dyDescent="0.35">
      <c r="A9324" s="1">
        <v>42471</v>
      </c>
      <c r="B9324" t="s">
        <v>1219</v>
      </c>
      <c r="C9324" t="s">
        <v>35</v>
      </c>
      <c r="D9324" t="s">
        <v>889</v>
      </c>
      <c r="E9324">
        <v>66.111999999999995</v>
      </c>
      <c r="F9324">
        <v>4</v>
      </c>
      <c r="G9324">
        <v>0.6</v>
      </c>
      <c r="H9324">
        <v>-84.2928</v>
      </c>
      <c r="U9324">
        <v>-84.2928</v>
      </c>
    </row>
    <row r="9325" spans="1:21" x14ac:dyDescent="0.35">
      <c r="A9325" t="s">
        <v>94</v>
      </c>
      <c r="B9325" t="s">
        <v>1894</v>
      </c>
      <c r="C9325" t="s">
        <v>13</v>
      </c>
      <c r="D9325" t="s">
        <v>1588</v>
      </c>
      <c r="E9325">
        <v>211.04</v>
      </c>
      <c r="F9325">
        <v>8</v>
      </c>
      <c r="G9325">
        <v>0</v>
      </c>
      <c r="H9325">
        <v>97.078400000000002</v>
      </c>
      <c r="U9325">
        <v>97.078400000000002</v>
      </c>
    </row>
    <row r="9326" spans="1:21" x14ac:dyDescent="0.35">
      <c r="A9326" t="s">
        <v>94</v>
      </c>
      <c r="B9326" t="s">
        <v>1894</v>
      </c>
      <c r="C9326" t="s">
        <v>13</v>
      </c>
      <c r="D9326" t="s">
        <v>1473</v>
      </c>
      <c r="E9326">
        <v>594.81600000000003</v>
      </c>
      <c r="F9326">
        <v>2</v>
      </c>
      <c r="G9326">
        <v>0.2</v>
      </c>
      <c r="H9326">
        <v>59.4816</v>
      </c>
      <c r="U9326">
        <v>59.4816</v>
      </c>
    </row>
    <row r="9327" spans="1:21" x14ac:dyDescent="0.35">
      <c r="A9327" t="s">
        <v>94</v>
      </c>
      <c r="B9327" t="s">
        <v>1894</v>
      </c>
      <c r="C9327" t="s">
        <v>13</v>
      </c>
      <c r="D9327" t="s">
        <v>1644</v>
      </c>
      <c r="E9327">
        <v>72.959999999999994</v>
      </c>
      <c r="F9327">
        <v>3</v>
      </c>
      <c r="G9327">
        <v>0.2</v>
      </c>
      <c r="H9327">
        <v>23.712</v>
      </c>
      <c r="U9327">
        <v>23.712</v>
      </c>
    </row>
    <row r="9328" spans="1:21" x14ac:dyDescent="0.35">
      <c r="A9328" s="1">
        <v>42925</v>
      </c>
      <c r="B9328" t="s">
        <v>1518</v>
      </c>
      <c r="C9328" t="s">
        <v>13</v>
      </c>
      <c r="D9328" t="s">
        <v>2507</v>
      </c>
      <c r="E9328">
        <v>80.959999999999994</v>
      </c>
      <c r="F9328">
        <v>4</v>
      </c>
      <c r="G9328">
        <v>0</v>
      </c>
      <c r="H9328">
        <v>34.812800000000003</v>
      </c>
      <c r="U9328">
        <v>34.812800000000003</v>
      </c>
    </row>
    <row r="9329" spans="1:21" x14ac:dyDescent="0.35">
      <c r="A9329" s="1">
        <v>42925</v>
      </c>
      <c r="B9329" t="s">
        <v>1518</v>
      </c>
      <c r="C9329" t="s">
        <v>13</v>
      </c>
      <c r="D9329" t="s">
        <v>26</v>
      </c>
      <c r="E9329">
        <v>455.71199999999999</v>
      </c>
      <c r="F9329">
        <v>2</v>
      </c>
      <c r="G9329">
        <v>0.2</v>
      </c>
      <c r="H9329">
        <v>34.178400000000003</v>
      </c>
      <c r="U9329">
        <v>34.178400000000003</v>
      </c>
    </row>
    <row r="9330" spans="1:21" x14ac:dyDescent="0.35">
      <c r="A9330" s="1">
        <v>42925</v>
      </c>
      <c r="B9330" t="s">
        <v>1518</v>
      </c>
      <c r="C9330" t="s">
        <v>13</v>
      </c>
      <c r="D9330" t="s">
        <v>2325</v>
      </c>
      <c r="E9330">
        <v>25.98</v>
      </c>
      <c r="F9330">
        <v>1</v>
      </c>
      <c r="G9330">
        <v>0</v>
      </c>
      <c r="H9330">
        <v>7.2744</v>
      </c>
      <c r="U9330">
        <v>7.2744</v>
      </c>
    </row>
    <row r="9331" spans="1:21" x14ac:dyDescent="0.35">
      <c r="A9331" t="s">
        <v>457</v>
      </c>
      <c r="B9331" t="s">
        <v>899</v>
      </c>
      <c r="C9331" t="s">
        <v>13</v>
      </c>
      <c r="D9331" t="s">
        <v>2475</v>
      </c>
      <c r="E9331">
        <v>45.28</v>
      </c>
      <c r="F9331">
        <v>4</v>
      </c>
      <c r="G9331">
        <v>0</v>
      </c>
      <c r="H9331">
        <v>15.395200000000001</v>
      </c>
      <c r="U9331">
        <v>15.395200000000001</v>
      </c>
    </row>
    <row r="9332" spans="1:21" x14ac:dyDescent="0.35">
      <c r="A9332" s="1">
        <v>42349</v>
      </c>
      <c r="B9332" t="s">
        <v>2309</v>
      </c>
      <c r="C9332" t="s">
        <v>55</v>
      </c>
      <c r="D9332" t="s">
        <v>314</v>
      </c>
      <c r="E9332">
        <v>15.56</v>
      </c>
      <c r="F9332">
        <v>2</v>
      </c>
      <c r="G9332">
        <v>0</v>
      </c>
      <c r="H9332">
        <v>7.3132000000000001</v>
      </c>
      <c r="U9332">
        <v>7.3132000000000001</v>
      </c>
    </row>
    <row r="9333" spans="1:21" x14ac:dyDescent="0.35">
      <c r="A9333" t="s">
        <v>1212</v>
      </c>
      <c r="B9333" t="s">
        <v>95</v>
      </c>
      <c r="C9333" t="s">
        <v>13</v>
      </c>
      <c r="D9333" t="s">
        <v>1813</v>
      </c>
      <c r="E9333">
        <v>859.2</v>
      </c>
      <c r="F9333">
        <v>3</v>
      </c>
      <c r="G9333">
        <v>0.2</v>
      </c>
      <c r="H9333">
        <v>75.180000000000007</v>
      </c>
      <c r="U9333">
        <v>75.180000000000007</v>
      </c>
    </row>
    <row r="9334" spans="1:21" x14ac:dyDescent="0.35">
      <c r="A9334" s="1">
        <v>43048</v>
      </c>
      <c r="B9334" t="s">
        <v>2579</v>
      </c>
      <c r="C9334" t="s">
        <v>8</v>
      </c>
      <c r="D9334" t="s">
        <v>780</v>
      </c>
      <c r="E9334">
        <v>195.68</v>
      </c>
      <c r="F9334">
        <v>4</v>
      </c>
      <c r="G9334">
        <v>0</v>
      </c>
      <c r="H9334">
        <v>50.876800000000003</v>
      </c>
      <c r="U9334">
        <v>50.876800000000003</v>
      </c>
    </row>
    <row r="9335" spans="1:21" x14ac:dyDescent="0.35">
      <c r="A9335" s="1">
        <v>43048</v>
      </c>
      <c r="B9335" t="s">
        <v>2579</v>
      </c>
      <c r="C9335" t="s">
        <v>8</v>
      </c>
      <c r="D9335" t="s">
        <v>1731</v>
      </c>
      <c r="E9335">
        <v>14.2</v>
      </c>
      <c r="F9335">
        <v>4</v>
      </c>
      <c r="G9335">
        <v>0</v>
      </c>
      <c r="H9335">
        <v>6.6740000000000004</v>
      </c>
      <c r="U9335">
        <v>6.6740000000000004</v>
      </c>
    </row>
    <row r="9336" spans="1:21" x14ac:dyDescent="0.35">
      <c r="A9336" s="1">
        <v>42740</v>
      </c>
      <c r="B9336" t="s">
        <v>633</v>
      </c>
      <c r="C9336" t="s">
        <v>8</v>
      </c>
      <c r="D9336" t="s">
        <v>9</v>
      </c>
      <c r="E9336">
        <v>314.35199999999998</v>
      </c>
      <c r="F9336">
        <v>3</v>
      </c>
      <c r="G9336">
        <v>0.2</v>
      </c>
      <c r="H9336">
        <v>-15.717599999999999</v>
      </c>
      <c r="U9336">
        <v>-15.717599999999999</v>
      </c>
    </row>
    <row r="9337" spans="1:21" x14ac:dyDescent="0.35">
      <c r="A9337" s="1">
        <v>42740</v>
      </c>
      <c r="B9337" t="s">
        <v>633</v>
      </c>
      <c r="C9337" t="s">
        <v>8</v>
      </c>
      <c r="D9337" t="s">
        <v>2414</v>
      </c>
      <c r="E9337">
        <v>4.6079999999999997</v>
      </c>
      <c r="F9337">
        <v>2</v>
      </c>
      <c r="G9337">
        <v>0.2</v>
      </c>
      <c r="H9337">
        <v>1.4976</v>
      </c>
      <c r="U9337">
        <v>1.4976</v>
      </c>
    </row>
    <row r="9338" spans="1:21" x14ac:dyDescent="0.35">
      <c r="A9338" t="s">
        <v>493</v>
      </c>
      <c r="B9338" t="s">
        <v>1398</v>
      </c>
      <c r="C9338" t="s">
        <v>13</v>
      </c>
      <c r="D9338" t="s">
        <v>234</v>
      </c>
      <c r="E9338">
        <v>17.899999999999999</v>
      </c>
      <c r="F9338">
        <v>5</v>
      </c>
      <c r="G9338">
        <v>0</v>
      </c>
      <c r="H9338">
        <v>8.7710000000000008</v>
      </c>
      <c r="U9338">
        <v>8.7710000000000008</v>
      </c>
    </row>
    <row r="9339" spans="1:21" x14ac:dyDescent="0.35">
      <c r="A9339" t="s">
        <v>1737</v>
      </c>
      <c r="B9339" t="s">
        <v>1272</v>
      </c>
      <c r="C9339" t="s">
        <v>13</v>
      </c>
      <c r="D9339" t="s">
        <v>2181</v>
      </c>
      <c r="E9339">
        <v>2.992</v>
      </c>
      <c r="F9339">
        <v>1</v>
      </c>
      <c r="G9339">
        <v>0.2</v>
      </c>
      <c r="H9339">
        <v>1.1220000000000001</v>
      </c>
      <c r="U9339">
        <v>1.1220000000000001</v>
      </c>
    </row>
    <row r="9340" spans="1:21" x14ac:dyDescent="0.35">
      <c r="A9340" t="s">
        <v>1737</v>
      </c>
      <c r="B9340" t="s">
        <v>1272</v>
      </c>
      <c r="C9340" t="s">
        <v>13</v>
      </c>
      <c r="D9340" t="s">
        <v>1391</v>
      </c>
      <c r="E9340">
        <v>20.064</v>
      </c>
      <c r="F9340">
        <v>6</v>
      </c>
      <c r="G9340">
        <v>0.2</v>
      </c>
      <c r="H9340">
        <v>7.0224000000000002</v>
      </c>
      <c r="U9340">
        <v>7.0224000000000002</v>
      </c>
    </row>
    <row r="9341" spans="1:21" x14ac:dyDescent="0.35">
      <c r="A9341" t="s">
        <v>1737</v>
      </c>
      <c r="B9341" t="s">
        <v>1272</v>
      </c>
      <c r="C9341" t="s">
        <v>13</v>
      </c>
      <c r="D9341" t="s">
        <v>2544</v>
      </c>
      <c r="E9341">
        <v>146.72999999999999</v>
      </c>
      <c r="F9341">
        <v>3</v>
      </c>
      <c r="G9341">
        <v>0</v>
      </c>
      <c r="H9341">
        <v>68.963099999999997</v>
      </c>
      <c r="U9341">
        <v>68.963099999999997</v>
      </c>
    </row>
    <row r="9342" spans="1:21" x14ac:dyDescent="0.35">
      <c r="A9342" t="s">
        <v>1737</v>
      </c>
      <c r="B9342" t="s">
        <v>1272</v>
      </c>
      <c r="C9342" t="s">
        <v>13</v>
      </c>
      <c r="D9342" t="s">
        <v>995</v>
      </c>
      <c r="E9342">
        <v>18.75</v>
      </c>
      <c r="F9342">
        <v>5</v>
      </c>
      <c r="G9342">
        <v>0</v>
      </c>
      <c r="H9342">
        <v>9</v>
      </c>
      <c r="U9342">
        <v>9</v>
      </c>
    </row>
    <row r="9343" spans="1:21" x14ac:dyDescent="0.35">
      <c r="A9343" t="s">
        <v>1737</v>
      </c>
      <c r="B9343" t="s">
        <v>1272</v>
      </c>
      <c r="C9343" t="s">
        <v>13</v>
      </c>
      <c r="D9343" t="s">
        <v>2547</v>
      </c>
      <c r="E9343">
        <v>117.57599999999999</v>
      </c>
      <c r="F9343">
        <v>3</v>
      </c>
      <c r="G9343">
        <v>0.2</v>
      </c>
      <c r="H9343">
        <v>11.7576</v>
      </c>
      <c r="U9343">
        <v>11.7576</v>
      </c>
    </row>
    <row r="9344" spans="1:21" x14ac:dyDescent="0.35">
      <c r="A9344" t="s">
        <v>97</v>
      </c>
      <c r="B9344" t="s">
        <v>2543</v>
      </c>
      <c r="C9344" t="s">
        <v>13</v>
      </c>
      <c r="D9344" t="s">
        <v>1114</v>
      </c>
      <c r="E9344">
        <v>51.183999999999997</v>
      </c>
      <c r="F9344">
        <v>7</v>
      </c>
      <c r="G9344">
        <v>0.2</v>
      </c>
      <c r="H9344">
        <v>19.193999999999999</v>
      </c>
      <c r="U9344">
        <v>19.193999999999999</v>
      </c>
    </row>
    <row r="9345" spans="1:21" x14ac:dyDescent="0.35">
      <c r="A9345" t="s">
        <v>2444</v>
      </c>
      <c r="B9345" t="s">
        <v>1064</v>
      </c>
      <c r="C9345" t="s">
        <v>55</v>
      </c>
      <c r="D9345" t="s">
        <v>2612</v>
      </c>
      <c r="E9345">
        <v>455.97</v>
      </c>
      <c r="F9345">
        <v>5</v>
      </c>
      <c r="G9345">
        <v>0.4</v>
      </c>
      <c r="H9345">
        <v>-106.393</v>
      </c>
      <c r="U9345">
        <v>-106.393</v>
      </c>
    </row>
    <row r="9346" spans="1:21" x14ac:dyDescent="0.35">
      <c r="A9346" t="s">
        <v>2444</v>
      </c>
      <c r="B9346" t="s">
        <v>1064</v>
      </c>
      <c r="C9346" t="s">
        <v>55</v>
      </c>
      <c r="D9346" t="s">
        <v>70</v>
      </c>
      <c r="E9346">
        <v>5.7149999999999999</v>
      </c>
      <c r="F9346">
        <v>5</v>
      </c>
      <c r="G9346">
        <v>0.7</v>
      </c>
      <c r="H9346">
        <v>-4.7625000000000002</v>
      </c>
      <c r="U9346">
        <v>-4.7625000000000002</v>
      </c>
    </row>
    <row r="9347" spans="1:21" x14ac:dyDescent="0.35">
      <c r="A9347" t="s">
        <v>2444</v>
      </c>
      <c r="B9347" t="s">
        <v>1064</v>
      </c>
      <c r="C9347" t="s">
        <v>55</v>
      </c>
      <c r="D9347" t="s">
        <v>2301</v>
      </c>
      <c r="E9347">
        <v>57.594000000000001</v>
      </c>
      <c r="F9347">
        <v>1</v>
      </c>
      <c r="G9347">
        <v>0.4</v>
      </c>
      <c r="H9347">
        <v>-11.518800000000001</v>
      </c>
      <c r="U9347">
        <v>-11.518800000000001</v>
      </c>
    </row>
    <row r="9348" spans="1:21" x14ac:dyDescent="0.35">
      <c r="A9348" t="s">
        <v>2444</v>
      </c>
      <c r="B9348" t="s">
        <v>1064</v>
      </c>
      <c r="C9348" t="s">
        <v>55</v>
      </c>
      <c r="D9348" t="s">
        <v>1862</v>
      </c>
      <c r="E9348">
        <v>30.143999999999998</v>
      </c>
      <c r="F9348">
        <v>2</v>
      </c>
      <c r="G9348">
        <v>0.2</v>
      </c>
      <c r="H9348">
        <v>8.2896000000000001</v>
      </c>
      <c r="U9348">
        <v>8.2896000000000001</v>
      </c>
    </row>
    <row r="9349" spans="1:21" x14ac:dyDescent="0.35">
      <c r="A9349" t="s">
        <v>2444</v>
      </c>
      <c r="B9349" t="s">
        <v>1064</v>
      </c>
      <c r="C9349" t="s">
        <v>55</v>
      </c>
      <c r="D9349" t="s">
        <v>1903</v>
      </c>
      <c r="E9349">
        <v>899.43</v>
      </c>
      <c r="F9349">
        <v>5</v>
      </c>
      <c r="G9349">
        <v>0.3</v>
      </c>
      <c r="H9349">
        <v>-12.849</v>
      </c>
      <c r="U9349">
        <v>-12.849</v>
      </c>
    </row>
    <row r="9350" spans="1:21" x14ac:dyDescent="0.35">
      <c r="A9350" t="s">
        <v>989</v>
      </c>
      <c r="B9350" t="s">
        <v>165</v>
      </c>
      <c r="C9350" t="s">
        <v>13</v>
      </c>
      <c r="D9350" t="s">
        <v>2678</v>
      </c>
      <c r="E9350">
        <v>842.72</v>
      </c>
      <c r="F9350">
        <v>8</v>
      </c>
      <c r="G9350">
        <v>0</v>
      </c>
      <c r="H9350">
        <v>202.25280000000001</v>
      </c>
      <c r="U9350">
        <v>202.25280000000001</v>
      </c>
    </row>
    <row r="9351" spans="1:21" x14ac:dyDescent="0.35">
      <c r="A9351" t="s">
        <v>989</v>
      </c>
      <c r="B9351" t="s">
        <v>165</v>
      </c>
      <c r="C9351" t="s">
        <v>13</v>
      </c>
      <c r="D9351" t="s">
        <v>228</v>
      </c>
      <c r="E9351">
        <v>41.96</v>
      </c>
      <c r="F9351">
        <v>2</v>
      </c>
      <c r="G9351">
        <v>0</v>
      </c>
      <c r="H9351">
        <v>10.909599999999999</v>
      </c>
      <c r="U9351">
        <v>10.909599999999999</v>
      </c>
    </row>
    <row r="9352" spans="1:21" x14ac:dyDescent="0.35">
      <c r="A9352" t="s">
        <v>145</v>
      </c>
      <c r="B9352" t="s">
        <v>1198</v>
      </c>
      <c r="C9352" t="s">
        <v>13</v>
      </c>
      <c r="D9352" t="s">
        <v>1538</v>
      </c>
      <c r="E9352">
        <v>13.215999999999999</v>
      </c>
      <c r="F9352">
        <v>4</v>
      </c>
      <c r="G9352">
        <v>0.2</v>
      </c>
      <c r="H9352">
        <v>4.4603999999999999</v>
      </c>
      <c r="U9352">
        <v>4.4603999999999999</v>
      </c>
    </row>
    <row r="9353" spans="1:21" x14ac:dyDescent="0.35">
      <c r="A9353" t="s">
        <v>145</v>
      </c>
      <c r="B9353" t="s">
        <v>1198</v>
      </c>
      <c r="C9353" t="s">
        <v>13</v>
      </c>
      <c r="D9353" t="s">
        <v>744</v>
      </c>
      <c r="E9353">
        <v>184.75200000000001</v>
      </c>
      <c r="F9353">
        <v>3</v>
      </c>
      <c r="G9353">
        <v>0.2</v>
      </c>
      <c r="H9353">
        <v>-20.784600000000001</v>
      </c>
      <c r="U9353">
        <v>-20.784600000000001</v>
      </c>
    </row>
    <row r="9354" spans="1:21" x14ac:dyDescent="0.35">
      <c r="A9354" t="s">
        <v>978</v>
      </c>
      <c r="B9354" t="s">
        <v>829</v>
      </c>
      <c r="C9354" t="s">
        <v>35</v>
      </c>
      <c r="D9354" t="s">
        <v>1473</v>
      </c>
      <c r="E9354">
        <v>520.46400000000006</v>
      </c>
      <c r="F9354">
        <v>2</v>
      </c>
      <c r="G9354">
        <v>0.3</v>
      </c>
      <c r="H9354">
        <v>-14.8704</v>
      </c>
      <c r="U9354">
        <v>-14.8704</v>
      </c>
    </row>
    <row r="9355" spans="1:21" x14ac:dyDescent="0.35">
      <c r="A9355" t="s">
        <v>978</v>
      </c>
      <c r="B9355" t="s">
        <v>829</v>
      </c>
      <c r="C9355" t="s">
        <v>35</v>
      </c>
      <c r="D9355" t="s">
        <v>2660</v>
      </c>
      <c r="E9355">
        <v>11.423999999999999</v>
      </c>
      <c r="F9355">
        <v>3</v>
      </c>
      <c r="G9355">
        <v>0.2</v>
      </c>
      <c r="H9355">
        <v>3.7128000000000001</v>
      </c>
      <c r="U9355">
        <v>3.7128000000000001</v>
      </c>
    </row>
    <row r="9356" spans="1:21" x14ac:dyDescent="0.35">
      <c r="A9356" s="1">
        <v>42016</v>
      </c>
      <c r="B9356" t="s">
        <v>74</v>
      </c>
      <c r="C9356" t="s">
        <v>35</v>
      </c>
      <c r="D9356" t="s">
        <v>2640</v>
      </c>
      <c r="E9356">
        <v>19.440000000000001</v>
      </c>
      <c r="F9356">
        <v>3</v>
      </c>
      <c r="G9356">
        <v>0</v>
      </c>
      <c r="H9356">
        <v>9.3312000000000008</v>
      </c>
      <c r="U9356">
        <v>9.3312000000000008</v>
      </c>
    </row>
    <row r="9357" spans="1:21" x14ac:dyDescent="0.35">
      <c r="A9357" s="1">
        <v>42016</v>
      </c>
      <c r="B9357" t="s">
        <v>74</v>
      </c>
      <c r="C9357" t="s">
        <v>35</v>
      </c>
      <c r="D9357" t="s">
        <v>1744</v>
      </c>
      <c r="E9357">
        <v>3.64</v>
      </c>
      <c r="F9357">
        <v>2</v>
      </c>
      <c r="G9357">
        <v>0</v>
      </c>
      <c r="H9357">
        <v>1.0192000000000001</v>
      </c>
      <c r="U9357">
        <v>1.0192000000000001</v>
      </c>
    </row>
    <row r="9358" spans="1:21" x14ac:dyDescent="0.35">
      <c r="A9358" s="1">
        <v>42016</v>
      </c>
      <c r="B9358" t="s">
        <v>74</v>
      </c>
      <c r="C9358" t="s">
        <v>35</v>
      </c>
      <c r="D9358" t="s">
        <v>2044</v>
      </c>
      <c r="E9358">
        <v>18.54</v>
      </c>
      <c r="F9358">
        <v>2</v>
      </c>
      <c r="G9358">
        <v>0</v>
      </c>
      <c r="H9358">
        <v>8.7138000000000009</v>
      </c>
      <c r="U9358">
        <v>8.7138000000000009</v>
      </c>
    </row>
    <row r="9359" spans="1:21" x14ac:dyDescent="0.35">
      <c r="A9359" t="s">
        <v>2502</v>
      </c>
      <c r="B9359" t="s">
        <v>272</v>
      </c>
      <c r="C9359" t="s">
        <v>55</v>
      </c>
      <c r="D9359" t="s">
        <v>1415</v>
      </c>
      <c r="E9359">
        <v>43.12</v>
      </c>
      <c r="F9359">
        <v>5</v>
      </c>
      <c r="G9359">
        <v>0.2</v>
      </c>
      <c r="H9359">
        <v>15.092000000000001</v>
      </c>
      <c r="U9359">
        <v>15.092000000000001</v>
      </c>
    </row>
    <row r="9360" spans="1:21" x14ac:dyDescent="0.35">
      <c r="A9360" t="s">
        <v>2502</v>
      </c>
      <c r="B9360" t="s">
        <v>272</v>
      </c>
      <c r="C9360" t="s">
        <v>55</v>
      </c>
      <c r="D9360" t="s">
        <v>1096</v>
      </c>
      <c r="E9360">
        <v>313.72199999999998</v>
      </c>
      <c r="F9360">
        <v>3</v>
      </c>
      <c r="G9360">
        <v>0.4</v>
      </c>
      <c r="H9360">
        <v>-99.345299999999995</v>
      </c>
      <c r="U9360">
        <v>-99.345299999999995</v>
      </c>
    </row>
    <row r="9361" spans="1:21" x14ac:dyDescent="0.35">
      <c r="A9361" t="s">
        <v>2502</v>
      </c>
      <c r="B9361" t="s">
        <v>272</v>
      </c>
      <c r="C9361" t="s">
        <v>55</v>
      </c>
      <c r="D9361" t="s">
        <v>2629</v>
      </c>
      <c r="E9361">
        <v>45.98</v>
      </c>
      <c r="F9361">
        <v>1</v>
      </c>
      <c r="G9361">
        <v>0</v>
      </c>
      <c r="H9361">
        <v>7.8166000000000002</v>
      </c>
      <c r="U9361">
        <v>7.8166000000000002</v>
      </c>
    </row>
    <row r="9362" spans="1:21" x14ac:dyDescent="0.35">
      <c r="A9362" t="s">
        <v>2502</v>
      </c>
      <c r="B9362" t="s">
        <v>272</v>
      </c>
      <c r="C9362" t="s">
        <v>55</v>
      </c>
      <c r="D9362" t="s">
        <v>1443</v>
      </c>
      <c r="E9362">
        <v>428.68</v>
      </c>
      <c r="F9362">
        <v>7</v>
      </c>
      <c r="G9362">
        <v>0</v>
      </c>
      <c r="H9362">
        <v>0</v>
      </c>
      <c r="U9362">
        <v>0</v>
      </c>
    </row>
    <row r="9363" spans="1:21" x14ac:dyDescent="0.35">
      <c r="A9363" t="s">
        <v>1127</v>
      </c>
      <c r="B9363" t="s">
        <v>137</v>
      </c>
      <c r="C9363" t="s">
        <v>13</v>
      </c>
      <c r="D9363" t="s">
        <v>112</v>
      </c>
      <c r="E9363">
        <v>30.576000000000001</v>
      </c>
      <c r="F9363">
        <v>6</v>
      </c>
      <c r="G9363">
        <v>0.2</v>
      </c>
      <c r="H9363">
        <v>10.3194</v>
      </c>
      <c r="U9363">
        <v>10.3194</v>
      </c>
    </row>
    <row r="9364" spans="1:21" x14ac:dyDescent="0.35">
      <c r="A9364" t="s">
        <v>1127</v>
      </c>
      <c r="B9364" t="s">
        <v>137</v>
      </c>
      <c r="C9364" t="s">
        <v>13</v>
      </c>
      <c r="D9364" t="s">
        <v>1379</v>
      </c>
      <c r="E9364">
        <v>13.02</v>
      </c>
      <c r="F9364">
        <v>7</v>
      </c>
      <c r="G9364">
        <v>0</v>
      </c>
      <c r="H9364">
        <v>0.3906</v>
      </c>
      <c r="U9364">
        <v>0.3906</v>
      </c>
    </row>
    <row r="9365" spans="1:21" x14ac:dyDescent="0.35">
      <c r="A9365" t="s">
        <v>1127</v>
      </c>
      <c r="B9365" t="s">
        <v>137</v>
      </c>
      <c r="C9365" t="s">
        <v>13</v>
      </c>
      <c r="D9365" t="s">
        <v>1993</v>
      </c>
      <c r="E9365">
        <v>22.14</v>
      </c>
      <c r="F9365">
        <v>3</v>
      </c>
      <c r="G9365">
        <v>0</v>
      </c>
      <c r="H9365">
        <v>6.4206000000000003</v>
      </c>
      <c r="U9365">
        <v>6.4206000000000003</v>
      </c>
    </row>
    <row r="9366" spans="1:21" x14ac:dyDescent="0.35">
      <c r="A9366" t="s">
        <v>1127</v>
      </c>
      <c r="B9366" t="s">
        <v>137</v>
      </c>
      <c r="C9366" t="s">
        <v>13</v>
      </c>
      <c r="D9366" t="s">
        <v>823</v>
      </c>
      <c r="E9366">
        <v>359.32</v>
      </c>
      <c r="F9366">
        <v>4</v>
      </c>
      <c r="G9366">
        <v>0</v>
      </c>
      <c r="H9366">
        <v>7.1863999999999999</v>
      </c>
      <c r="U9366">
        <v>7.1863999999999999</v>
      </c>
    </row>
    <row r="9367" spans="1:21" x14ac:dyDescent="0.35">
      <c r="A9367" t="s">
        <v>2499</v>
      </c>
      <c r="B9367" t="s">
        <v>917</v>
      </c>
      <c r="C9367" t="s">
        <v>35</v>
      </c>
      <c r="D9367" t="s">
        <v>2705</v>
      </c>
      <c r="E9367">
        <v>11.56</v>
      </c>
      <c r="F9367">
        <v>2</v>
      </c>
      <c r="G9367">
        <v>0</v>
      </c>
      <c r="H9367">
        <v>5.6643999999999997</v>
      </c>
      <c r="U9367">
        <v>5.6643999999999997</v>
      </c>
    </row>
    <row r="9368" spans="1:21" x14ac:dyDescent="0.35">
      <c r="A9368" s="1">
        <v>41857</v>
      </c>
      <c r="B9368" t="s">
        <v>1736</v>
      </c>
      <c r="C9368" t="s">
        <v>55</v>
      </c>
      <c r="D9368" t="s">
        <v>2491</v>
      </c>
      <c r="E9368">
        <v>68.48</v>
      </c>
      <c r="F9368">
        <v>2</v>
      </c>
      <c r="G9368">
        <v>0.2</v>
      </c>
      <c r="H9368">
        <v>25.68</v>
      </c>
      <c r="U9368">
        <v>25.68</v>
      </c>
    </row>
    <row r="9369" spans="1:21" x14ac:dyDescent="0.35">
      <c r="A9369" s="1">
        <v>41857</v>
      </c>
      <c r="B9369" t="s">
        <v>1736</v>
      </c>
      <c r="C9369" t="s">
        <v>55</v>
      </c>
      <c r="D9369" t="s">
        <v>2146</v>
      </c>
      <c r="E9369">
        <v>1676.88</v>
      </c>
      <c r="F9369">
        <v>6</v>
      </c>
      <c r="G9369">
        <v>0</v>
      </c>
      <c r="H9369">
        <v>83.843999999999994</v>
      </c>
      <c r="U9369">
        <v>83.843999999999994</v>
      </c>
    </row>
    <row r="9370" spans="1:21" x14ac:dyDescent="0.35">
      <c r="A9370" s="1">
        <v>42555</v>
      </c>
      <c r="B9370" t="s">
        <v>95</v>
      </c>
      <c r="C9370" t="s">
        <v>55</v>
      </c>
      <c r="D9370" t="s">
        <v>529</v>
      </c>
      <c r="E9370">
        <v>37.94</v>
      </c>
      <c r="F9370">
        <v>2</v>
      </c>
      <c r="G9370">
        <v>0</v>
      </c>
      <c r="H9370">
        <v>18.211200000000002</v>
      </c>
      <c r="U9370">
        <v>18.211200000000002</v>
      </c>
    </row>
    <row r="9371" spans="1:21" x14ac:dyDescent="0.35">
      <c r="A9371" s="1">
        <v>42927</v>
      </c>
      <c r="B9371" t="s">
        <v>1656</v>
      </c>
      <c r="C9371" t="s">
        <v>55</v>
      </c>
      <c r="D9371" t="s">
        <v>2265</v>
      </c>
      <c r="E9371">
        <v>272.97000000000003</v>
      </c>
      <c r="F9371">
        <v>3</v>
      </c>
      <c r="G9371">
        <v>0</v>
      </c>
      <c r="H9371">
        <v>43.675199999999997</v>
      </c>
      <c r="U9371">
        <v>43.675199999999997</v>
      </c>
    </row>
    <row r="9372" spans="1:21" x14ac:dyDescent="0.35">
      <c r="A9372" t="s">
        <v>1277</v>
      </c>
      <c r="B9372" t="s">
        <v>2661</v>
      </c>
      <c r="C9372" t="s">
        <v>55</v>
      </c>
      <c r="D9372" t="s">
        <v>2699</v>
      </c>
      <c r="E9372">
        <v>41.567999999999998</v>
      </c>
      <c r="F9372">
        <v>4</v>
      </c>
      <c r="G9372">
        <v>0.2</v>
      </c>
      <c r="H9372">
        <v>-4.1567999999999996</v>
      </c>
      <c r="U9372">
        <v>-4.1567999999999996</v>
      </c>
    </row>
    <row r="9373" spans="1:21" x14ac:dyDescent="0.35">
      <c r="A9373" t="s">
        <v>1277</v>
      </c>
      <c r="B9373" t="s">
        <v>2661</v>
      </c>
      <c r="C9373" t="s">
        <v>55</v>
      </c>
      <c r="D9373" t="s">
        <v>176</v>
      </c>
      <c r="E9373">
        <v>317.05799999999999</v>
      </c>
      <c r="F9373">
        <v>3</v>
      </c>
      <c r="G9373">
        <v>0.3</v>
      </c>
      <c r="H9373">
        <v>-86.058599999999998</v>
      </c>
      <c r="U9373">
        <v>-86.058599999999998</v>
      </c>
    </row>
    <row r="9374" spans="1:21" x14ac:dyDescent="0.35">
      <c r="A9374" t="s">
        <v>1277</v>
      </c>
      <c r="B9374" t="s">
        <v>2661</v>
      </c>
      <c r="C9374" t="s">
        <v>55</v>
      </c>
      <c r="D9374" t="s">
        <v>269</v>
      </c>
      <c r="E9374">
        <v>8.0399999999999991</v>
      </c>
      <c r="F9374">
        <v>5</v>
      </c>
      <c r="G9374">
        <v>0.2</v>
      </c>
      <c r="H9374">
        <v>2.9144999999999999</v>
      </c>
      <c r="U9374">
        <v>2.9144999999999999</v>
      </c>
    </row>
    <row r="9375" spans="1:21" x14ac:dyDescent="0.35">
      <c r="A9375" s="1">
        <v>42921</v>
      </c>
      <c r="B9375" t="s">
        <v>925</v>
      </c>
      <c r="C9375" t="s">
        <v>13</v>
      </c>
      <c r="D9375" t="s">
        <v>1548</v>
      </c>
      <c r="E9375">
        <v>419.94400000000002</v>
      </c>
      <c r="F9375">
        <v>7</v>
      </c>
      <c r="G9375">
        <v>0.2</v>
      </c>
      <c r="H9375">
        <v>52.493000000000002</v>
      </c>
      <c r="U9375">
        <v>52.493000000000002</v>
      </c>
    </row>
    <row r="9376" spans="1:21" x14ac:dyDescent="0.35">
      <c r="A9376" s="1">
        <v>42496</v>
      </c>
      <c r="B9376" t="s">
        <v>156</v>
      </c>
      <c r="C9376" t="s">
        <v>13</v>
      </c>
      <c r="D9376" t="s">
        <v>1205</v>
      </c>
      <c r="E9376">
        <v>61.38</v>
      </c>
      <c r="F9376">
        <v>6</v>
      </c>
      <c r="G9376">
        <v>0</v>
      </c>
      <c r="H9376">
        <v>15.9588</v>
      </c>
      <c r="U9376">
        <v>15.9588</v>
      </c>
    </row>
    <row r="9377" spans="1:21" x14ac:dyDescent="0.35">
      <c r="A9377" t="s">
        <v>1926</v>
      </c>
      <c r="B9377" t="s">
        <v>899</v>
      </c>
      <c r="C9377" t="s">
        <v>13</v>
      </c>
      <c r="D9377" t="s">
        <v>1752</v>
      </c>
      <c r="E9377">
        <v>50</v>
      </c>
      <c r="F9377">
        <v>2</v>
      </c>
      <c r="G9377">
        <v>0</v>
      </c>
      <c r="H9377">
        <v>10.5</v>
      </c>
      <c r="U9377">
        <v>10.5</v>
      </c>
    </row>
    <row r="9378" spans="1:21" x14ac:dyDescent="0.35">
      <c r="A9378" t="s">
        <v>226</v>
      </c>
      <c r="B9378" t="s">
        <v>103</v>
      </c>
      <c r="C9378" t="s">
        <v>55</v>
      </c>
      <c r="D9378" t="s">
        <v>2505</v>
      </c>
      <c r="E9378">
        <v>31.8</v>
      </c>
      <c r="F9378">
        <v>3</v>
      </c>
      <c r="G9378">
        <v>0</v>
      </c>
      <c r="H9378">
        <v>13.673999999999999</v>
      </c>
      <c r="U9378">
        <v>13.673999999999999</v>
      </c>
    </row>
    <row r="9379" spans="1:21" x14ac:dyDescent="0.35">
      <c r="A9379" t="s">
        <v>389</v>
      </c>
      <c r="B9379" t="s">
        <v>1198</v>
      </c>
      <c r="C9379" t="s">
        <v>35</v>
      </c>
      <c r="D9379" t="s">
        <v>2415</v>
      </c>
      <c r="E9379">
        <v>32.56</v>
      </c>
      <c r="F9379">
        <v>2</v>
      </c>
      <c r="G9379">
        <v>0</v>
      </c>
      <c r="H9379">
        <v>8.4656000000000002</v>
      </c>
      <c r="U9379">
        <v>8.4656000000000002</v>
      </c>
    </row>
    <row r="9380" spans="1:21" x14ac:dyDescent="0.35">
      <c r="A9380" s="1">
        <v>42648</v>
      </c>
      <c r="B9380" t="s">
        <v>1534</v>
      </c>
      <c r="C9380" t="s">
        <v>35</v>
      </c>
      <c r="D9380" t="s">
        <v>2740</v>
      </c>
      <c r="E9380">
        <v>7.0720000000000001</v>
      </c>
      <c r="F9380">
        <v>2</v>
      </c>
      <c r="G9380">
        <v>0.2</v>
      </c>
      <c r="H9380">
        <v>2.3868</v>
      </c>
      <c r="U9380">
        <v>2.3868</v>
      </c>
    </row>
    <row r="9381" spans="1:21" x14ac:dyDescent="0.35">
      <c r="A9381" t="s">
        <v>2333</v>
      </c>
      <c r="B9381" t="s">
        <v>461</v>
      </c>
      <c r="C9381" t="s">
        <v>8</v>
      </c>
      <c r="D9381" t="s">
        <v>1967</v>
      </c>
      <c r="E9381">
        <v>45.527999999999999</v>
      </c>
      <c r="F9381">
        <v>3</v>
      </c>
      <c r="G9381">
        <v>0.2</v>
      </c>
      <c r="H9381">
        <v>15.934799999999999</v>
      </c>
      <c r="U9381">
        <v>15.934799999999999</v>
      </c>
    </row>
    <row r="9382" spans="1:21" x14ac:dyDescent="0.35">
      <c r="A9382" t="s">
        <v>2333</v>
      </c>
      <c r="B9382" t="s">
        <v>461</v>
      </c>
      <c r="C9382" t="s">
        <v>8</v>
      </c>
      <c r="D9382" t="s">
        <v>340</v>
      </c>
      <c r="E9382">
        <v>64.784000000000006</v>
      </c>
      <c r="F9382">
        <v>1</v>
      </c>
      <c r="G9382">
        <v>0.2</v>
      </c>
      <c r="H9382">
        <v>6.4783999999999997</v>
      </c>
      <c r="U9382">
        <v>6.4783999999999997</v>
      </c>
    </row>
    <row r="9383" spans="1:21" x14ac:dyDescent="0.35">
      <c r="A9383" t="s">
        <v>2333</v>
      </c>
      <c r="B9383" t="s">
        <v>461</v>
      </c>
      <c r="C9383" t="s">
        <v>8</v>
      </c>
      <c r="D9383" t="s">
        <v>1974</v>
      </c>
      <c r="E9383">
        <v>424.27199999999999</v>
      </c>
      <c r="F9383">
        <v>2</v>
      </c>
      <c r="G9383">
        <v>0.2</v>
      </c>
      <c r="H9383">
        <v>-10.6068</v>
      </c>
      <c r="U9383">
        <v>-10.6068</v>
      </c>
    </row>
    <row r="9384" spans="1:21" x14ac:dyDescent="0.35">
      <c r="A9384" t="s">
        <v>2333</v>
      </c>
      <c r="B9384" t="s">
        <v>461</v>
      </c>
      <c r="C9384" t="s">
        <v>8</v>
      </c>
      <c r="D9384" t="s">
        <v>128</v>
      </c>
      <c r="E9384">
        <v>1.3440000000000001</v>
      </c>
      <c r="F9384">
        <v>1</v>
      </c>
      <c r="G9384">
        <v>0.2</v>
      </c>
      <c r="H9384">
        <v>0.504</v>
      </c>
      <c r="U9384">
        <v>0.504</v>
      </c>
    </row>
    <row r="9385" spans="1:21" x14ac:dyDescent="0.35">
      <c r="A9385" t="s">
        <v>2333</v>
      </c>
      <c r="B9385" t="s">
        <v>461</v>
      </c>
      <c r="C9385" t="s">
        <v>8</v>
      </c>
      <c r="D9385" t="s">
        <v>1682</v>
      </c>
      <c r="E9385">
        <v>83.92</v>
      </c>
      <c r="F9385">
        <v>5</v>
      </c>
      <c r="G9385">
        <v>0.2</v>
      </c>
      <c r="H9385">
        <v>-1.0489999999999999</v>
      </c>
      <c r="U9385">
        <v>-1.0489999999999999</v>
      </c>
    </row>
    <row r="9386" spans="1:21" x14ac:dyDescent="0.35">
      <c r="A9386" s="1">
        <v>43047</v>
      </c>
      <c r="B9386" t="s">
        <v>1207</v>
      </c>
      <c r="C9386" t="s">
        <v>55</v>
      </c>
      <c r="D9386" t="s">
        <v>904</v>
      </c>
      <c r="E9386">
        <v>25.92</v>
      </c>
      <c r="F9386">
        <v>4</v>
      </c>
      <c r="G9386">
        <v>0</v>
      </c>
      <c r="H9386">
        <v>12.441599999999999</v>
      </c>
      <c r="U9386">
        <v>12.441599999999999</v>
      </c>
    </row>
    <row r="9387" spans="1:21" x14ac:dyDescent="0.35">
      <c r="A9387" t="s">
        <v>640</v>
      </c>
      <c r="B9387" t="s">
        <v>918</v>
      </c>
      <c r="C9387" t="s">
        <v>13</v>
      </c>
      <c r="D9387" t="s">
        <v>1862</v>
      </c>
      <c r="E9387">
        <v>120.57599999999999</v>
      </c>
      <c r="F9387">
        <v>8</v>
      </c>
      <c r="G9387">
        <v>0.2</v>
      </c>
      <c r="H9387">
        <v>33.1584</v>
      </c>
      <c r="U9387">
        <v>33.1584</v>
      </c>
    </row>
    <row r="9388" spans="1:21" x14ac:dyDescent="0.35">
      <c r="A9388" t="s">
        <v>1878</v>
      </c>
      <c r="B9388" t="s">
        <v>1814</v>
      </c>
      <c r="C9388" t="s">
        <v>55</v>
      </c>
      <c r="D9388" t="s">
        <v>702</v>
      </c>
      <c r="E9388">
        <v>79.92</v>
      </c>
      <c r="F9388">
        <v>4</v>
      </c>
      <c r="G9388">
        <v>0</v>
      </c>
      <c r="H9388">
        <v>37.562399999999997</v>
      </c>
      <c r="U9388">
        <v>37.562399999999997</v>
      </c>
    </row>
    <row r="9389" spans="1:21" x14ac:dyDescent="0.35">
      <c r="A9389" t="s">
        <v>1878</v>
      </c>
      <c r="B9389" t="s">
        <v>1814</v>
      </c>
      <c r="C9389" t="s">
        <v>55</v>
      </c>
      <c r="D9389" t="s">
        <v>602</v>
      </c>
      <c r="E9389">
        <v>12.28</v>
      </c>
      <c r="F9389">
        <v>1</v>
      </c>
      <c r="G9389">
        <v>0</v>
      </c>
      <c r="H9389">
        <v>5.7716000000000003</v>
      </c>
      <c r="U9389">
        <v>5.7716000000000003</v>
      </c>
    </row>
    <row r="9390" spans="1:21" x14ac:dyDescent="0.35">
      <c r="A9390" t="s">
        <v>1878</v>
      </c>
      <c r="B9390" t="s">
        <v>1814</v>
      </c>
      <c r="C9390" t="s">
        <v>55</v>
      </c>
      <c r="D9390" t="s">
        <v>1800</v>
      </c>
      <c r="E9390">
        <v>542.94000000000005</v>
      </c>
      <c r="F9390">
        <v>3</v>
      </c>
      <c r="G9390">
        <v>0</v>
      </c>
      <c r="H9390">
        <v>152.0232</v>
      </c>
      <c r="U9390">
        <v>152.0232</v>
      </c>
    </row>
    <row r="9391" spans="1:21" x14ac:dyDescent="0.35">
      <c r="A9391" t="s">
        <v>1878</v>
      </c>
      <c r="B9391" t="s">
        <v>1814</v>
      </c>
      <c r="C9391" t="s">
        <v>55</v>
      </c>
      <c r="D9391" t="s">
        <v>68</v>
      </c>
      <c r="E9391">
        <v>2.04</v>
      </c>
      <c r="F9391">
        <v>1</v>
      </c>
      <c r="G9391">
        <v>0</v>
      </c>
      <c r="H9391">
        <v>0.95879999999999999</v>
      </c>
      <c r="U9391">
        <v>0.95879999999999999</v>
      </c>
    </row>
    <row r="9392" spans="1:21" x14ac:dyDescent="0.35">
      <c r="A9392" t="s">
        <v>2420</v>
      </c>
      <c r="B9392" t="s">
        <v>1613</v>
      </c>
      <c r="C9392" t="s">
        <v>35</v>
      </c>
      <c r="D9392" t="s">
        <v>2031</v>
      </c>
      <c r="E9392">
        <v>228.92</v>
      </c>
      <c r="F9392">
        <v>5</v>
      </c>
      <c r="G9392">
        <v>0.2</v>
      </c>
      <c r="H9392">
        <v>14.307499999999999</v>
      </c>
      <c r="U9392">
        <v>14.307499999999999</v>
      </c>
    </row>
    <row r="9393" spans="1:21" x14ac:dyDescent="0.35">
      <c r="A9393" t="s">
        <v>1906</v>
      </c>
      <c r="B9393" t="s">
        <v>1430</v>
      </c>
      <c r="C9393" t="s">
        <v>35</v>
      </c>
      <c r="D9393" t="s">
        <v>1449</v>
      </c>
      <c r="E9393">
        <v>7.992</v>
      </c>
      <c r="F9393">
        <v>1</v>
      </c>
      <c r="G9393">
        <v>0.2</v>
      </c>
      <c r="H9393">
        <v>2.5973999999999999</v>
      </c>
      <c r="U9393">
        <v>2.5973999999999999</v>
      </c>
    </row>
    <row r="9394" spans="1:21" x14ac:dyDescent="0.35">
      <c r="A9394" t="s">
        <v>2512</v>
      </c>
      <c r="B9394" t="s">
        <v>1370</v>
      </c>
      <c r="C9394" t="s">
        <v>13</v>
      </c>
      <c r="D9394" t="s">
        <v>2265</v>
      </c>
      <c r="E9394">
        <v>582.33600000000001</v>
      </c>
      <c r="F9394">
        <v>8</v>
      </c>
      <c r="G9394">
        <v>0.2</v>
      </c>
      <c r="H9394">
        <v>-29.116800000000001</v>
      </c>
      <c r="U9394">
        <v>-29.116800000000001</v>
      </c>
    </row>
    <row r="9395" spans="1:21" x14ac:dyDescent="0.35">
      <c r="A9395" t="s">
        <v>251</v>
      </c>
      <c r="B9395" t="s">
        <v>2046</v>
      </c>
      <c r="C9395" t="s">
        <v>55</v>
      </c>
      <c r="D9395" t="s">
        <v>2394</v>
      </c>
      <c r="E9395">
        <v>629.95000000000005</v>
      </c>
      <c r="F9395">
        <v>5</v>
      </c>
      <c r="G9395">
        <v>0</v>
      </c>
      <c r="H9395">
        <v>157.48750000000001</v>
      </c>
      <c r="U9395">
        <v>157.48750000000001</v>
      </c>
    </row>
    <row r="9396" spans="1:21" x14ac:dyDescent="0.35">
      <c r="A9396" t="s">
        <v>251</v>
      </c>
      <c r="B9396" t="s">
        <v>2046</v>
      </c>
      <c r="C9396" t="s">
        <v>55</v>
      </c>
      <c r="D9396" t="s">
        <v>1165</v>
      </c>
      <c r="E9396">
        <v>631.78200000000004</v>
      </c>
      <c r="F9396">
        <v>2</v>
      </c>
      <c r="G9396">
        <v>0.1</v>
      </c>
      <c r="H9396">
        <v>140.39599999999999</v>
      </c>
      <c r="U9396">
        <v>140.39599999999999</v>
      </c>
    </row>
    <row r="9397" spans="1:21" x14ac:dyDescent="0.35">
      <c r="A9397" t="s">
        <v>251</v>
      </c>
      <c r="B9397" t="s">
        <v>2046</v>
      </c>
      <c r="C9397" t="s">
        <v>55</v>
      </c>
      <c r="D9397" t="s">
        <v>1981</v>
      </c>
      <c r="E9397">
        <v>801.56799999999998</v>
      </c>
      <c r="F9397">
        <v>2</v>
      </c>
      <c r="G9397">
        <v>0.2</v>
      </c>
      <c r="H9397">
        <v>-10.019600000000001</v>
      </c>
      <c r="U9397">
        <v>-10.019600000000001</v>
      </c>
    </row>
    <row r="9398" spans="1:21" x14ac:dyDescent="0.35">
      <c r="A9398" t="s">
        <v>251</v>
      </c>
      <c r="B9398" t="s">
        <v>2046</v>
      </c>
      <c r="C9398" t="s">
        <v>55</v>
      </c>
      <c r="D9398" t="s">
        <v>113</v>
      </c>
      <c r="E9398">
        <v>75.180000000000007</v>
      </c>
      <c r="F9398">
        <v>6</v>
      </c>
      <c r="G9398">
        <v>0</v>
      </c>
      <c r="H9398">
        <v>35.334600000000002</v>
      </c>
      <c r="U9398">
        <v>35.334600000000002</v>
      </c>
    </row>
    <row r="9399" spans="1:21" x14ac:dyDescent="0.35">
      <c r="A9399" t="s">
        <v>251</v>
      </c>
      <c r="B9399" t="s">
        <v>2046</v>
      </c>
      <c r="C9399" t="s">
        <v>55</v>
      </c>
      <c r="D9399" t="s">
        <v>2019</v>
      </c>
      <c r="E9399">
        <v>30.98</v>
      </c>
      <c r="F9399">
        <v>1</v>
      </c>
      <c r="G9399">
        <v>0</v>
      </c>
      <c r="H9399">
        <v>8.0548000000000002</v>
      </c>
      <c r="U9399">
        <v>8.0548000000000002</v>
      </c>
    </row>
    <row r="9400" spans="1:21" x14ac:dyDescent="0.35">
      <c r="A9400" t="s">
        <v>251</v>
      </c>
      <c r="B9400" t="s">
        <v>2046</v>
      </c>
      <c r="C9400" t="s">
        <v>55</v>
      </c>
      <c r="D9400" t="s">
        <v>2106</v>
      </c>
      <c r="E9400">
        <v>1349.91</v>
      </c>
      <c r="F9400">
        <v>9</v>
      </c>
      <c r="G9400">
        <v>0</v>
      </c>
      <c r="H9400">
        <v>661.45590000000004</v>
      </c>
      <c r="U9400">
        <v>661.45590000000004</v>
      </c>
    </row>
    <row r="9401" spans="1:21" x14ac:dyDescent="0.35">
      <c r="A9401" s="1">
        <v>42685</v>
      </c>
      <c r="B9401" t="s">
        <v>2741</v>
      </c>
      <c r="C9401" t="s">
        <v>35</v>
      </c>
      <c r="D9401" t="s">
        <v>919</v>
      </c>
      <c r="E9401">
        <v>14.112</v>
      </c>
      <c r="F9401">
        <v>6</v>
      </c>
      <c r="G9401">
        <v>0.2</v>
      </c>
      <c r="H9401">
        <v>1.2347999999999999</v>
      </c>
      <c r="U9401">
        <v>1.2347999999999999</v>
      </c>
    </row>
    <row r="9402" spans="1:21" x14ac:dyDescent="0.35">
      <c r="A9402" t="s">
        <v>2662</v>
      </c>
      <c r="B9402" t="s">
        <v>883</v>
      </c>
      <c r="C9402" t="s">
        <v>8</v>
      </c>
      <c r="D9402" t="s">
        <v>314</v>
      </c>
      <c r="E9402">
        <v>31.12</v>
      </c>
      <c r="F9402">
        <v>4</v>
      </c>
      <c r="G9402">
        <v>0</v>
      </c>
      <c r="H9402">
        <v>14.6264</v>
      </c>
      <c r="U9402">
        <v>14.6264</v>
      </c>
    </row>
    <row r="9403" spans="1:21" x14ac:dyDescent="0.35">
      <c r="A9403" t="s">
        <v>1855</v>
      </c>
      <c r="B9403" t="s">
        <v>906</v>
      </c>
      <c r="C9403" t="s">
        <v>13</v>
      </c>
      <c r="D9403" t="s">
        <v>2411</v>
      </c>
      <c r="E9403">
        <v>4.2720000000000002</v>
      </c>
      <c r="F9403">
        <v>2</v>
      </c>
      <c r="G9403">
        <v>0.2</v>
      </c>
      <c r="H9403">
        <v>0.96120000000000005</v>
      </c>
      <c r="U9403">
        <v>0.96120000000000005</v>
      </c>
    </row>
    <row r="9404" spans="1:21" x14ac:dyDescent="0.35">
      <c r="A9404" s="1">
        <v>42712</v>
      </c>
      <c r="B9404" t="s">
        <v>1502</v>
      </c>
      <c r="C9404" t="s">
        <v>55</v>
      </c>
      <c r="D9404" t="s">
        <v>1096</v>
      </c>
      <c r="E9404">
        <v>209.148</v>
      </c>
      <c r="F9404">
        <v>2</v>
      </c>
      <c r="G9404">
        <v>0.4</v>
      </c>
      <c r="H9404">
        <v>-66.230199999999996</v>
      </c>
      <c r="U9404">
        <v>-66.230199999999996</v>
      </c>
    </row>
    <row r="9405" spans="1:21" x14ac:dyDescent="0.35">
      <c r="A9405" s="1">
        <v>42712</v>
      </c>
      <c r="B9405" t="s">
        <v>1502</v>
      </c>
      <c r="C9405" t="s">
        <v>55</v>
      </c>
      <c r="D9405" t="s">
        <v>1974</v>
      </c>
      <c r="E9405">
        <v>1591.02</v>
      </c>
      <c r="F9405">
        <v>6</v>
      </c>
      <c r="G9405">
        <v>0</v>
      </c>
      <c r="H9405">
        <v>286.3836</v>
      </c>
      <c r="U9405">
        <v>286.3836</v>
      </c>
    </row>
    <row r="9406" spans="1:21" x14ac:dyDescent="0.35">
      <c r="A9406" t="s">
        <v>1983</v>
      </c>
      <c r="B9406" t="s">
        <v>1198</v>
      </c>
      <c r="C9406" t="s">
        <v>55</v>
      </c>
      <c r="D9406" t="s">
        <v>1969</v>
      </c>
      <c r="E9406">
        <v>7.92</v>
      </c>
      <c r="F9406">
        <v>5</v>
      </c>
      <c r="G9406">
        <v>0.2</v>
      </c>
      <c r="H9406">
        <v>1.6830000000000001</v>
      </c>
      <c r="U9406">
        <v>1.6830000000000001</v>
      </c>
    </row>
    <row r="9407" spans="1:21" x14ac:dyDescent="0.35">
      <c r="A9407" t="s">
        <v>1454</v>
      </c>
      <c r="B9407" t="s">
        <v>204</v>
      </c>
      <c r="C9407" t="s">
        <v>35</v>
      </c>
      <c r="D9407" t="s">
        <v>2207</v>
      </c>
      <c r="E9407">
        <v>574.91</v>
      </c>
      <c r="F9407">
        <v>2</v>
      </c>
      <c r="G9407">
        <v>0.3</v>
      </c>
      <c r="H9407">
        <v>156.047</v>
      </c>
      <c r="U9407">
        <v>156.047</v>
      </c>
    </row>
    <row r="9408" spans="1:21" x14ac:dyDescent="0.35">
      <c r="A9408" t="s">
        <v>1454</v>
      </c>
      <c r="B9408" t="s">
        <v>204</v>
      </c>
      <c r="C9408" t="s">
        <v>35</v>
      </c>
      <c r="D9408" t="s">
        <v>2601</v>
      </c>
      <c r="E9408">
        <v>8.4480000000000004</v>
      </c>
      <c r="F9408">
        <v>2</v>
      </c>
      <c r="G9408">
        <v>0.2</v>
      </c>
      <c r="H9408">
        <v>2.64</v>
      </c>
      <c r="U9408">
        <v>2.64</v>
      </c>
    </row>
    <row r="9409" spans="1:21" x14ac:dyDescent="0.35">
      <c r="A9409" t="s">
        <v>1101</v>
      </c>
      <c r="B9409" t="s">
        <v>390</v>
      </c>
      <c r="C9409" t="s">
        <v>55</v>
      </c>
      <c r="D9409" t="s">
        <v>1916</v>
      </c>
      <c r="E9409">
        <v>1071</v>
      </c>
      <c r="F9409">
        <v>9</v>
      </c>
      <c r="G9409">
        <v>0</v>
      </c>
      <c r="H9409">
        <v>171.36</v>
      </c>
      <c r="U9409">
        <v>171.36</v>
      </c>
    </row>
    <row r="9410" spans="1:21" x14ac:dyDescent="0.35">
      <c r="A9410" t="s">
        <v>1101</v>
      </c>
      <c r="B9410" t="s">
        <v>390</v>
      </c>
      <c r="C9410" t="s">
        <v>55</v>
      </c>
      <c r="D9410" t="s">
        <v>2592</v>
      </c>
      <c r="E9410">
        <v>12.07</v>
      </c>
      <c r="F9410">
        <v>1</v>
      </c>
      <c r="G9410">
        <v>0</v>
      </c>
      <c r="H9410">
        <v>3.9830999999999999</v>
      </c>
      <c r="U9410">
        <v>3.9830999999999999</v>
      </c>
    </row>
    <row r="9411" spans="1:21" x14ac:dyDescent="0.35">
      <c r="A9411" s="1">
        <v>43020</v>
      </c>
      <c r="B9411" t="s">
        <v>1990</v>
      </c>
      <c r="C9411" t="s">
        <v>55</v>
      </c>
      <c r="D9411" t="s">
        <v>1128</v>
      </c>
      <c r="E9411">
        <v>3.2730000000000001</v>
      </c>
      <c r="F9411">
        <v>1</v>
      </c>
      <c r="G9411">
        <v>0.7</v>
      </c>
      <c r="H9411">
        <v>-2.5093000000000001</v>
      </c>
      <c r="U9411">
        <v>-2.5093000000000001</v>
      </c>
    </row>
    <row r="9412" spans="1:21" x14ac:dyDescent="0.35">
      <c r="A9412" s="1">
        <v>43020</v>
      </c>
      <c r="B9412" t="s">
        <v>1990</v>
      </c>
      <c r="C9412" t="s">
        <v>55</v>
      </c>
      <c r="D9412" t="s">
        <v>926</v>
      </c>
      <c r="E9412">
        <v>87.92</v>
      </c>
      <c r="F9412">
        <v>5</v>
      </c>
      <c r="G9412">
        <v>0.2</v>
      </c>
      <c r="H9412">
        <v>15.385999999999999</v>
      </c>
      <c r="U9412">
        <v>15.385999999999999</v>
      </c>
    </row>
    <row r="9413" spans="1:21" x14ac:dyDescent="0.35">
      <c r="A9413" s="1">
        <v>42646</v>
      </c>
      <c r="B9413" t="s">
        <v>788</v>
      </c>
      <c r="C9413" t="s">
        <v>13</v>
      </c>
      <c r="D9413" t="s">
        <v>969</v>
      </c>
      <c r="E9413">
        <v>104.696</v>
      </c>
      <c r="F9413">
        <v>1</v>
      </c>
      <c r="G9413">
        <v>0.2</v>
      </c>
      <c r="H9413">
        <v>6.5434999999999999</v>
      </c>
      <c r="U9413">
        <v>6.5434999999999999</v>
      </c>
    </row>
    <row r="9414" spans="1:21" x14ac:dyDescent="0.35">
      <c r="A9414" t="s">
        <v>1947</v>
      </c>
      <c r="B9414" t="s">
        <v>996</v>
      </c>
      <c r="C9414" t="s">
        <v>13</v>
      </c>
      <c r="D9414" t="s">
        <v>893</v>
      </c>
      <c r="E9414">
        <v>2803.92</v>
      </c>
      <c r="F9414">
        <v>5</v>
      </c>
      <c r="G9414">
        <v>0.2</v>
      </c>
      <c r="H9414">
        <v>0</v>
      </c>
      <c r="U9414">
        <v>0</v>
      </c>
    </row>
    <row r="9415" spans="1:21" x14ac:dyDescent="0.35">
      <c r="A9415" t="s">
        <v>769</v>
      </c>
      <c r="B9415" t="s">
        <v>2023</v>
      </c>
      <c r="C9415" t="s">
        <v>35</v>
      </c>
      <c r="D9415" t="s">
        <v>1407</v>
      </c>
      <c r="E9415">
        <v>6.8159999999999998</v>
      </c>
      <c r="F9415">
        <v>2</v>
      </c>
      <c r="G9415">
        <v>0.8</v>
      </c>
      <c r="H9415">
        <v>-11.587199999999999</v>
      </c>
      <c r="U9415">
        <v>-11.587199999999999</v>
      </c>
    </row>
    <row r="9416" spans="1:21" x14ac:dyDescent="0.35">
      <c r="A9416" t="s">
        <v>15</v>
      </c>
      <c r="B9416" t="s">
        <v>1877</v>
      </c>
      <c r="C9416" t="s">
        <v>13</v>
      </c>
      <c r="D9416" t="s">
        <v>2679</v>
      </c>
      <c r="E9416">
        <v>249.584</v>
      </c>
      <c r="F9416">
        <v>2</v>
      </c>
      <c r="G9416">
        <v>0.2</v>
      </c>
      <c r="H9416">
        <v>15.599</v>
      </c>
      <c r="U9416">
        <v>15.599</v>
      </c>
    </row>
    <row r="9417" spans="1:21" x14ac:dyDescent="0.35">
      <c r="A9417" t="s">
        <v>15</v>
      </c>
      <c r="B9417" t="s">
        <v>1877</v>
      </c>
      <c r="C9417" t="s">
        <v>13</v>
      </c>
      <c r="D9417" t="s">
        <v>2100</v>
      </c>
      <c r="E9417">
        <v>17.940000000000001</v>
      </c>
      <c r="F9417">
        <v>3</v>
      </c>
      <c r="G9417">
        <v>0</v>
      </c>
      <c r="H9417">
        <v>8.7905999999999995</v>
      </c>
      <c r="U9417">
        <v>8.7905999999999995</v>
      </c>
    </row>
    <row r="9418" spans="1:21" x14ac:dyDescent="0.35">
      <c r="A9418" t="s">
        <v>15</v>
      </c>
      <c r="B9418" t="s">
        <v>1877</v>
      </c>
      <c r="C9418" t="s">
        <v>13</v>
      </c>
      <c r="D9418" t="s">
        <v>444</v>
      </c>
      <c r="E9418">
        <v>10.11</v>
      </c>
      <c r="F9418">
        <v>3</v>
      </c>
      <c r="G9418">
        <v>0</v>
      </c>
      <c r="H9418">
        <v>3.2351999999999999</v>
      </c>
      <c r="U9418">
        <v>3.2351999999999999</v>
      </c>
    </row>
    <row r="9419" spans="1:21" x14ac:dyDescent="0.35">
      <c r="A9419" t="s">
        <v>2742</v>
      </c>
      <c r="B9419" t="s">
        <v>1065</v>
      </c>
      <c r="C9419" t="s">
        <v>8</v>
      </c>
      <c r="D9419" t="s">
        <v>1349</v>
      </c>
      <c r="E9419">
        <v>10.368</v>
      </c>
      <c r="F9419">
        <v>2</v>
      </c>
      <c r="G9419">
        <v>0.2</v>
      </c>
      <c r="H9419">
        <v>3.6288</v>
      </c>
      <c r="U9419">
        <v>3.6288</v>
      </c>
    </row>
    <row r="9420" spans="1:21" x14ac:dyDescent="0.35">
      <c r="A9420" t="s">
        <v>2742</v>
      </c>
      <c r="B9420" t="s">
        <v>1065</v>
      </c>
      <c r="C9420" t="s">
        <v>8</v>
      </c>
      <c r="D9420" t="s">
        <v>75</v>
      </c>
      <c r="E9420">
        <v>11.952</v>
      </c>
      <c r="F9420">
        <v>3</v>
      </c>
      <c r="G9420">
        <v>0.2</v>
      </c>
      <c r="H9420">
        <v>4.0338000000000003</v>
      </c>
      <c r="U9420">
        <v>4.0338000000000003</v>
      </c>
    </row>
    <row r="9421" spans="1:21" x14ac:dyDescent="0.35">
      <c r="A9421" s="1">
        <v>42776</v>
      </c>
      <c r="B9421" t="s">
        <v>1072</v>
      </c>
      <c r="C9421" t="s">
        <v>35</v>
      </c>
      <c r="D9421" t="s">
        <v>942</v>
      </c>
      <c r="E9421">
        <v>15.224</v>
      </c>
      <c r="F9421">
        <v>2</v>
      </c>
      <c r="G9421">
        <v>0.8</v>
      </c>
      <c r="H9421">
        <v>-38.821199999999997</v>
      </c>
      <c r="U9421">
        <v>-38.821199999999997</v>
      </c>
    </row>
    <row r="9422" spans="1:21" x14ac:dyDescent="0.35">
      <c r="A9422" s="1">
        <v>42776</v>
      </c>
      <c r="B9422" t="s">
        <v>1072</v>
      </c>
      <c r="C9422" t="s">
        <v>35</v>
      </c>
      <c r="D9422" t="s">
        <v>2392</v>
      </c>
      <c r="E9422">
        <v>21.984000000000002</v>
      </c>
      <c r="F9422">
        <v>6</v>
      </c>
      <c r="G9422">
        <v>0.8</v>
      </c>
      <c r="H9422">
        <v>-56.059199999999997</v>
      </c>
      <c r="U9422">
        <v>-56.059199999999997</v>
      </c>
    </row>
    <row r="9423" spans="1:21" x14ac:dyDescent="0.35">
      <c r="A9423" t="s">
        <v>631</v>
      </c>
      <c r="B9423" t="s">
        <v>2401</v>
      </c>
      <c r="C9423" t="s">
        <v>13</v>
      </c>
      <c r="D9423" t="s">
        <v>1747</v>
      </c>
      <c r="E9423">
        <v>604.75199999999995</v>
      </c>
      <c r="F9423">
        <v>6</v>
      </c>
      <c r="G9423">
        <v>0.2</v>
      </c>
      <c r="H9423">
        <v>60.475200000000001</v>
      </c>
      <c r="U9423">
        <v>60.475200000000001</v>
      </c>
    </row>
    <row r="9424" spans="1:21" x14ac:dyDescent="0.35">
      <c r="A9424" t="s">
        <v>631</v>
      </c>
      <c r="B9424" t="s">
        <v>2401</v>
      </c>
      <c r="C9424" t="s">
        <v>13</v>
      </c>
      <c r="D9424" t="s">
        <v>1073</v>
      </c>
      <c r="E9424">
        <v>40.700000000000003</v>
      </c>
      <c r="F9424">
        <v>5</v>
      </c>
      <c r="G9424">
        <v>0</v>
      </c>
      <c r="H9424">
        <v>11.803000000000001</v>
      </c>
      <c r="U9424">
        <v>11.803000000000001</v>
      </c>
    </row>
    <row r="9425" spans="1:21" x14ac:dyDescent="0.35">
      <c r="A9425" t="s">
        <v>631</v>
      </c>
      <c r="B9425" t="s">
        <v>2401</v>
      </c>
      <c r="C9425" t="s">
        <v>13</v>
      </c>
      <c r="D9425" t="s">
        <v>2212</v>
      </c>
      <c r="E9425">
        <v>302.37599999999998</v>
      </c>
      <c r="F9425">
        <v>3</v>
      </c>
      <c r="G9425">
        <v>0.2</v>
      </c>
      <c r="H9425">
        <v>37.796999999999997</v>
      </c>
      <c r="U9425">
        <v>37.796999999999997</v>
      </c>
    </row>
    <row r="9426" spans="1:21" x14ac:dyDescent="0.35">
      <c r="A9426" t="s">
        <v>631</v>
      </c>
      <c r="B9426" t="s">
        <v>2401</v>
      </c>
      <c r="C9426" t="s">
        <v>13</v>
      </c>
      <c r="D9426" t="s">
        <v>108</v>
      </c>
      <c r="E9426">
        <v>45</v>
      </c>
      <c r="F9426">
        <v>3</v>
      </c>
      <c r="G9426">
        <v>0</v>
      </c>
      <c r="H9426">
        <v>4.95</v>
      </c>
      <c r="U9426">
        <v>4.95</v>
      </c>
    </row>
    <row r="9427" spans="1:21" x14ac:dyDescent="0.35">
      <c r="A9427" s="1">
        <v>41982</v>
      </c>
      <c r="B9427" t="s">
        <v>1937</v>
      </c>
      <c r="C9427" t="s">
        <v>55</v>
      </c>
      <c r="D9427" t="s">
        <v>893</v>
      </c>
      <c r="E9427">
        <v>3785.2919999999999</v>
      </c>
      <c r="F9427">
        <v>6</v>
      </c>
      <c r="G9427">
        <v>0.1</v>
      </c>
      <c r="H9427">
        <v>420.58800000000002</v>
      </c>
      <c r="U9427">
        <v>420.58800000000002</v>
      </c>
    </row>
    <row r="9428" spans="1:21" x14ac:dyDescent="0.35">
      <c r="A9428" t="s">
        <v>1162</v>
      </c>
      <c r="B9428" t="s">
        <v>2489</v>
      </c>
      <c r="C9428" t="s">
        <v>13</v>
      </c>
      <c r="D9428" t="s">
        <v>2513</v>
      </c>
      <c r="E9428">
        <v>35.4</v>
      </c>
      <c r="F9428">
        <v>5</v>
      </c>
      <c r="G9428">
        <v>0</v>
      </c>
      <c r="H9428">
        <v>13.452</v>
      </c>
      <c r="U9428">
        <v>13.452</v>
      </c>
    </row>
    <row r="9429" spans="1:21" x14ac:dyDescent="0.35">
      <c r="A9429" t="s">
        <v>1671</v>
      </c>
      <c r="B9429" t="s">
        <v>2376</v>
      </c>
      <c r="C9429" t="s">
        <v>55</v>
      </c>
      <c r="D9429" t="s">
        <v>1494</v>
      </c>
      <c r="E9429">
        <v>199.9</v>
      </c>
      <c r="F9429">
        <v>5</v>
      </c>
      <c r="G9429">
        <v>0</v>
      </c>
      <c r="H9429">
        <v>39.979999999999997</v>
      </c>
      <c r="U9429">
        <v>39.979999999999997</v>
      </c>
    </row>
    <row r="9430" spans="1:21" x14ac:dyDescent="0.35">
      <c r="A9430" s="1">
        <v>41948</v>
      </c>
      <c r="B9430" t="s">
        <v>404</v>
      </c>
      <c r="C9430" t="s">
        <v>35</v>
      </c>
      <c r="D9430" t="s">
        <v>719</v>
      </c>
      <c r="E9430">
        <v>1212.96</v>
      </c>
      <c r="F9430">
        <v>8</v>
      </c>
      <c r="G9430">
        <v>0.3</v>
      </c>
      <c r="H9430">
        <v>-69.311999999999998</v>
      </c>
      <c r="U9430">
        <v>-69.311999999999998</v>
      </c>
    </row>
    <row r="9431" spans="1:21" x14ac:dyDescent="0.35">
      <c r="A9431" t="s">
        <v>1013</v>
      </c>
      <c r="B9431" t="s">
        <v>545</v>
      </c>
      <c r="C9431" t="s">
        <v>35</v>
      </c>
      <c r="D9431" t="s">
        <v>1506</v>
      </c>
      <c r="E9431">
        <v>1099.96</v>
      </c>
      <c r="F9431">
        <v>5</v>
      </c>
      <c r="G9431">
        <v>0.2</v>
      </c>
      <c r="H9431">
        <v>82.497</v>
      </c>
      <c r="U9431">
        <v>82.497</v>
      </c>
    </row>
    <row r="9432" spans="1:21" x14ac:dyDescent="0.35">
      <c r="A9432" t="s">
        <v>1013</v>
      </c>
      <c r="B9432" t="s">
        <v>545</v>
      </c>
      <c r="C9432" t="s">
        <v>35</v>
      </c>
      <c r="D9432" t="s">
        <v>1810</v>
      </c>
      <c r="E9432">
        <v>103.48099999999999</v>
      </c>
      <c r="F9432">
        <v>1</v>
      </c>
      <c r="G9432">
        <v>0.3</v>
      </c>
      <c r="H9432">
        <v>-16.261299999999999</v>
      </c>
      <c r="U9432">
        <v>-16.261299999999999</v>
      </c>
    </row>
    <row r="9433" spans="1:21" x14ac:dyDescent="0.35">
      <c r="A9433" t="s">
        <v>2420</v>
      </c>
      <c r="B9433" t="s">
        <v>1605</v>
      </c>
      <c r="C9433" t="s">
        <v>55</v>
      </c>
      <c r="D9433" t="s">
        <v>2738</v>
      </c>
      <c r="E9433">
        <v>5.9039999999999999</v>
      </c>
      <c r="F9433">
        <v>2</v>
      </c>
      <c r="G9433">
        <v>0.2</v>
      </c>
      <c r="H9433">
        <v>1.9925999999999999</v>
      </c>
      <c r="U9433">
        <v>1.9925999999999999</v>
      </c>
    </row>
    <row r="9434" spans="1:21" x14ac:dyDescent="0.35">
      <c r="A9434" t="s">
        <v>1646</v>
      </c>
      <c r="B9434" t="s">
        <v>242</v>
      </c>
      <c r="C9434" t="s">
        <v>13</v>
      </c>
      <c r="D9434" t="s">
        <v>1918</v>
      </c>
      <c r="E9434">
        <v>30.08</v>
      </c>
      <c r="F9434">
        <v>2</v>
      </c>
      <c r="G9434">
        <v>0.2</v>
      </c>
      <c r="H9434">
        <v>-5.2640000000000002</v>
      </c>
      <c r="U9434">
        <v>-5.2640000000000002</v>
      </c>
    </row>
    <row r="9435" spans="1:21" x14ac:dyDescent="0.35">
      <c r="A9435" t="s">
        <v>1646</v>
      </c>
      <c r="B9435" t="s">
        <v>242</v>
      </c>
      <c r="C9435" t="s">
        <v>13</v>
      </c>
      <c r="D9435" t="s">
        <v>555</v>
      </c>
      <c r="E9435">
        <v>36.287999999999997</v>
      </c>
      <c r="F9435">
        <v>7</v>
      </c>
      <c r="G9435">
        <v>0.2</v>
      </c>
      <c r="H9435">
        <v>12.700799999999999</v>
      </c>
      <c r="U9435">
        <v>12.700799999999999</v>
      </c>
    </row>
    <row r="9436" spans="1:21" x14ac:dyDescent="0.35">
      <c r="A9436" t="s">
        <v>1646</v>
      </c>
      <c r="B9436" t="s">
        <v>242</v>
      </c>
      <c r="C9436" t="s">
        <v>13</v>
      </c>
      <c r="D9436" t="s">
        <v>1362</v>
      </c>
      <c r="E9436">
        <v>10.272</v>
      </c>
      <c r="F9436">
        <v>3</v>
      </c>
      <c r="G9436">
        <v>0.2</v>
      </c>
      <c r="H9436">
        <v>1.1556</v>
      </c>
      <c r="U9436">
        <v>1.1556</v>
      </c>
    </row>
    <row r="9437" spans="1:21" x14ac:dyDescent="0.35">
      <c r="A9437" t="s">
        <v>1646</v>
      </c>
      <c r="B9437" t="s">
        <v>242</v>
      </c>
      <c r="C9437" t="s">
        <v>13</v>
      </c>
      <c r="D9437" t="s">
        <v>1003</v>
      </c>
      <c r="E9437">
        <v>252.8</v>
      </c>
      <c r="F9437">
        <v>4</v>
      </c>
      <c r="G9437">
        <v>0.2</v>
      </c>
      <c r="H9437">
        <v>-31.6</v>
      </c>
      <c r="U9437">
        <v>-31.6</v>
      </c>
    </row>
    <row r="9438" spans="1:21" x14ac:dyDescent="0.35">
      <c r="A9438" t="s">
        <v>57</v>
      </c>
      <c r="B9438" t="s">
        <v>1121</v>
      </c>
      <c r="C9438" t="s">
        <v>55</v>
      </c>
      <c r="D9438" t="s">
        <v>1223</v>
      </c>
      <c r="E9438">
        <v>2.9460000000000002</v>
      </c>
      <c r="F9438">
        <v>2</v>
      </c>
      <c r="G9438">
        <v>0.7</v>
      </c>
      <c r="H9438">
        <v>-2.0621999999999998</v>
      </c>
      <c r="U9438">
        <v>-2.0621999999999998</v>
      </c>
    </row>
    <row r="9439" spans="1:21" x14ac:dyDescent="0.35">
      <c r="A9439" t="s">
        <v>1309</v>
      </c>
      <c r="B9439" t="s">
        <v>1139</v>
      </c>
      <c r="C9439" t="s">
        <v>13</v>
      </c>
      <c r="D9439" t="s">
        <v>2243</v>
      </c>
      <c r="E9439">
        <v>12.96</v>
      </c>
      <c r="F9439">
        <v>2</v>
      </c>
      <c r="G9439">
        <v>0</v>
      </c>
      <c r="H9439">
        <v>6.2207999999999997</v>
      </c>
      <c r="U9439">
        <v>6.2207999999999997</v>
      </c>
    </row>
    <row r="9440" spans="1:21" x14ac:dyDescent="0.35">
      <c r="A9440" t="s">
        <v>2025</v>
      </c>
      <c r="B9440" t="s">
        <v>1495</v>
      </c>
      <c r="C9440" t="s">
        <v>55</v>
      </c>
      <c r="D9440" t="s">
        <v>2017</v>
      </c>
      <c r="E9440">
        <v>285.57600000000002</v>
      </c>
      <c r="F9440">
        <v>4</v>
      </c>
      <c r="G9440">
        <v>0.4</v>
      </c>
      <c r="H9440">
        <v>-57.115200000000002</v>
      </c>
      <c r="U9440">
        <v>-57.115200000000002</v>
      </c>
    </row>
    <row r="9441" spans="1:21" x14ac:dyDescent="0.35">
      <c r="A9441" s="1">
        <v>41983</v>
      </c>
      <c r="B9441" t="s">
        <v>2636</v>
      </c>
      <c r="C9441" t="s">
        <v>35</v>
      </c>
      <c r="D9441" t="s">
        <v>1920</v>
      </c>
      <c r="E9441">
        <v>22.24</v>
      </c>
      <c r="F9441">
        <v>2</v>
      </c>
      <c r="G9441">
        <v>0.2</v>
      </c>
      <c r="H9441">
        <v>2.5019999999999998</v>
      </c>
      <c r="U9441">
        <v>2.5019999999999998</v>
      </c>
    </row>
    <row r="9442" spans="1:21" x14ac:dyDescent="0.35">
      <c r="A9442" t="s">
        <v>1315</v>
      </c>
      <c r="B9442" t="s">
        <v>2628</v>
      </c>
      <c r="C9442" t="s">
        <v>55</v>
      </c>
      <c r="D9442" t="s">
        <v>2307</v>
      </c>
      <c r="E9442">
        <v>14.62</v>
      </c>
      <c r="F9442">
        <v>2</v>
      </c>
      <c r="G9442">
        <v>0</v>
      </c>
      <c r="H9442">
        <v>6.7252000000000001</v>
      </c>
      <c r="U9442">
        <v>6.7252000000000001</v>
      </c>
    </row>
    <row r="9443" spans="1:21" x14ac:dyDescent="0.35">
      <c r="A9443" t="s">
        <v>1097</v>
      </c>
      <c r="B9443" t="s">
        <v>2743</v>
      </c>
      <c r="C9443" t="s">
        <v>55</v>
      </c>
      <c r="D9443" t="s">
        <v>1919</v>
      </c>
      <c r="E9443">
        <v>48.36</v>
      </c>
      <c r="F9443">
        <v>5</v>
      </c>
      <c r="G9443">
        <v>0.2</v>
      </c>
      <c r="H9443">
        <v>6.0449999999999999</v>
      </c>
      <c r="U9443">
        <v>6.0449999999999999</v>
      </c>
    </row>
    <row r="9444" spans="1:21" x14ac:dyDescent="0.35">
      <c r="A9444" s="1">
        <v>42920</v>
      </c>
      <c r="B9444" t="s">
        <v>1347</v>
      </c>
      <c r="C9444" t="s">
        <v>8</v>
      </c>
      <c r="D9444" t="s">
        <v>758</v>
      </c>
      <c r="E9444">
        <v>16.256</v>
      </c>
      <c r="F9444">
        <v>2</v>
      </c>
      <c r="G9444">
        <v>0.2</v>
      </c>
      <c r="H9444">
        <v>1.2192000000000001</v>
      </c>
      <c r="U9444">
        <v>1.2192000000000001</v>
      </c>
    </row>
    <row r="9445" spans="1:21" x14ac:dyDescent="0.35">
      <c r="A9445" s="1">
        <v>42920</v>
      </c>
      <c r="B9445" t="s">
        <v>1347</v>
      </c>
      <c r="C9445" t="s">
        <v>8</v>
      </c>
      <c r="D9445" t="s">
        <v>1402</v>
      </c>
      <c r="E9445">
        <v>219.184</v>
      </c>
      <c r="F9445">
        <v>2</v>
      </c>
      <c r="G9445">
        <v>0.2</v>
      </c>
      <c r="H9445">
        <v>19.178599999999999</v>
      </c>
      <c r="U9445">
        <v>19.178599999999999</v>
      </c>
    </row>
    <row r="9446" spans="1:21" x14ac:dyDescent="0.35">
      <c r="A9446" s="1">
        <v>42007</v>
      </c>
      <c r="B9446" t="s">
        <v>2483</v>
      </c>
      <c r="C9446" t="s">
        <v>35</v>
      </c>
      <c r="D9446" t="s">
        <v>2470</v>
      </c>
      <c r="E9446">
        <v>95.84</v>
      </c>
      <c r="F9446">
        <v>4</v>
      </c>
      <c r="G9446">
        <v>0.2</v>
      </c>
      <c r="H9446">
        <v>34.741999999999997</v>
      </c>
      <c r="U9446">
        <v>34.741999999999997</v>
      </c>
    </row>
    <row r="9447" spans="1:21" x14ac:dyDescent="0.35">
      <c r="A9447" t="s">
        <v>1277</v>
      </c>
      <c r="B9447" t="s">
        <v>189</v>
      </c>
      <c r="C9447" t="s">
        <v>35</v>
      </c>
      <c r="D9447" t="s">
        <v>1104</v>
      </c>
      <c r="E9447">
        <v>12.39</v>
      </c>
      <c r="F9447">
        <v>3</v>
      </c>
      <c r="G9447">
        <v>0</v>
      </c>
      <c r="H9447">
        <v>5.6993999999999998</v>
      </c>
      <c r="U9447">
        <v>5.6993999999999998</v>
      </c>
    </row>
    <row r="9448" spans="1:21" x14ac:dyDescent="0.35">
      <c r="A9448" t="s">
        <v>184</v>
      </c>
      <c r="B9448" t="s">
        <v>2244</v>
      </c>
      <c r="C9448" t="s">
        <v>35</v>
      </c>
      <c r="D9448" t="s">
        <v>2138</v>
      </c>
      <c r="E9448">
        <v>35.880000000000003</v>
      </c>
      <c r="F9448">
        <v>6</v>
      </c>
      <c r="G9448">
        <v>0</v>
      </c>
      <c r="H9448">
        <v>16.146000000000001</v>
      </c>
      <c r="U9448">
        <v>16.146000000000001</v>
      </c>
    </row>
    <row r="9449" spans="1:21" x14ac:dyDescent="0.35">
      <c r="A9449" t="s">
        <v>2300</v>
      </c>
      <c r="B9449" t="s">
        <v>165</v>
      </c>
      <c r="C9449" t="s">
        <v>35</v>
      </c>
      <c r="D9449" t="s">
        <v>78</v>
      </c>
      <c r="E9449">
        <v>477.3</v>
      </c>
      <c r="F9449">
        <v>5</v>
      </c>
      <c r="G9449">
        <v>0</v>
      </c>
      <c r="H9449">
        <v>138.417</v>
      </c>
      <c r="U9449">
        <v>138.417</v>
      </c>
    </row>
    <row r="9450" spans="1:21" x14ac:dyDescent="0.35">
      <c r="A9450" t="s">
        <v>183</v>
      </c>
      <c r="B9450" t="s">
        <v>1000</v>
      </c>
      <c r="C9450" t="s">
        <v>13</v>
      </c>
      <c r="D9450" t="s">
        <v>1706</v>
      </c>
      <c r="E9450">
        <v>12.32</v>
      </c>
      <c r="F9450">
        <v>4</v>
      </c>
      <c r="G9450">
        <v>0</v>
      </c>
      <c r="H9450">
        <v>5.9135999999999997</v>
      </c>
      <c r="U9450">
        <v>5.9135999999999997</v>
      </c>
    </row>
    <row r="9451" spans="1:21" x14ac:dyDescent="0.35">
      <c r="A9451" s="1">
        <v>41860</v>
      </c>
      <c r="B9451" t="s">
        <v>1307</v>
      </c>
      <c r="C9451" t="s">
        <v>13</v>
      </c>
      <c r="D9451" t="s">
        <v>1611</v>
      </c>
      <c r="E9451">
        <v>8.6080000000000005</v>
      </c>
      <c r="F9451">
        <v>2</v>
      </c>
      <c r="G9451">
        <v>0.2</v>
      </c>
      <c r="H9451">
        <v>3.0127999999999999</v>
      </c>
      <c r="U9451">
        <v>3.0127999999999999</v>
      </c>
    </row>
    <row r="9452" spans="1:21" x14ac:dyDescent="0.35">
      <c r="A9452" s="1">
        <v>42800</v>
      </c>
      <c r="B9452" t="s">
        <v>970</v>
      </c>
      <c r="C9452" t="s">
        <v>13</v>
      </c>
      <c r="D9452" t="s">
        <v>872</v>
      </c>
      <c r="E9452">
        <v>136.26</v>
      </c>
      <c r="F9452">
        <v>9</v>
      </c>
      <c r="G9452">
        <v>0</v>
      </c>
      <c r="H9452">
        <v>5.4504000000000001</v>
      </c>
      <c r="U9452">
        <v>5.4504000000000001</v>
      </c>
    </row>
    <row r="9453" spans="1:21" x14ac:dyDescent="0.35">
      <c r="A9453" t="s">
        <v>505</v>
      </c>
      <c r="B9453" t="s">
        <v>1828</v>
      </c>
      <c r="C9453" t="s">
        <v>13</v>
      </c>
      <c r="D9453" t="s">
        <v>1785</v>
      </c>
      <c r="E9453">
        <v>186.15</v>
      </c>
      <c r="F9453">
        <v>3</v>
      </c>
      <c r="G9453">
        <v>0</v>
      </c>
      <c r="H9453">
        <v>55.844999999999999</v>
      </c>
      <c r="U9453">
        <v>55.844999999999999</v>
      </c>
    </row>
    <row r="9454" spans="1:21" x14ac:dyDescent="0.35">
      <c r="A9454" t="s">
        <v>505</v>
      </c>
      <c r="B9454" t="s">
        <v>1828</v>
      </c>
      <c r="C9454" t="s">
        <v>13</v>
      </c>
      <c r="D9454" t="s">
        <v>1407</v>
      </c>
      <c r="E9454">
        <v>81.792000000000002</v>
      </c>
      <c r="F9454">
        <v>6</v>
      </c>
      <c r="G9454">
        <v>0.2</v>
      </c>
      <c r="H9454">
        <v>26.5824</v>
      </c>
      <c r="U9454">
        <v>26.5824</v>
      </c>
    </row>
    <row r="9455" spans="1:21" x14ac:dyDescent="0.35">
      <c r="A9455" t="s">
        <v>505</v>
      </c>
      <c r="B9455" t="s">
        <v>1828</v>
      </c>
      <c r="C9455" t="s">
        <v>13</v>
      </c>
      <c r="D9455" t="s">
        <v>2671</v>
      </c>
      <c r="E9455">
        <v>47.19</v>
      </c>
      <c r="F9455">
        <v>3</v>
      </c>
      <c r="G9455">
        <v>0</v>
      </c>
      <c r="H9455">
        <v>13.6851</v>
      </c>
      <c r="U9455">
        <v>13.6851</v>
      </c>
    </row>
    <row r="9456" spans="1:21" x14ac:dyDescent="0.35">
      <c r="A9456" t="s">
        <v>505</v>
      </c>
      <c r="B9456" t="s">
        <v>1828</v>
      </c>
      <c r="C9456" t="s">
        <v>13</v>
      </c>
      <c r="D9456" t="s">
        <v>866</v>
      </c>
      <c r="E9456">
        <v>36.783999999999999</v>
      </c>
      <c r="F9456">
        <v>2</v>
      </c>
      <c r="G9456">
        <v>0.2</v>
      </c>
      <c r="H9456">
        <v>-8.2764000000000006</v>
      </c>
      <c r="U9456">
        <v>-8.2764000000000006</v>
      </c>
    </row>
    <row r="9457" spans="1:21" x14ac:dyDescent="0.35">
      <c r="A9457" t="s">
        <v>11</v>
      </c>
      <c r="B9457" t="s">
        <v>1185</v>
      </c>
      <c r="C9457" t="s">
        <v>8</v>
      </c>
      <c r="D9457" t="s">
        <v>2744</v>
      </c>
      <c r="E9457">
        <v>91.474999999999994</v>
      </c>
      <c r="F9457">
        <v>1</v>
      </c>
      <c r="G9457">
        <v>0.5</v>
      </c>
      <c r="H9457">
        <v>-1.8294999999999999</v>
      </c>
      <c r="U9457">
        <v>-1.8294999999999999</v>
      </c>
    </row>
    <row r="9458" spans="1:21" x14ac:dyDescent="0.35">
      <c r="A9458" t="s">
        <v>2300</v>
      </c>
      <c r="B9458" t="s">
        <v>1161</v>
      </c>
      <c r="C9458" t="s">
        <v>8</v>
      </c>
      <c r="D9458" t="s">
        <v>2745</v>
      </c>
      <c r="E9458">
        <v>27.192</v>
      </c>
      <c r="F9458">
        <v>3</v>
      </c>
      <c r="G9458">
        <v>0.2</v>
      </c>
      <c r="H9458">
        <v>0.33989999999999998</v>
      </c>
      <c r="U9458">
        <v>0.33989999999999998</v>
      </c>
    </row>
    <row r="9459" spans="1:21" x14ac:dyDescent="0.35">
      <c r="A9459" t="s">
        <v>2300</v>
      </c>
      <c r="B9459" t="s">
        <v>1161</v>
      </c>
      <c r="C9459" t="s">
        <v>8</v>
      </c>
      <c r="D9459" t="s">
        <v>1957</v>
      </c>
      <c r="E9459">
        <v>12.06</v>
      </c>
      <c r="F9459">
        <v>5</v>
      </c>
      <c r="G9459">
        <v>0.7</v>
      </c>
      <c r="H9459">
        <v>-10.050000000000001</v>
      </c>
      <c r="U9459">
        <v>-10.050000000000001</v>
      </c>
    </row>
    <row r="9460" spans="1:21" x14ac:dyDescent="0.35">
      <c r="A9460" s="1">
        <v>41892</v>
      </c>
      <c r="B9460" t="s">
        <v>336</v>
      </c>
      <c r="C9460" t="s">
        <v>13</v>
      </c>
      <c r="D9460" t="s">
        <v>540</v>
      </c>
      <c r="E9460">
        <v>144.6</v>
      </c>
      <c r="F9460">
        <v>3</v>
      </c>
      <c r="G9460">
        <v>0</v>
      </c>
      <c r="H9460">
        <v>41.933999999999997</v>
      </c>
      <c r="U9460">
        <v>41.933999999999997</v>
      </c>
    </row>
    <row r="9461" spans="1:21" x14ac:dyDescent="0.35">
      <c r="A9461" s="1">
        <v>41892</v>
      </c>
      <c r="B9461" t="s">
        <v>336</v>
      </c>
      <c r="C9461" t="s">
        <v>13</v>
      </c>
      <c r="D9461" t="s">
        <v>2590</v>
      </c>
      <c r="E9461">
        <v>15.992000000000001</v>
      </c>
      <c r="F9461">
        <v>1</v>
      </c>
      <c r="G9461">
        <v>0.2</v>
      </c>
      <c r="H9461">
        <v>-2.9984999999999999</v>
      </c>
      <c r="U9461">
        <v>-2.9984999999999999</v>
      </c>
    </row>
    <row r="9462" spans="1:21" x14ac:dyDescent="0.35">
      <c r="A9462" t="s">
        <v>1971</v>
      </c>
      <c r="B9462" t="s">
        <v>1568</v>
      </c>
      <c r="C9462" t="s">
        <v>55</v>
      </c>
      <c r="D9462" t="s">
        <v>1217</v>
      </c>
      <c r="E9462">
        <v>34.44</v>
      </c>
      <c r="F9462">
        <v>3</v>
      </c>
      <c r="G9462">
        <v>0</v>
      </c>
      <c r="H9462">
        <v>17.22</v>
      </c>
      <c r="U9462">
        <v>17.22</v>
      </c>
    </row>
    <row r="9463" spans="1:21" x14ac:dyDescent="0.35">
      <c r="A9463" t="s">
        <v>1737</v>
      </c>
      <c r="B9463" t="s">
        <v>1011</v>
      </c>
      <c r="C9463" t="s">
        <v>13</v>
      </c>
      <c r="D9463" t="s">
        <v>1771</v>
      </c>
      <c r="E9463">
        <v>321.55200000000002</v>
      </c>
      <c r="F9463">
        <v>6</v>
      </c>
      <c r="G9463">
        <v>0.2</v>
      </c>
      <c r="H9463">
        <v>20.097000000000001</v>
      </c>
      <c r="U9463">
        <v>20.097000000000001</v>
      </c>
    </row>
    <row r="9464" spans="1:21" x14ac:dyDescent="0.35">
      <c r="A9464" t="s">
        <v>1875</v>
      </c>
      <c r="B9464" t="s">
        <v>139</v>
      </c>
      <c r="C9464" t="s">
        <v>8</v>
      </c>
      <c r="D9464" t="s">
        <v>1831</v>
      </c>
      <c r="E9464">
        <v>701.96</v>
      </c>
      <c r="F9464">
        <v>2</v>
      </c>
      <c r="G9464">
        <v>0</v>
      </c>
      <c r="H9464">
        <v>168.47040000000001</v>
      </c>
      <c r="U9464">
        <v>168.47040000000001</v>
      </c>
    </row>
    <row r="9465" spans="1:21" x14ac:dyDescent="0.35">
      <c r="A9465" t="s">
        <v>2659</v>
      </c>
      <c r="B9465" t="s">
        <v>1935</v>
      </c>
      <c r="C9465" t="s">
        <v>55</v>
      </c>
      <c r="D9465" t="s">
        <v>900</v>
      </c>
      <c r="E9465">
        <v>19.456</v>
      </c>
      <c r="F9465">
        <v>4</v>
      </c>
      <c r="G9465">
        <v>0.2</v>
      </c>
      <c r="H9465">
        <v>3.4047999999999998</v>
      </c>
      <c r="U9465">
        <v>3.4047999999999998</v>
      </c>
    </row>
    <row r="9466" spans="1:21" x14ac:dyDescent="0.35">
      <c r="A9466" t="s">
        <v>1442</v>
      </c>
      <c r="B9466" t="s">
        <v>1877</v>
      </c>
      <c r="C9466" t="s">
        <v>55</v>
      </c>
      <c r="D9466" t="s">
        <v>2414</v>
      </c>
      <c r="E9466">
        <v>17.28</v>
      </c>
      <c r="F9466">
        <v>6</v>
      </c>
      <c r="G9466">
        <v>0</v>
      </c>
      <c r="H9466">
        <v>7.9488000000000003</v>
      </c>
      <c r="U9466">
        <v>7.9488000000000003</v>
      </c>
    </row>
    <row r="9467" spans="1:21" x14ac:dyDescent="0.35">
      <c r="A9467" t="s">
        <v>1033</v>
      </c>
      <c r="B9467" t="s">
        <v>117</v>
      </c>
      <c r="C9467" t="s">
        <v>13</v>
      </c>
      <c r="D9467" t="s">
        <v>874</v>
      </c>
      <c r="E9467">
        <v>31.96</v>
      </c>
      <c r="F9467">
        <v>2</v>
      </c>
      <c r="G9467">
        <v>0</v>
      </c>
      <c r="H9467">
        <v>1.5980000000000001</v>
      </c>
      <c r="U9467">
        <v>1.5980000000000001</v>
      </c>
    </row>
    <row r="9468" spans="1:21" x14ac:dyDescent="0.35">
      <c r="A9468" s="1">
        <v>42866</v>
      </c>
      <c r="B9468" t="s">
        <v>1767</v>
      </c>
      <c r="C9468" t="s">
        <v>55</v>
      </c>
      <c r="D9468" t="s">
        <v>289</v>
      </c>
      <c r="E9468">
        <v>164.68799999999999</v>
      </c>
      <c r="F9468">
        <v>6</v>
      </c>
      <c r="G9468">
        <v>0.2</v>
      </c>
      <c r="H9468">
        <v>55.5822</v>
      </c>
      <c r="U9468">
        <v>55.5822</v>
      </c>
    </row>
    <row r="9469" spans="1:21" x14ac:dyDescent="0.35">
      <c r="A9469" s="1">
        <v>42866</v>
      </c>
      <c r="B9469" t="s">
        <v>1767</v>
      </c>
      <c r="C9469" t="s">
        <v>55</v>
      </c>
      <c r="D9469" t="s">
        <v>2431</v>
      </c>
      <c r="E9469">
        <v>166.5</v>
      </c>
      <c r="F9469">
        <v>2</v>
      </c>
      <c r="G9469">
        <v>0.4</v>
      </c>
      <c r="H9469">
        <v>-66.599999999999994</v>
      </c>
      <c r="U9469">
        <v>-66.599999999999994</v>
      </c>
    </row>
    <row r="9470" spans="1:21" x14ac:dyDescent="0.35">
      <c r="A9470" s="1">
        <v>42866</v>
      </c>
      <c r="B9470" t="s">
        <v>1767</v>
      </c>
      <c r="C9470" t="s">
        <v>55</v>
      </c>
      <c r="D9470" t="s">
        <v>1200</v>
      </c>
      <c r="E9470">
        <v>12.96</v>
      </c>
      <c r="F9470">
        <v>2</v>
      </c>
      <c r="G9470">
        <v>0</v>
      </c>
      <c r="H9470">
        <v>6.2207999999999997</v>
      </c>
      <c r="U9470">
        <v>6.2207999999999997</v>
      </c>
    </row>
    <row r="9471" spans="1:21" x14ac:dyDescent="0.35">
      <c r="A9471" s="1">
        <v>42866</v>
      </c>
      <c r="B9471" t="s">
        <v>1767</v>
      </c>
      <c r="C9471" t="s">
        <v>55</v>
      </c>
      <c r="D9471" t="s">
        <v>789</v>
      </c>
      <c r="E9471">
        <v>110.96</v>
      </c>
      <c r="F9471">
        <v>2</v>
      </c>
      <c r="G9471">
        <v>0</v>
      </c>
      <c r="H9471">
        <v>53.260800000000003</v>
      </c>
      <c r="U9471">
        <v>53.260800000000003</v>
      </c>
    </row>
    <row r="9472" spans="1:21" x14ac:dyDescent="0.35">
      <c r="A9472" s="1">
        <v>42866</v>
      </c>
      <c r="B9472" t="s">
        <v>1767</v>
      </c>
      <c r="C9472" t="s">
        <v>55</v>
      </c>
      <c r="D9472" t="s">
        <v>288</v>
      </c>
      <c r="E9472">
        <v>99.98</v>
      </c>
      <c r="F9472">
        <v>2</v>
      </c>
      <c r="G9472">
        <v>0</v>
      </c>
      <c r="H9472">
        <v>3.9992000000000001</v>
      </c>
      <c r="U9472">
        <v>3.9992000000000001</v>
      </c>
    </row>
    <row r="9473" spans="1:21" x14ac:dyDescent="0.35">
      <c r="A9473" s="1">
        <v>42866</v>
      </c>
      <c r="B9473" t="s">
        <v>1767</v>
      </c>
      <c r="C9473" t="s">
        <v>55</v>
      </c>
      <c r="D9473" t="s">
        <v>531</v>
      </c>
      <c r="E9473">
        <v>11.423999999999999</v>
      </c>
      <c r="F9473">
        <v>1</v>
      </c>
      <c r="G9473">
        <v>0.2</v>
      </c>
      <c r="H9473">
        <v>3.7128000000000001</v>
      </c>
      <c r="U9473">
        <v>3.7128000000000001</v>
      </c>
    </row>
    <row r="9474" spans="1:21" x14ac:dyDescent="0.35">
      <c r="A9474" s="1">
        <v>42866</v>
      </c>
      <c r="B9474" t="s">
        <v>1767</v>
      </c>
      <c r="C9474" t="s">
        <v>55</v>
      </c>
      <c r="D9474" t="s">
        <v>2269</v>
      </c>
      <c r="E9474">
        <v>128.124</v>
      </c>
      <c r="F9474">
        <v>2</v>
      </c>
      <c r="G9474">
        <v>0.1</v>
      </c>
      <c r="H9474">
        <v>24.2012</v>
      </c>
      <c r="U9474">
        <v>24.2012</v>
      </c>
    </row>
    <row r="9475" spans="1:21" x14ac:dyDescent="0.35">
      <c r="A9475" s="1">
        <v>42866</v>
      </c>
      <c r="B9475" t="s">
        <v>1767</v>
      </c>
      <c r="C9475" t="s">
        <v>55</v>
      </c>
      <c r="D9475" t="s">
        <v>2622</v>
      </c>
      <c r="E9475">
        <v>101.4</v>
      </c>
      <c r="F9475">
        <v>5</v>
      </c>
      <c r="G9475">
        <v>0</v>
      </c>
      <c r="H9475">
        <v>38.531999999999996</v>
      </c>
      <c r="U9475">
        <v>38.531999999999996</v>
      </c>
    </row>
    <row r="9476" spans="1:21" x14ac:dyDescent="0.35">
      <c r="A9476" t="s">
        <v>293</v>
      </c>
      <c r="B9476" t="s">
        <v>117</v>
      </c>
      <c r="C9476" t="s">
        <v>35</v>
      </c>
      <c r="D9476" t="s">
        <v>1841</v>
      </c>
      <c r="E9476">
        <v>5.9039999999999999</v>
      </c>
      <c r="F9476">
        <v>2</v>
      </c>
      <c r="G9476">
        <v>0.2</v>
      </c>
      <c r="H9476">
        <v>1.9925999999999999</v>
      </c>
      <c r="U9476">
        <v>1.9925999999999999</v>
      </c>
    </row>
    <row r="9477" spans="1:21" x14ac:dyDescent="0.35">
      <c r="A9477" t="s">
        <v>293</v>
      </c>
      <c r="B9477" t="s">
        <v>117</v>
      </c>
      <c r="C9477" t="s">
        <v>35</v>
      </c>
      <c r="D9477" t="s">
        <v>1697</v>
      </c>
      <c r="E9477">
        <v>173.488</v>
      </c>
      <c r="F9477">
        <v>7</v>
      </c>
      <c r="G9477">
        <v>0.2</v>
      </c>
      <c r="H9477">
        <v>54.215000000000003</v>
      </c>
      <c r="U9477">
        <v>54.215000000000003</v>
      </c>
    </row>
    <row r="9478" spans="1:21" x14ac:dyDescent="0.35">
      <c r="A9478" t="s">
        <v>293</v>
      </c>
      <c r="B9478" t="s">
        <v>117</v>
      </c>
      <c r="C9478" t="s">
        <v>35</v>
      </c>
      <c r="D9478" t="s">
        <v>2375</v>
      </c>
      <c r="E9478">
        <v>51.56</v>
      </c>
      <c r="F9478">
        <v>2</v>
      </c>
      <c r="G9478">
        <v>0.6</v>
      </c>
      <c r="H9478">
        <v>-61.872</v>
      </c>
      <c r="U9478">
        <v>-61.872</v>
      </c>
    </row>
    <row r="9479" spans="1:21" x14ac:dyDescent="0.35">
      <c r="A9479" t="s">
        <v>293</v>
      </c>
      <c r="B9479" t="s">
        <v>117</v>
      </c>
      <c r="C9479" t="s">
        <v>35</v>
      </c>
      <c r="D9479" t="s">
        <v>583</v>
      </c>
      <c r="E9479">
        <v>3.5640000000000001</v>
      </c>
      <c r="F9479">
        <v>3</v>
      </c>
      <c r="G9479">
        <v>0.8</v>
      </c>
      <c r="H9479">
        <v>-6.2370000000000001</v>
      </c>
      <c r="U9479">
        <v>-6.2370000000000001</v>
      </c>
    </row>
    <row r="9480" spans="1:21" x14ac:dyDescent="0.35">
      <c r="A9480" s="1">
        <v>41829</v>
      </c>
      <c r="B9480" t="s">
        <v>2579</v>
      </c>
      <c r="C9480" t="s">
        <v>35</v>
      </c>
      <c r="D9480" t="s">
        <v>2090</v>
      </c>
      <c r="E9480">
        <v>13.16</v>
      </c>
      <c r="F9480">
        <v>5</v>
      </c>
      <c r="G9480">
        <v>0.2</v>
      </c>
      <c r="H9480">
        <v>4.1124999999999998</v>
      </c>
      <c r="U9480">
        <v>4.1124999999999998</v>
      </c>
    </row>
    <row r="9481" spans="1:21" x14ac:dyDescent="0.35">
      <c r="A9481" s="1">
        <v>41829</v>
      </c>
      <c r="B9481" t="s">
        <v>2579</v>
      </c>
      <c r="C9481" t="s">
        <v>35</v>
      </c>
      <c r="D9481" t="s">
        <v>1922</v>
      </c>
      <c r="E9481">
        <v>3.8279999999999998</v>
      </c>
      <c r="F9481">
        <v>3</v>
      </c>
      <c r="G9481">
        <v>0.8</v>
      </c>
      <c r="H9481">
        <v>-6.5076000000000001</v>
      </c>
      <c r="U9481">
        <v>-6.5076000000000001</v>
      </c>
    </row>
    <row r="9482" spans="1:21" x14ac:dyDescent="0.35">
      <c r="A9482" s="1">
        <v>41829</v>
      </c>
      <c r="B9482" t="s">
        <v>2579</v>
      </c>
      <c r="C9482" t="s">
        <v>35</v>
      </c>
      <c r="D9482" t="s">
        <v>1032</v>
      </c>
      <c r="E9482">
        <v>304.99</v>
      </c>
      <c r="F9482">
        <v>5</v>
      </c>
      <c r="G9482">
        <v>0.8</v>
      </c>
      <c r="H9482">
        <v>-533.73249999999996</v>
      </c>
      <c r="U9482">
        <v>-533.73249999999996</v>
      </c>
    </row>
    <row r="9483" spans="1:21" x14ac:dyDescent="0.35">
      <c r="A9483" s="1">
        <v>42897</v>
      </c>
      <c r="B9483" t="s">
        <v>2257</v>
      </c>
      <c r="C9483" t="s">
        <v>35</v>
      </c>
      <c r="D9483" t="s">
        <v>159</v>
      </c>
      <c r="E9483">
        <v>18.16</v>
      </c>
      <c r="F9483">
        <v>2</v>
      </c>
      <c r="G9483">
        <v>0.2</v>
      </c>
      <c r="H9483">
        <v>1.8160000000000001</v>
      </c>
      <c r="U9483">
        <v>1.8160000000000001</v>
      </c>
    </row>
    <row r="9484" spans="1:21" x14ac:dyDescent="0.35">
      <c r="A9484" t="s">
        <v>1345</v>
      </c>
      <c r="B9484" t="s">
        <v>2064</v>
      </c>
      <c r="C9484" t="s">
        <v>55</v>
      </c>
      <c r="D9484" t="s">
        <v>1158</v>
      </c>
      <c r="E9484">
        <v>319.98399999999998</v>
      </c>
      <c r="F9484">
        <v>2</v>
      </c>
      <c r="G9484">
        <v>0.2</v>
      </c>
      <c r="H9484">
        <v>91.995400000000004</v>
      </c>
      <c r="U9484">
        <v>91.995400000000004</v>
      </c>
    </row>
    <row r="9485" spans="1:21" x14ac:dyDescent="0.35">
      <c r="A9485" t="s">
        <v>807</v>
      </c>
      <c r="B9485" t="s">
        <v>1572</v>
      </c>
      <c r="C9485" t="s">
        <v>13</v>
      </c>
      <c r="D9485" t="s">
        <v>662</v>
      </c>
      <c r="E9485">
        <v>19.68</v>
      </c>
      <c r="F9485">
        <v>6</v>
      </c>
      <c r="G9485">
        <v>0</v>
      </c>
      <c r="H9485">
        <v>6.4943999999999997</v>
      </c>
      <c r="U9485">
        <v>6.4943999999999997</v>
      </c>
    </row>
    <row r="9486" spans="1:21" x14ac:dyDescent="0.35">
      <c r="A9486" s="1">
        <v>42412</v>
      </c>
      <c r="B9486" t="s">
        <v>1733</v>
      </c>
      <c r="C9486" t="s">
        <v>35</v>
      </c>
      <c r="D9486" t="s">
        <v>2539</v>
      </c>
      <c r="E9486">
        <v>781.86400000000003</v>
      </c>
      <c r="F9486">
        <v>10</v>
      </c>
      <c r="G9486">
        <v>0.32</v>
      </c>
      <c r="H9486">
        <v>-137.976</v>
      </c>
      <c r="U9486">
        <v>-137.976</v>
      </c>
    </row>
    <row r="9487" spans="1:21" x14ac:dyDescent="0.35">
      <c r="A9487" s="1">
        <v>42412</v>
      </c>
      <c r="B9487" t="s">
        <v>1733</v>
      </c>
      <c r="C9487" t="s">
        <v>35</v>
      </c>
      <c r="D9487" t="s">
        <v>1812</v>
      </c>
      <c r="E9487">
        <v>30.815999999999999</v>
      </c>
      <c r="F9487">
        <v>9</v>
      </c>
      <c r="G9487">
        <v>0.2</v>
      </c>
      <c r="H9487">
        <v>9.6300000000000008</v>
      </c>
      <c r="U9487">
        <v>9.6300000000000008</v>
      </c>
    </row>
    <row r="9488" spans="1:21" x14ac:dyDescent="0.35">
      <c r="A9488" s="1">
        <v>43079</v>
      </c>
      <c r="B9488" t="s">
        <v>718</v>
      </c>
      <c r="C9488" t="s">
        <v>55</v>
      </c>
      <c r="D9488" t="s">
        <v>1444</v>
      </c>
      <c r="E9488">
        <v>673.34400000000005</v>
      </c>
      <c r="F9488">
        <v>3</v>
      </c>
      <c r="G9488">
        <v>0.3</v>
      </c>
      <c r="H9488">
        <v>-76.953599999999994</v>
      </c>
      <c r="U9488">
        <v>-76.953599999999994</v>
      </c>
    </row>
    <row r="9489" spans="1:21" x14ac:dyDescent="0.35">
      <c r="A9489" s="1">
        <v>43051</v>
      </c>
      <c r="B9489" t="s">
        <v>950</v>
      </c>
      <c r="C9489" t="s">
        <v>55</v>
      </c>
      <c r="D9489" t="s">
        <v>1432</v>
      </c>
      <c r="E9489">
        <v>6.54</v>
      </c>
      <c r="F9489">
        <v>3</v>
      </c>
      <c r="G9489">
        <v>0</v>
      </c>
      <c r="H9489">
        <v>2.1581999999999999</v>
      </c>
      <c r="U9489">
        <v>2.1581999999999999</v>
      </c>
    </row>
    <row r="9490" spans="1:21" x14ac:dyDescent="0.35">
      <c r="A9490" s="1">
        <v>42014</v>
      </c>
      <c r="B9490" t="s">
        <v>310</v>
      </c>
      <c r="C9490" t="s">
        <v>13</v>
      </c>
      <c r="D9490" t="s">
        <v>1813</v>
      </c>
      <c r="E9490">
        <v>572.79999999999995</v>
      </c>
      <c r="F9490">
        <v>2</v>
      </c>
      <c r="G9490">
        <v>0.2</v>
      </c>
      <c r="H9490">
        <v>50.12</v>
      </c>
      <c r="U9490">
        <v>50.12</v>
      </c>
    </row>
    <row r="9491" spans="1:21" x14ac:dyDescent="0.35">
      <c r="A9491" s="1">
        <v>42498</v>
      </c>
      <c r="B9491" t="s">
        <v>2419</v>
      </c>
      <c r="C9491" t="s">
        <v>8</v>
      </c>
      <c r="D9491" t="s">
        <v>2011</v>
      </c>
      <c r="E9491">
        <v>197.05</v>
      </c>
      <c r="F9491">
        <v>7</v>
      </c>
      <c r="G9491">
        <v>0</v>
      </c>
      <c r="H9491">
        <v>59.115000000000002</v>
      </c>
      <c r="U9491">
        <v>59.115000000000002</v>
      </c>
    </row>
    <row r="9492" spans="1:21" x14ac:dyDescent="0.35">
      <c r="A9492" s="1">
        <v>42795</v>
      </c>
      <c r="B9492" t="s">
        <v>845</v>
      </c>
      <c r="C9492" t="s">
        <v>13</v>
      </c>
      <c r="D9492" t="s">
        <v>730</v>
      </c>
      <c r="E9492">
        <v>2022.2719999999999</v>
      </c>
      <c r="F9492">
        <v>8</v>
      </c>
      <c r="G9492">
        <v>0.2</v>
      </c>
      <c r="H9492">
        <v>682.51679999999999</v>
      </c>
      <c r="U9492">
        <v>682.51679999999999</v>
      </c>
    </row>
    <row r="9493" spans="1:21" x14ac:dyDescent="0.35">
      <c r="A9493" s="1">
        <v>42795</v>
      </c>
      <c r="B9493" t="s">
        <v>845</v>
      </c>
      <c r="C9493" t="s">
        <v>13</v>
      </c>
      <c r="D9493" t="s">
        <v>2033</v>
      </c>
      <c r="E9493">
        <v>9.1199999999999992</v>
      </c>
      <c r="F9493">
        <v>3</v>
      </c>
      <c r="G9493">
        <v>0</v>
      </c>
      <c r="H9493">
        <v>3.1008</v>
      </c>
      <c r="U9493">
        <v>3.1008</v>
      </c>
    </row>
    <row r="9494" spans="1:21" x14ac:dyDescent="0.35">
      <c r="A9494" s="1">
        <v>42927</v>
      </c>
      <c r="B9494" t="s">
        <v>2305</v>
      </c>
      <c r="C9494" t="s">
        <v>35</v>
      </c>
      <c r="D9494" t="s">
        <v>37</v>
      </c>
      <c r="E9494">
        <v>38.159999999999997</v>
      </c>
      <c r="F9494">
        <v>9</v>
      </c>
      <c r="G9494">
        <v>0</v>
      </c>
      <c r="H9494">
        <v>19.079999999999998</v>
      </c>
      <c r="U9494">
        <v>19.079999999999998</v>
      </c>
    </row>
    <row r="9495" spans="1:21" x14ac:dyDescent="0.35">
      <c r="A9495" s="1">
        <v>42430</v>
      </c>
      <c r="B9495" t="s">
        <v>2174</v>
      </c>
      <c r="C9495" t="s">
        <v>35</v>
      </c>
      <c r="D9495" t="s">
        <v>656</v>
      </c>
      <c r="E9495">
        <v>1592.85</v>
      </c>
      <c r="F9495">
        <v>7</v>
      </c>
      <c r="G9495">
        <v>0</v>
      </c>
      <c r="H9495">
        <v>350.42700000000002</v>
      </c>
      <c r="U9495">
        <v>350.42700000000002</v>
      </c>
    </row>
    <row r="9496" spans="1:21" x14ac:dyDescent="0.35">
      <c r="A9496" s="1">
        <v>42430</v>
      </c>
      <c r="B9496" t="s">
        <v>2174</v>
      </c>
      <c r="C9496" t="s">
        <v>35</v>
      </c>
      <c r="D9496" t="s">
        <v>583</v>
      </c>
      <c r="E9496">
        <v>11.88</v>
      </c>
      <c r="F9496">
        <v>2</v>
      </c>
      <c r="G9496">
        <v>0</v>
      </c>
      <c r="H9496">
        <v>5.3460000000000001</v>
      </c>
      <c r="U9496">
        <v>5.3460000000000001</v>
      </c>
    </row>
    <row r="9497" spans="1:21" x14ac:dyDescent="0.35">
      <c r="A9497" s="1">
        <v>42709</v>
      </c>
      <c r="B9497" t="s">
        <v>2423</v>
      </c>
      <c r="C9497" t="s">
        <v>13</v>
      </c>
      <c r="D9497" t="s">
        <v>2700</v>
      </c>
      <c r="E9497">
        <v>120</v>
      </c>
      <c r="F9497">
        <v>6</v>
      </c>
      <c r="G9497">
        <v>0</v>
      </c>
      <c r="H9497">
        <v>46.8</v>
      </c>
      <c r="U9497">
        <v>46.8</v>
      </c>
    </row>
    <row r="9498" spans="1:21" x14ac:dyDescent="0.35">
      <c r="A9498" s="1">
        <v>42709</v>
      </c>
      <c r="B9498" t="s">
        <v>2423</v>
      </c>
      <c r="C9498" t="s">
        <v>13</v>
      </c>
      <c r="D9498" t="s">
        <v>691</v>
      </c>
      <c r="E9498">
        <v>8.67</v>
      </c>
      <c r="F9498">
        <v>1</v>
      </c>
      <c r="G9498">
        <v>0</v>
      </c>
      <c r="H9498">
        <v>2.3409</v>
      </c>
      <c r="U9498">
        <v>2.3409</v>
      </c>
    </row>
    <row r="9499" spans="1:21" x14ac:dyDescent="0.35">
      <c r="A9499" s="1">
        <v>42866</v>
      </c>
      <c r="B9499" t="s">
        <v>601</v>
      </c>
      <c r="C9499" t="s">
        <v>35</v>
      </c>
      <c r="D9499" t="s">
        <v>495</v>
      </c>
      <c r="E9499">
        <v>4.41</v>
      </c>
      <c r="F9499">
        <v>1</v>
      </c>
      <c r="G9499">
        <v>0</v>
      </c>
      <c r="H9499">
        <v>2.0286</v>
      </c>
      <c r="U9499">
        <v>2.0286</v>
      </c>
    </row>
    <row r="9500" spans="1:21" x14ac:dyDescent="0.35">
      <c r="A9500" s="1">
        <v>42866</v>
      </c>
      <c r="B9500" t="s">
        <v>601</v>
      </c>
      <c r="C9500" t="s">
        <v>35</v>
      </c>
      <c r="D9500" t="s">
        <v>75</v>
      </c>
      <c r="E9500">
        <v>167.94</v>
      </c>
      <c r="F9500">
        <v>3</v>
      </c>
      <c r="G9500">
        <v>0</v>
      </c>
      <c r="H9500">
        <v>82.290599999999998</v>
      </c>
      <c r="U9500">
        <v>82.290599999999998</v>
      </c>
    </row>
    <row r="9501" spans="1:21" x14ac:dyDescent="0.35">
      <c r="A9501" s="1">
        <v>42866</v>
      </c>
      <c r="B9501" t="s">
        <v>601</v>
      </c>
      <c r="C9501" t="s">
        <v>35</v>
      </c>
      <c r="D9501" t="s">
        <v>1629</v>
      </c>
      <c r="E9501">
        <v>67.8</v>
      </c>
      <c r="F9501">
        <v>10</v>
      </c>
      <c r="G9501">
        <v>0</v>
      </c>
      <c r="H9501">
        <v>31.187999999999999</v>
      </c>
      <c r="U9501">
        <v>31.187999999999999</v>
      </c>
    </row>
    <row r="9502" spans="1:21" x14ac:dyDescent="0.35">
      <c r="A9502" t="s">
        <v>1524</v>
      </c>
      <c r="B9502" t="s">
        <v>2162</v>
      </c>
      <c r="C9502" t="s">
        <v>35</v>
      </c>
      <c r="D9502" t="s">
        <v>1796</v>
      </c>
      <c r="E9502">
        <v>26.94</v>
      </c>
      <c r="F9502">
        <v>3</v>
      </c>
      <c r="G9502">
        <v>0</v>
      </c>
      <c r="H9502">
        <v>11.3148</v>
      </c>
      <c r="U9502">
        <v>11.3148</v>
      </c>
    </row>
    <row r="9503" spans="1:21" x14ac:dyDescent="0.35">
      <c r="A9503" t="s">
        <v>1187</v>
      </c>
      <c r="B9503" t="s">
        <v>2072</v>
      </c>
      <c r="C9503" t="s">
        <v>13</v>
      </c>
      <c r="D9503" t="s">
        <v>2252</v>
      </c>
      <c r="E9503">
        <v>32.04</v>
      </c>
      <c r="F9503">
        <v>3</v>
      </c>
      <c r="G9503">
        <v>0</v>
      </c>
      <c r="H9503">
        <v>8.01</v>
      </c>
      <c r="U9503">
        <v>8.01</v>
      </c>
    </row>
    <row r="9504" spans="1:21" x14ac:dyDescent="0.35">
      <c r="A9504" t="s">
        <v>775</v>
      </c>
      <c r="B9504" t="s">
        <v>1633</v>
      </c>
      <c r="C9504" t="s">
        <v>55</v>
      </c>
      <c r="D9504" t="s">
        <v>2608</v>
      </c>
      <c r="E9504">
        <v>32.130000000000003</v>
      </c>
      <c r="F9504">
        <v>9</v>
      </c>
      <c r="G9504">
        <v>0</v>
      </c>
      <c r="H9504">
        <v>8.3537999999999997</v>
      </c>
      <c r="U9504">
        <v>8.3537999999999997</v>
      </c>
    </row>
    <row r="9505" spans="1:21" x14ac:dyDescent="0.35">
      <c r="A9505" t="s">
        <v>775</v>
      </c>
      <c r="B9505" t="s">
        <v>1633</v>
      </c>
      <c r="C9505" t="s">
        <v>55</v>
      </c>
      <c r="D9505" t="s">
        <v>1155</v>
      </c>
      <c r="E9505">
        <v>2.88</v>
      </c>
      <c r="F9505">
        <v>1</v>
      </c>
      <c r="G9505">
        <v>0</v>
      </c>
      <c r="H9505">
        <v>0.80640000000000001</v>
      </c>
      <c r="U9505">
        <v>0.80640000000000001</v>
      </c>
    </row>
    <row r="9506" spans="1:21" x14ac:dyDescent="0.35">
      <c r="A9506" t="s">
        <v>1669</v>
      </c>
      <c r="B9506" t="s">
        <v>1634</v>
      </c>
      <c r="C9506" t="s">
        <v>55</v>
      </c>
      <c r="D9506" t="s">
        <v>2679</v>
      </c>
      <c r="E9506">
        <v>1091.93</v>
      </c>
      <c r="F9506">
        <v>7</v>
      </c>
      <c r="G9506">
        <v>0</v>
      </c>
      <c r="H9506">
        <v>272.98250000000002</v>
      </c>
      <c r="U9506">
        <v>272.98250000000002</v>
      </c>
    </row>
    <row r="9507" spans="1:21" x14ac:dyDescent="0.35">
      <c r="A9507" t="s">
        <v>1669</v>
      </c>
      <c r="B9507" t="s">
        <v>1634</v>
      </c>
      <c r="C9507" t="s">
        <v>55</v>
      </c>
      <c r="D9507" t="s">
        <v>698</v>
      </c>
      <c r="E9507">
        <v>111.96</v>
      </c>
      <c r="F9507">
        <v>2</v>
      </c>
      <c r="G9507">
        <v>0</v>
      </c>
      <c r="H9507">
        <v>54.860399999999998</v>
      </c>
      <c r="U9507">
        <v>54.860399999999998</v>
      </c>
    </row>
    <row r="9508" spans="1:21" x14ac:dyDescent="0.35">
      <c r="A9508" s="1">
        <v>41763</v>
      </c>
      <c r="B9508" t="s">
        <v>313</v>
      </c>
      <c r="C9508" t="s">
        <v>35</v>
      </c>
      <c r="D9508" t="s">
        <v>1401</v>
      </c>
      <c r="E9508">
        <v>26.7</v>
      </c>
      <c r="F9508">
        <v>2</v>
      </c>
      <c r="G9508">
        <v>0</v>
      </c>
      <c r="H9508">
        <v>7.476</v>
      </c>
      <c r="U9508">
        <v>7.476</v>
      </c>
    </row>
    <row r="9509" spans="1:21" x14ac:dyDescent="0.35">
      <c r="A9509" s="1">
        <v>41763</v>
      </c>
      <c r="B9509" t="s">
        <v>313</v>
      </c>
      <c r="C9509" t="s">
        <v>35</v>
      </c>
      <c r="D9509" t="s">
        <v>1957</v>
      </c>
      <c r="E9509">
        <v>40.200000000000003</v>
      </c>
      <c r="F9509">
        <v>5</v>
      </c>
      <c r="G9509">
        <v>0</v>
      </c>
      <c r="H9509">
        <v>18.09</v>
      </c>
      <c r="U9509">
        <v>18.09</v>
      </c>
    </row>
    <row r="9510" spans="1:21" x14ac:dyDescent="0.35">
      <c r="A9510" s="1">
        <v>41763</v>
      </c>
      <c r="B9510" t="s">
        <v>313</v>
      </c>
      <c r="C9510" t="s">
        <v>35</v>
      </c>
      <c r="D9510" t="s">
        <v>375</v>
      </c>
      <c r="E9510">
        <v>13.89</v>
      </c>
      <c r="F9510">
        <v>3</v>
      </c>
      <c r="G9510">
        <v>0</v>
      </c>
      <c r="H9510">
        <v>4.5837000000000003</v>
      </c>
      <c r="U9510">
        <v>4.5837000000000003</v>
      </c>
    </row>
    <row r="9511" spans="1:21" x14ac:dyDescent="0.35">
      <c r="A9511" s="1">
        <v>41763</v>
      </c>
      <c r="B9511" t="s">
        <v>313</v>
      </c>
      <c r="C9511" t="s">
        <v>35</v>
      </c>
      <c r="D9511" t="s">
        <v>320</v>
      </c>
      <c r="E9511">
        <v>689.82</v>
      </c>
      <c r="F9511">
        <v>6</v>
      </c>
      <c r="G9511">
        <v>0</v>
      </c>
      <c r="H9511">
        <v>20.694600000000001</v>
      </c>
      <c r="U9511">
        <v>20.694600000000001</v>
      </c>
    </row>
    <row r="9512" spans="1:21" x14ac:dyDescent="0.35">
      <c r="A9512" s="1">
        <v>42529</v>
      </c>
      <c r="B9512" t="s">
        <v>886</v>
      </c>
      <c r="C9512" t="s">
        <v>55</v>
      </c>
      <c r="D9512" t="s">
        <v>609</v>
      </c>
      <c r="E9512">
        <v>38.340000000000003</v>
      </c>
      <c r="F9512">
        <v>9</v>
      </c>
      <c r="G9512">
        <v>0</v>
      </c>
      <c r="H9512">
        <v>15.7194</v>
      </c>
      <c r="U9512">
        <v>15.7194</v>
      </c>
    </row>
    <row r="9513" spans="1:21" x14ac:dyDescent="0.35">
      <c r="A9513" t="s">
        <v>1501</v>
      </c>
      <c r="B9513" t="s">
        <v>2315</v>
      </c>
      <c r="C9513" t="s">
        <v>35</v>
      </c>
      <c r="D9513" t="s">
        <v>1773</v>
      </c>
      <c r="E9513">
        <v>9.2639999999999993</v>
      </c>
      <c r="F9513">
        <v>3</v>
      </c>
      <c r="G9513">
        <v>0.8</v>
      </c>
      <c r="H9513">
        <v>-13.896000000000001</v>
      </c>
      <c r="U9513">
        <v>-13.896000000000001</v>
      </c>
    </row>
    <row r="9514" spans="1:21" x14ac:dyDescent="0.35">
      <c r="A9514" t="s">
        <v>175</v>
      </c>
      <c r="B9514" t="s">
        <v>1489</v>
      </c>
      <c r="C9514" t="s">
        <v>35</v>
      </c>
      <c r="D9514" t="s">
        <v>1365</v>
      </c>
      <c r="E9514">
        <v>204.66640000000001</v>
      </c>
      <c r="F9514">
        <v>1</v>
      </c>
      <c r="G9514">
        <v>0.32</v>
      </c>
      <c r="H9514">
        <v>-6.0195999999999996</v>
      </c>
      <c r="U9514">
        <v>-6.0195999999999996</v>
      </c>
    </row>
    <row r="9515" spans="1:21" x14ac:dyDescent="0.35">
      <c r="A9515" t="s">
        <v>1669</v>
      </c>
      <c r="B9515" t="s">
        <v>2206</v>
      </c>
      <c r="C9515" t="s">
        <v>35</v>
      </c>
      <c r="D9515" t="s">
        <v>1324</v>
      </c>
      <c r="E9515">
        <v>1649.75</v>
      </c>
      <c r="F9515">
        <v>5</v>
      </c>
      <c r="G9515">
        <v>0</v>
      </c>
      <c r="H9515">
        <v>544.41750000000002</v>
      </c>
      <c r="U9515">
        <v>544.41750000000002</v>
      </c>
    </row>
    <row r="9516" spans="1:21" x14ac:dyDescent="0.35">
      <c r="A9516" t="s">
        <v>1454</v>
      </c>
      <c r="B9516" t="s">
        <v>2494</v>
      </c>
      <c r="C9516" t="s">
        <v>8</v>
      </c>
      <c r="D9516" t="s">
        <v>1137</v>
      </c>
      <c r="E9516">
        <v>91.055999999999997</v>
      </c>
      <c r="F9516">
        <v>6</v>
      </c>
      <c r="G9516">
        <v>0.2</v>
      </c>
      <c r="H9516">
        <v>31.869599999999998</v>
      </c>
      <c r="U9516">
        <v>31.869599999999998</v>
      </c>
    </row>
    <row r="9517" spans="1:21" x14ac:dyDescent="0.35">
      <c r="A9517" t="s">
        <v>2746</v>
      </c>
      <c r="B9517" t="s">
        <v>454</v>
      </c>
      <c r="C9517" t="s">
        <v>35</v>
      </c>
      <c r="D9517" t="s">
        <v>1342</v>
      </c>
      <c r="E9517">
        <v>54.207999999999998</v>
      </c>
      <c r="F9517">
        <v>14</v>
      </c>
      <c r="G9517">
        <v>0.2</v>
      </c>
      <c r="H9517">
        <v>8.8087999999999997</v>
      </c>
      <c r="U9517">
        <v>8.8087999999999997</v>
      </c>
    </row>
    <row r="9518" spans="1:21" x14ac:dyDescent="0.35">
      <c r="A9518" t="s">
        <v>1012</v>
      </c>
      <c r="B9518" t="s">
        <v>1390</v>
      </c>
      <c r="C9518" t="s">
        <v>55</v>
      </c>
      <c r="D9518" t="s">
        <v>1984</v>
      </c>
      <c r="E9518">
        <v>26.981999999999999</v>
      </c>
      <c r="F9518">
        <v>3</v>
      </c>
      <c r="G9518">
        <v>0.4</v>
      </c>
      <c r="H9518">
        <v>4.0472999999999999</v>
      </c>
      <c r="U9518">
        <v>4.0472999999999999</v>
      </c>
    </row>
    <row r="9519" spans="1:21" x14ac:dyDescent="0.35">
      <c r="A9519" t="s">
        <v>1012</v>
      </c>
      <c r="B9519" t="s">
        <v>1390</v>
      </c>
      <c r="C9519" t="s">
        <v>55</v>
      </c>
      <c r="D9519" t="s">
        <v>1897</v>
      </c>
      <c r="E9519">
        <v>6.9119999999999999</v>
      </c>
      <c r="F9519">
        <v>3</v>
      </c>
      <c r="G9519">
        <v>0.2</v>
      </c>
      <c r="H9519">
        <v>2.5055999999999998</v>
      </c>
      <c r="U9519">
        <v>2.5055999999999998</v>
      </c>
    </row>
    <row r="9520" spans="1:21" x14ac:dyDescent="0.35">
      <c r="A9520" t="s">
        <v>1012</v>
      </c>
      <c r="B9520" t="s">
        <v>1390</v>
      </c>
      <c r="C9520" t="s">
        <v>55</v>
      </c>
      <c r="D9520" t="s">
        <v>487</v>
      </c>
      <c r="E9520">
        <v>435.50400000000002</v>
      </c>
      <c r="F9520">
        <v>3</v>
      </c>
      <c r="G9520">
        <v>0.2</v>
      </c>
      <c r="H9520">
        <v>48.994199999999999</v>
      </c>
      <c r="U9520">
        <v>48.994199999999999</v>
      </c>
    </row>
    <row r="9521" spans="1:21" x14ac:dyDescent="0.35">
      <c r="A9521" s="1">
        <v>42952</v>
      </c>
      <c r="B9521" t="s">
        <v>1772</v>
      </c>
      <c r="C9521" t="s">
        <v>13</v>
      </c>
      <c r="D9521" t="s">
        <v>2006</v>
      </c>
      <c r="E9521">
        <v>81.08</v>
      </c>
      <c r="F9521">
        <v>4</v>
      </c>
      <c r="G9521">
        <v>0</v>
      </c>
      <c r="H9521">
        <v>22.702400000000001</v>
      </c>
      <c r="U9521">
        <v>22.702400000000001</v>
      </c>
    </row>
    <row r="9522" spans="1:21" x14ac:dyDescent="0.35">
      <c r="A9522" s="1">
        <v>42462</v>
      </c>
      <c r="B9522" t="s">
        <v>331</v>
      </c>
      <c r="C9522" t="s">
        <v>13</v>
      </c>
      <c r="D9522" t="s">
        <v>483</v>
      </c>
      <c r="E9522">
        <v>93.02</v>
      </c>
      <c r="F9522">
        <v>2</v>
      </c>
      <c r="G9522">
        <v>0</v>
      </c>
      <c r="H9522">
        <v>3.7208000000000001</v>
      </c>
      <c r="U9522">
        <v>3.7208000000000001</v>
      </c>
    </row>
    <row r="9523" spans="1:21" x14ac:dyDescent="0.35">
      <c r="A9523" t="s">
        <v>733</v>
      </c>
      <c r="B9523" t="s">
        <v>2099</v>
      </c>
      <c r="C9523" t="s">
        <v>35</v>
      </c>
      <c r="D9523" t="s">
        <v>2747</v>
      </c>
      <c r="E9523">
        <v>323.976</v>
      </c>
      <c r="F9523">
        <v>3</v>
      </c>
      <c r="G9523">
        <v>0.2</v>
      </c>
      <c r="H9523">
        <v>36.447299999999998</v>
      </c>
      <c r="U9523">
        <v>36.447299999999998</v>
      </c>
    </row>
    <row r="9524" spans="1:21" x14ac:dyDescent="0.35">
      <c r="A9524" t="s">
        <v>733</v>
      </c>
      <c r="B9524" t="s">
        <v>2099</v>
      </c>
      <c r="C9524" t="s">
        <v>35</v>
      </c>
      <c r="D9524" t="s">
        <v>2670</v>
      </c>
      <c r="E9524">
        <v>15.552</v>
      </c>
      <c r="F9524">
        <v>3</v>
      </c>
      <c r="G9524">
        <v>0.2</v>
      </c>
      <c r="H9524">
        <v>5.4432</v>
      </c>
      <c r="U9524">
        <v>5.4432</v>
      </c>
    </row>
    <row r="9525" spans="1:21" x14ac:dyDescent="0.35">
      <c r="A9525" t="s">
        <v>733</v>
      </c>
      <c r="B9525" t="s">
        <v>2099</v>
      </c>
      <c r="C9525" t="s">
        <v>35</v>
      </c>
      <c r="D9525" t="s">
        <v>1702</v>
      </c>
      <c r="E9525">
        <v>32.591999999999999</v>
      </c>
      <c r="F9525">
        <v>3</v>
      </c>
      <c r="G9525">
        <v>0.2</v>
      </c>
      <c r="H9525">
        <v>-7.7405999999999997</v>
      </c>
      <c r="U9525">
        <v>-7.7405999999999997</v>
      </c>
    </row>
    <row r="9526" spans="1:21" x14ac:dyDescent="0.35">
      <c r="A9526" s="1">
        <v>42867</v>
      </c>
      <c r="B9526" t="s">
        <v>2004</v>
      </c>
      <c r="C9526" t="s">
        <v>13</v>
      </c>
      <c r="D9526" t="s">
        <v>576</v>
      </c>
      <c r="E9526">
        <v>83.92</v>
      </c>
      <c r="F9526">
        <v>5</v>
      </c>
      <c r="G9526">
        <v>0.2</v>
      </c>
      <c r="H9526">
        <v>29.372</v>
      </c>
      <c r="U9526">
        <v>29.372</v>
      </c>
    </row>
    <row r="9527" spans="1:21" x14ac:dyDescent="0.35">
      <c r="A9527" s="1">
        <v>42867</v>
      </c>
      <c r="B9527" t="s">
        <v>2004</v>
      </c>
      <c r="C9527" t="s">
        <v>13</v>
      </c>
      <c r="D9527" t="s">
        <v>1494</v>
      </c>
      <c r="E9527">
        <v>199.9</v>
      </c>
      <c r="F9527">
        <v>5</v>
      </c>
      <c r="G9527">
        <v>0</v>
      </c>
      <c r="H9527">
        <v>39.979999999999997</v>
      </c>
      <c r="U9527">
        <v>39.979999999999997</v>
      </c>
    </row>
    <row r="9528" spans="1:21" x14ac:dyDescent="0.35">
      <c r="A9528" s="1">
        <v>42867</v>
      </c>
      <c r="B9528" t="s">
        <v>2004</v>
      </c>
      <c r="C9528" t="s">
        <v>13</v>
      </c>
      <c r="D9528" t="s">
        <v>1351</v>
      </c>
      <c r="E9528">
        <v>31.175999999999998</v>
      </c>
      <c r="F9528">
        <v>3</v>
      </c>
      <c r="G9528">
        <v>0.2</v>
      </c>
      <c r="H9528">
        <v>-7.0145999999999997</v>
      </c>
      <c r="U9528">
        <v>-7.0145999999999997</v>
      </c>
    </row>
    <row r="9529" spans="1:21" x14ac:dyDescent="0.35">
      <c r="A9529" s="1">
        <v>42867</v>
      </c>
      <c r="B9529" t="s">
        <v>2004</v>
      </c>
      <c r="C9529" t="s">
        <v>13</v>
      </c>
      <c r="D9529" t="s">
        <v>722</v>
      </c>
      <c r="E9529">
        <v>172.75200000000001</v>
      </c>
      <c r="F9529">
        <v>6</v>
      </c>
      <c r="G9529">
        <v>0.2</v>
      </c>
      <c r="H9529">
        <v>60.463200000000001</v>
      </c>
      <c r="U9529">
        <v>60.463200000000001</v>
      </c>
    </row>
    <row r="9530" spans="1:21" x14ac:dyDescent="0.35">
      <c r="A9530" s="1">
        <v>42867</v>
      </c>
      <c r="B9530" t="s">
        <v>2004</v>
      </c>
      <c r="C9530" t="s">
        <v>13</v>
      </c>
      <c r="D9530" t="s">
        <v>1233</v>
      </c>
      <c r="E9530">
        <v>9.2959999999999994</v>
      </c>
      <c r="F9530">
        <v>2</v>
      </c>
      <c r="G9530">
        <v>0.2</v>
      </c>
      <c r="H9530">
        <v>3.0211999999999999</v>
      </c>
      <c r="U9530">
        <v>3.0211999999999999</v>
      </c>
    </row>
    <row r="9531" spans="1:21" x14ac:dyDescent="0.35">
      <c r="A9531" t="s">
        <v>1662</v>
      </c>
      <c r="B9531" t="s">
        <v>1915</v>
      </c>
      <c r="C9531" t="s">
        <v>35</v>
      </c>
      <c r="D9531" t="s">
        <v>1453</v>
      </c>
      <c r="E9531">
        <v>12.768000000000001</v>
      </c>
      <c r="F9531">
        <v>2</v>
      </c>
      <c r="G9531">
        <v>0.2</v>
      </c>
      <c r="H9531">
        <v>0.95760000000000001</v>
      </c>
      <c r="U9531">
        <v>0.95760000000000001</v>
      </c>
    </row>
    <row r="9532" spans="1:21" x14ac:dyDescent="0.35">
      <c r="A9532" s="1">
        <v>42954</v>
      </c>
      <c r="B9532" t="s">
        <v>1070</v>
      </c>
      <c r="C9532" t="s">
        <v>13</v>
      </c>
      <c r="D9532" t="s">
        <v>75</v>
      </c>
      <c r="E9532">
        <v>52.76</v>
      </c>
      <c r="F9532">
        <v>2</v>
      </c>
      <c r="G9532">
        <v>0</v>
      </c>
      <c r="H9532">
        <v>24.269600000000001</v>
      </c>
      <c r="U9532">
        <v>24.269600000000001</v>
      </c>
    </row>
    <row r="9533" spans="1:21" x14ac:dyDescent="0.35">
      <c r="A9533" t="s">
        <v>177</v>
      </c>
      <c r="B9533" t="s">
        <v>2297</v>
      </c>
      <c r="C9533" t="s">
        <v>35</v>
      </c>
      <c r="D9533" t="s">
        <v>1863</v>
      </c>
      <c r="E9533">
        <v>55.616</v>
      </c>
      <c r="F9533">
        <v>2</v>
      </c>
      <c r="G9533">
        <v>0.2</v>
      </c>
      <c r="H9533">
        <v>5.5616000000000003</v>
      </c>
      <c r="U9533">
        <v>5.5616000000000003</v>
      </c>
    </row>
    <row r="9534" spans="1:21" x14ac:dyDescent="0.35">
      <c r="A9534" t="s">
        <v>799</v>
      </c>
      <c r="B9534" t="s">
        <v>1978</v>
      </c>
      <c r="C9534" t="s">
        <v>55</v>
      </c>
      <c r="D9534" t="s">
        <v>2020</v>
      </c>
      <c r="E9534">
        <v>427.64400000000001</v>
      </c>
      <c r="F9534">
        <v>14</v>
      </c>
      <c r="G9534">
        <v>0.1</v>
      </c>
      <c r="H9534">
        <v>80.777199999999993</v>
      </c>
      <c r="U9534">
        <v>80.777199999999993</v>
      </c>
    </row>
    <row r="9535" spans="1:21" x14ac:dyDescent="0.35">
      <c r="A9535" t="s">
        <v>799</v>
      </c>
      <c r="B9535" t="s">
        <v>1978</v>
      </c>
      <c r="C9535" t="s">
        <v>55</v>
      </c>
      <c r="D9535" t="s">
        <v>400</v>
      </c>
      <c r="E9535">
        <v>40.67</v>
      </c>
      <c r="F9535">
        <v>7</v>
      </c>
      <c r="G9535">
        <v>0</v>
      </c>
      <c r="H9535">
        <v>12.607699999999999</v>
      </c>
      <c r="U9535">
        <v>12.607699999999999</v>
      </c>
    </row>
    <row r="9536" spans="1:21" x14ac:dyDescent="0.35">
      <c r="A9536" t="s">
        <v>799</v>
      </c>
      <c r="B9536" t="s">
        <v>1978</v>
      </c>
      <c r="C9536" t="s">
        <v>55</v>
      </c>
      <c r="D9536" t="s">
        <v>2633</v>
      </c>
      <c r="E9536">
        <v>33.479999999999997</v>
      </c>
      <c r="F9536">
        <v>2</v>
      </c>
      <c r="G9536">
        <v>0</v>
      </c>
      <c r="H9536">
        <v>1.3391999999999999</v>
      </c>
      <c r="U9536">
        <v>1.3391999999999999</v>
      </c>
    </row>
    <row r="9537" spans="1:21" x14ac:dyDescent="0.35">
      <c r="A9537" t="s">
        <v>799</v>
      </c>
      <c r="B9537" t="s">
        <v>1978</v>
      </c>
      <c r="C9537" t="s">
        <v>55</v>
      </c>
      <c r="D9537" t="s">
        <v>957</v>
      </c>
      <c r="E9537">
        <v>9.7279999999999998</v>
      </c>
      <c r="F9537">
        <v>2</v>
      </c>
      <c r="G9537">
        <v>0.2</v>
      </c>
      <c r="H9537">
        <v>3.2831999999999999</v>
      </c>
      <c r="U9537">
        <v>3.2831999999999999</v>
      </c>
    </row>
    <row r="9538" spans="1:21" x14ac:dyDescent="0.35">
      <c r="A9538" s="1">
        <v>43075</v>
      </c>
      <c r="B9538" t="s">
        <v>254</v>
      </c>
      <c r="C9538" t="s">
        <v>35</v>
      </c>
      <c r="D9538" t="s">
        <v>1993</v>
      </c>
      <c r="E9538">
        <v>8.8559999999999999</v>
      </c>
      <c r="F9538">
        <v>3</v>
      </c>
      <c r="G9538">
        <v>0.6</v>
      </c>
      <c r="H9538">
        <v>-6.8634000000000004</v>
      </c>
      <c r="U9538">
        <v>-6.8634000000000004</v>
      </c>
    </row>
    <row r="9539" spans="1:21" x14ac:dyDescent="0.35">
      <c r="A9539" t="s">
        <v>1617</v>
      </c>
      <c r="B9539" t="s">
        <v>1580</v>
      </c>
      <c r="C9539" t="s">
        <v>13</v>
      </c>
      <c r="D9539" t="s">
        <v>366</v>
      </c>
      <c r="E9539">
        <v>477.666</v>
      </c>
      <c r="F9539">
        <v>2</v>
      </c>
      <c r="G9539">
        <v>0.15</v>
      </c>
      <c r="H9539">
        <v>84.293999999999997</v>
      </c>
      <c r="U9539">
        <v>84.293999999999997</v>
      </c>
    </row>
    <row r="9540" spans="1:21" x14ac:dyDescent="0.35">
      <c r="A9540" s="1">
        <v>42925</v>
      </c>
      <c r="B9540" t="s">
        <v>876</v>
      </c>
      <c r="C9540" t="s">
        <v>55</v>
      </c>
      <c r="D9540" t="s">
        <v>1560</v>
      </c>
      <c r="E9540">
        <v>16.899999999999999</v>
      </c>
      <c r="F9540">
        <v>5</v>
      </c>
      <c r="G9540">
        <v>0</v>
      </c>
      <c r="H9540">
        <v>7.774</v>
      </c>
      <c r="U9540">
        <v>7.774</v>
      </c>
    </row>
    <row r="9541" spans="1:21" x14ac:dyDescent="0.35">
      <c r="A9541" s="1">
        <v>42925</v>
      </c>
      <c r="B9541" t="s">
        <v>876</v>
      </c>
      <c r="C9541" t="s">
        <v>55</v>
      </c>
      <c r="D9541" t="s">
        <v>702</v>
      </c>
      <c r="E9541">
        <v>39.96</v>
      </c>
      <c r="F9541">
        <v>2</v>
      </c>
      <c r="G9541">
        <v>0</v>
      </c>
      <c r="H9541">
        <v>18.781199999999998</v>
      </c>
      <c r="U9541">
        <v>18.781199999999998</v>
      </c>
    </row>
    <row r="9542" spans="1:21" x14ac:dyDescent="0.35">
      <c r="A9542" s="1">
        <v>42313</v>
      </c>
      <c r="B9542" t="s">
        <v>137</v>
      </c>
      <c r="C9542" t="s">
        <v>13</v>
      </c>
      <c r="D9542" t="s">
        <v>1477</v>
      </c>
      <c r="E9542">
        <v>191.96799999999999</v>
      </c>
      <c r="F9542">
        <v>7</v>
      </c>
      <c r="G9542">
        <v>0.2</v>
      </c>
      <c r="H9542">
        <v>16.7972</v>
      </c>
      <c r="U9542">
        <v>16.7972</v>
      </c>
    </row>
    <row r="9543" spans="1:21" x14ac:dyDescent="0.35">
      <c r="A9543" s="1">
        <v>42163</v>
      </c>
      <c r="B9543" t="s">
        <v>1272</v>
      </c>
      <c r="C9543" t="s">
        <v>35</v>
      </c>
      <c r="D9543" t="s">
        <v>405</v>
      </c>
      <c r="E9543">
        <v>35.520000000000003</v>
      </c>
      <c r="F9543">
        <v>3</v>
      </c>
      <c r="G9543">
        <v>0.2</v>
      </c>
      <c r="H9543">
        <v>13.32</v>
      </c>
      <c r="U9543">
        <v>13.32</v>
      </c>
    </row>
    <row r="9544" spans="1:21" x14ac:dyDescent="0.35">
      <c r="A9544" s="1">
        <v>42163</v>
      </c>
      <c r="B9544" t="s">
        <v>1272</v>
      </c>
      <c r="C9544" t="s">
        <v>35</v>
      </c>
      <c r="D9544" t="s">
        <v>1375</v>
      </c>
      <c r="E9544">
        <v>6.23</v>
      </c>
      <c r="F9544">
        <v>5</v>
      </c>
      <c r="G9544">
        <v>0.8</v>
      </c>
      <c r="H9544">
        <v>-9.6564999999999994</v>
      </c>
      <c r="U9544">
        <v>-9.6564999999999994</v>
      </c>
    </row>
    <row r="9545" spans="1:21" x14ac:dyDescent="0.35">
      <c r="A9545" s="1">
        <v>42163</v>
      </c>
      <c r="B9545" t="s">
        <v>1272</v>
      </c>
      <c r="C9545" t="s">
        <v>35</v>
      </c>
      <c r="D9545" t="s">
        <v>2596</v>
      </c>
      <c r="E9545">
        <v>56.704000000000001</v>
      </c>
      <c r="F9545">
        <v>2</v>
      </c>
      <c r="G9545">
        <v>0.2</v>
      </c>
      <c r="H9545">
        <v>19.137599999999999</v>
      </c>
      <c r="U9545">
        <v>19.137599999999999</v>
      </c>
    </row>
    <row r="9546" spans="1:21" x14ac:dyDescent="0.35">
      <c r="A9546" s="1">
        <v>42163</v>
      </c>
      <c r="B9546" t="s">
        <v>1272</v>
      </c>
      <c r="C9546" t="s">
        <v>35</v>
      </c>
      <c r="D9546" t="s">
        <v>1795</v>
      </c>
      <c r="E9546">
        <v>369.19920000000002</v>
      </c>
      <c r="F9546">
        <v>3</v>
      </c>
      <c r="G9546">
        <v>0.32</v>
      </c>
      <c r="H9546">
        <v>-114.01739999999999</v>
      </c>
      <c r="U9546">
        <v>-114.01739999999999</v>
      </c>
    </row>
    <row r="9547" spans="1:21" x14ac:dyDescent="0.35">
      <c r="A9547" t="s">
        <v>815</v>
      </c>
      <c r="B9547" t="s">
        <v>1869</v>
      </c>
      <c r="C9547" t="s">
        <v>35</v>
      </c>
      <c r="D9547" t="s">
        <v>2232</v>
      </c>
      <c r="E9547">
        <v>1.98</v>
      </c>
      <c r="F9547">
        <v>2</v>
      </c>
      <c r="G9547">
        <v>0</v>
      </c>
      <c r="H9547">
        <v>0.89100000000000001</v>
      </c>
      <c r="U9547">
        <v>0.89100000000000001</v>
      </c>
    </row>
    <row r="9548" spans="1:21" x14ac:dyDescent="0.35">
      <c r="A9548" t="s">
        <v>815</v>
      </c>
      <c r="B9548" t="s">
        <v>1869</v>
      </c>
      <c r="C9548" t="s">
        <v>35</v>
      </c>
      <c r="D9548" t="s">
        <v>143</v>
      </c>
      <c r="E9548">
        <v>75.88</v>
      </c>
      <c r="F9548">
        <v>2</v>
      </c>
      <c r="G9548">
        <v>0</v>
      </c>
      <c r="H9548">
        <v>35.663600000000002</v>
      </c>
      <c r="U9548">
        <v>35.663600000000002</v>
      </c>
    </row>
    <row r="9549" spans="1:21" x14ac:dyDescent="0.35">
      <c r="A9549" t="s">
        <v>121</v>
      </c>
      <c r="B9549" t="s">
        <v>162</v>
      </c>
      <c r="C9549" t="s">
        <v>55</v>
      </c>
      <c r="D9549" t="s">
        <v>2367</v>
      </c>
      <c r="E9549">
        <v>6.8479999999999999</v>
      </c>
      <c r="F9549">
        <v>2</v>
      </c>
      <c r="G9549">
        <v>0.2</v>
      </c>
      <c r="H9549">
        <v>2.14</v>
      </c>
      <c r="U9549">
        <v>2.14</v>
      </c>
    </row>
    <row r="9550" spans="1:21" x14ac:dyDescent="0.35">
      <c r="A9550" t="s">
        <v>121</v>
      </c>
      <c r="B9550" t="s">
        <v>162</v>
      </c>
      <c r="C9550" t="s">
        <v>55</v>
      </c>
      <c r="D9550" t="s">
        <v>23</v>
      </c>
      <c r="E9550">
        <v>4.6260000000000003</v>
      </c>
      <c r="F9550">
        <v>2</v>
      </c>
      <c r="G9550">
        <v>0.7</v>
      </c>
      <c r="H9550">
        <v>-3.855</v>
      </c>
      <c r="U9550">
        <v>-3.855</v>
      </c>
    </row>
    <row r="9551" spans="1:21" x14ac:dyDescent="0.35">
      <c r="A9551" t="s">
        <v>121</v>
      </c>
      <c r="B9551" t="s">
        <v>162</v>
      </c>
      <c r="C9551" t="s">
        <v>55</v>
      </c>
      <c r="D9551" t="s">
        <v>1844</v>
      </c>
      <c r="E9551">
        <v>453.6</v>
      </c>
      <c r="F9551">
        <v>3</v>
      </c>
      <c r="G9551">
        <v>0.2</v>
      </c>
      <c r="H9551">
        <v>90.72</v>
      </c>
      <c r="U9551">
        <v>90.72</v>
      </c>
    </row>
    <row r="9552" spans="1:21" x14ac:dyDescent="0.35">
      <c r="A9552" s="1">
        <v>42068</v>
      </c>
      <c r="B9552" t="s">
        <v>1372</v>
      </c>
      <c r="C9552" t="s">
        <v>13</v>
      </c>
      <c r="D9552" t="s">
        <v>147</v>
      </c>
      <c r="E9552">
        <v>13.848000000000001</v>
      </c>
      <c r="F9552">
        <v>3</v>
      </c>
      <c r="G9552">
        <v>0.2</v>
      </c>
      <c r="H9552">
        <v>5.1929999999999996</v>
      </c>
      <c r="U9552">
        <v>5.1929999999999996</v>
      </c>
    </row>
    <row r="9553" spans="1:21" x14ac:dyDescent="0.35">
      <c r="A9553" s="1">
        <v>42288</v>
      </c>
      <c r="B9553" t="s">
        <v>2388</v>
      </c>
      <c r="C9553" t="s">
        <v>55</v>
      </c>
      <c r="D9553" t="s">
        <v>1341</v>
      </c>
      <c r="E9553">
        <v>577.58399999999995</v>
      </c>
      <c r="F9553">
        <v>6</v>
      </c>
      <c r="G9553">
        <v>0.2</v>
      </c>
      <c r="H9553">
        <v>43.318800000000003</v>
      </c>
      <c r="U9553">
        <v>43.318800000000003</v>
      </c>
    </row>
    <row r="9554" spans="1:21" x14ac:dyDescent="0.35">
      <c r="A9554" t="s">
        <v>2352</v>
      </c>
      <c r="B9554" t="s">
        <v>2721</v>
      </c>
      <c r="C9554" t="s">
        <v>8</v>
      </c>
      <c r="D9554" t="s">
        <v>2067</v>
      </c>
      <c r="E9554">
        <v>151.96</v>
      </c>
      <c r="F9554">
        <v>4</v>
      </c>
      <c r="G9554">
        <v>0</v>
      </c>
      <c r="H9554">
        <v>36.470399999999998</v>
      </c>
      <c r="U9554">
        <v>36.470399999999998</v>
      </c>
    </row>
    <row r="9555" spans="1:21" x14ac:dyDescent="0.35">
      <c r="A9555" t="s">
        <v>184</v>
      </c>
      <c r="B9555" t="s">
        <v>1515</v>
      </c>
      <c r="C9555" t="s">
        <v>13</v>
      </c>
      <c r="D9555" t="s">
        <v>745</v>
      </c>
      <c r="E9555">
        <v>68.432000000000002</v>
      </c>
      <c r="F9555">
        <v>7</v>
      </c>
      <c r="G9555">
        <v>0.2</v>
      </c>
      <c r="H9555">
        <v>8.5540000000000003</v>
      </c>
      <c r="U9555">
        <v>8.5540000000000003</v>
      </c>
    </row>
    <row r="9556" spans="1:21" x14ac:dyDescent="0.35">
      <c r="A9556" t="s">
        <v>457</v>
      </c>
      <c r="B9556" t="s">
        <v>2309</v>
      </c>
      <c r="C9556" t="s">
        <v>55</v>
      </c>
      <c r="D9556" t="s">
        <v>191</v>
      </c>
      <c r="E9556">
        <v>71.12</v>
      </c>
      <c r="F9556">
        <v>5</v>
      </c>
      <c r="G9556">
        <v>0.2</v>
      </c>
      <c r="H9556">
        <v>9.7789999999999999</v>
      </c>
      <c r="U9556">
        <v>9.7789999999999999</v>
      </c>
    </row>
    <row r="9557" spans="1:21" x14ac:dyDescent="0.35">
      <c r="A9557" t="s">
        <v>457</v>
      </c>
      <c r="B9557" t="s">
        <v>2309</v>
      </c>
      <c r="C9557" t="s">
        <v>55</v>
      </c>
      <c r="D9557" t="s">
        <v>263</v>
      </c>
      <c r="E9557">
        <v>3.008</v>
      </c>
      <c r="F9557">
        <v>2</v>
      </c>
      <c r="G9557">
        <v>0.2</v>
      </c>
      <c r="H9557">
        <v>0.56399999999999995</v>
      </c>
      <c r="U9557">
        <v>0.56399999999999995</v>
      </c>
    </row>
    <row r="9558" spans="1:21" x14ac:dyDescent="0.35">
      <c r="A9558" s="1">
        <v>42075</v>
      </c>
      <c r="B9558" t="s">
        <v>34</v>
      </c>
      <c r="C9558" t="s">
        <v>55</v>
      </c>
      <c r="D9558" t="s">
        <v>1350</v>
      </c>
      <c r="E9558">
        <v>184.66</v>
      </c>
      <c r="F9558">
        <v>7</v>
      </c>
      <c r="G9558">
        <v>0</v>
      </c>
      <c r="H9558">
        <v>84.943600000000004</v>
      </c>
      <c r="U9558">
        <v>84.943600000000004</v>
      </c>
    </row>
    <row r="9559" spans="1:21" x14ac:dyDescent="0.35">
      <c r="A9559" t="s">
        <v>2565</v>
      </c>
      <c r="B9559" t="s">
        <v>1559</v>
      </c>
      <c r="C9559" t="s">
        <v>35</v>
      </c>
      <c r="D9559" t="s">
        <v>2313</v>
      </c>
      <c r="E9559">
        <v>5.3120000000000003</v>
      </c>
      <c r="F9559">
        <v>2</v>
      </c>
      <c r="G9559">
        <v>0.6</v>
      </c>
      <c r="H9559">
        <v>-1.5935999999999999</v>
      </c>
      <c r="U9559">
        <v>-1.5935999999999999</v>
      </c>
    </row>
    <row r="9560" spans="1:21" x14ac:dyDescent="0.35">
      <c r="A9560" s="1">
        <v>42434</v>
      </c>
      <c r="B9560" t="s">
        <v>2748</v>
      </c>
      <c r="C9560" t="s">
        <v>55</v>
      </c>
      <c r="D9560" t="s">
        <v>867</v>
      </c>
      <c r="E9560">
        <v>132.52000000000001</v>
      </c>
      <c r="F9560">
        <v>5</v>
      </c>
      <c r="G9560">
        <v>0.2</v>
      </c>
      <c r="H9560">
        <v>34.786499999999997</v>
      </c>
      <c r="U9560">
        <v>34.786499999999997</v>
      </c>
    </row>
    <row r="9561" spans="1:21" x14ac:dyDescent="0.35">
      <c r="A9561" s="1">
        <v>42434</v>
      </c>
      <c r="B9561" t="s">
        <v>2748</v>
      </c>
      <c r="C9561" t="s">
        <v>55</v>
      </c>
      <c r="D9561" t="s">
        <v>1872</v>
      </c>
      <c r="E9561">
        <v>195.64</v>
      </c>
      <c r="F9561">
        <v>5</v>
      </c>
      <c r="G9561">
        <v>0.2</v>
      </c>
      <c r="H9561">
        <v>-44.018999999999998</v>
      </c>
      <c r="U9561">
        <v>-44.018999999999998</v>
      </c>
    </row>
    <row r="9562" spans="1:21" x14ac:dyDescent="0.35">
      <c r="A9562" s="1">
        <v>42434</v>
      </c>
      <c r="B9562" t="s">
        <v>2748</v>
      </c>
      <c r="C9562" t="s">
        <v>55</v>
      </c>
      <c r="D9562" t="s">
        <v>2211</v>
      </c>
      <c r="E9562">
        <v>51.968000000000004</v>
      </c>
      <c r="F9562">
        <v>2</v>
      </c>
      <c r="G9562">
        <v>0.2</v>
      </c>
      <c r="H9562">
        <v>10.393599999999999</v>
      </c>
      <c r="U9562">
        <v>10.393599999999999</v>
      </c>
    </row>
    <row r="9563" spans="1:21" x14ac:dyDescent="0.35">
      <c r="A9563" s="1">
        <v>42434</v>
      </c>
      <c r="B9563" t="s">
        <v>2748</v>
      </c>
      <c r="C9563" t="s">
        <v>55</v>
      </c>
      <c r="D9563" t="s">
        <v>2101</v>
      </c>
      <c r="E9563">
        <v>431.976</v>
      </c>
      <c r="F9563">
        <v>3</v>
      </c>
      <c r="G9563">
        <v>0.2</v>
      </c>
      <c r="H9563">
        <v>-75.595799999999997</v>
      </c>
      <c r="U9563">
        <v>-75.595799999999997</v>
      </c>
    </row>
    <row r="9564" spans="1:21" x14ac:dyDescent="0.35">
      <c r="A9564" s="1">
        <v>42434</v>
      </c>
      <c r="B9564" t="s">
        <v>2748</v>
      </c>
      <c r="C9564" t="s">
        <v>55</v>
      </c>
      <c r="D9564" t="s">
        <v>2749</v>
      </c>
      <c r="E9564">
        <v>224.93700000000001</v>
      </c>
      <c r="F9564">
        <v>3</v>
      </c>
      <c r="G9564">
        <v>0.7</v>
      </c>
      <c r="H9564">
        <v>-164.9538</v>
      </c>
      <c r="U9564">
        <v>-164.9538</v>
      </c>
    </row>
    <row r="9565" spans="1:21" x14ac:dyDescent="0.35">
      <c r="A9565" s="1">
        <v>42434</v>
      </c>
      <c r="B9565" t="s">
        <v>2748</v>
      </c>
      <c r="C9565" t="s">
        <v>55</v>
      </c>
      <c r="D9565" t="s">
        <v>2123</v>
      </c>
      <c r="E9565">
        <v>6</v>
      </c>
      <c r="F9565">
        <v>2</v>
      </c>
      <c r="G9565">
        <v>0.2</v>
      </c>
      <c r="H9565">
        <v>2.1</v>
      </c>
      <c r="U9565">
        <v>2.1</v>
      </c>
    </row>
    <row r="9566" spans="1:21" x14ac:dyDescent="0.35">
      <c r="A9566" s="1">
        <v>42010</v>
      </c>
      <c r="B9566" t="s">
        <v>1269</v>
      </c>
      <c r="C9566" t="s">
        <v>13</v>
      </c>
      <c r="D9566" t="s">
        <v>1679</v>
      </c>
      <c r="E9566">
        <v>11.76</v>
      </c>
      <c r="F9566">
        <v>2</v>
      </c>
      <c r="G9566">
        <v>0</v>
      </c>
      <c r="H9566">
        <v>5.7624000000000004</v>
      </c>
      <c r="U9566">
        <v>5.7624000000000004</v>
      </c>
    </row>
    <row r="9567" spans="1:21" x14ac:dyDescent="0.35">
      <c r="A9567" t="s">
        <v>2028</v>
      </c>
      <c r="B9567" t="s">
        <v>921</v>
      </c>
      <c r="C9567" t="s">
        <v>8</v>
      </c>
      <c r="D9567" t="s">
        <v>451</v>
      </c>
      <c r="E9567">
        <v>1125.4880000000001</v>
      </c>
      <c r="F9567">
        <v>7</v>
      </c>
      <c r="G9567">
        <v>0.2</v>
      </c>
      <c r="H9567">
        <v>98.480199999999996</v>
      </c>
      <c r="U9567">
        <v>98.480199999999996</v>
      </c>
    </row>
    <row r="9568" spans="1:21" x14ac:dyDescent="0.35">
      <c r="A9568" t="s">
        <v>2028</v>
      </c>
      <c r="B9568" t="s">
        <v>921</v>
      </c>
      <c r="C9568" t="s">
        <v>8</v>
      </c>
      <c r="D9568" t="s">
        <v>1193</v>
      </c>
      <c r="E9568">
        <v>12.645</v>
      </c>
      <c r="F9568">
        <v>5</v>
      </c>
      <c r="G9568">
        <v>0.7</v>
      </c>
      <c r="H9568">
        <v>-10.116</v>
      </c>
      <c r="U9568">
        <v>-10.116</v>
      </c>
    </row>
    <row r="9569" spans="1:21" x14ac:dyDescent="0.35">
      <c r="A9569" t="s">
        <v>2028</v>
      </c>
      <c r="B9569" t="s">
        <v>921</v>
      </c>
      <c r="C9569" t="s">
        <v>8</v>
      </c>
      <c r="D9569" t="s">
        <v>376</v>
      </c>
      <c r="E9569">
        <v>4.032</v>
      </c>
      <c r="F9569">
        <v>2</v>
      </c>
      <c r="G9569">
        <v>0.2</v>
      </c>
      <c r="H9569">
        <v>1.0584</v>
      </c>
      <c r="U9569">
        <v>1.0584</v>
      </c>
    </row>
    <row r="9570" spans="1:21" x14ac:dyDescent="0.35">
      <c r="A9570" s="1">
        <v>42862</v>
      </c>
      <c r="B9570" t="s">
        <v>1626</v>
      </c>
      <c r="C9570" t="s">
        <v>35</v>
      </c>
      <c r="D9570" t="s">
        <v>261</v>
      </c>
      <c r="E9570">
        <v>79.959999999999994</v>
      </c>
      <c r="F9570">
        <v>4</v>
      </c>
      <c r="G9570">
        <v>0</v>
      </c>
      <c r="H9570">
        <v>22.3888</v>
      </c>
      <c r="U9570">
        <v>22.3888</v>
      </c>
    </row>
    <row r="9571" spans="1:21" x14ac:dyDescent="0.35">
      <c r="A9571" t="s">
        <v>1546</v>
      </c>
      <c r="B9571" t="s">
        <v>384</v>
      </c>
      <c r="C9571" t="s">
        <v>55</v>
      </c>
      <c r="D9571" t="s">
        <v>2181</v>
      </c>
      <c r="E9571">
        <v>6.7320000000000002</v>
      </c>
      <c r="F9571">
        <v>6</v>
      </c>
      <c r="G9571">
        <v>0.7</v>
      </c>
      <c r="H9571">
        <v>-4.4880000000000004</v>
      </c>
      <c r="U9571">
        <v>-4.4880000000000004</v>
      </c>
    </row>
    <row r="9572" spans="1:21" x14ac:dyDescent="0.35">
      <c r="A9572" t="s">
        <v>1546</v>
      </c>
      <c r="B9572" t="s">
        <v>384</v>
      </c>
      <c r="C9572" t="s">
        <v>55</v>
      </c>
      <c r="D9572" t="s">
        <v>1945</v>
      </c>
      <c r="E9572">
        <v>33.567999999999998</v>
      </c>
      <c r="F9572">
        <v>2</v>
      </c>
      <c r="G9572">
        <v>0.2</v>
      </c>
      <c r="H9572">
        <v>1.6783999999999999</v>
      </c>
      <c r="U9572">
        <v>1.6783999999999999</v>
      </c>
    </row>
    <row r="9573" spans="1:21" x14ac:dyDescent="0.35">
      <c r="A9573" t="s">
        <v>1546</v>
      </c>
      <c r="B9573" t="s">
        <v>384</v>
      </c>
      <c r="C9573" t="s">
        <v>55</v>
      </c>
      <c r="D9573" t="s">
        <v>2506</v>
      </c>
      <c r="E9573">
        <v>15.84</v>
      </c>
      <c r="F9573">
        <v>2</v>
      </c>
      <c r="G9573">
        <v>0.2</v>
      </c>
      <c r="H9573">
        <v>5.5439999999999996</v>
      </c>
      <c r="U9573">
        <v>5.5439999999999996</v>
      </c>
    </row>
    <row r="9574" spans="1:21" x14ac:dyDescent="0.35">
      <c r="A9574" t="s">
        <v>1546</v>
      </c>
      <c r="B9574" t="s">
        <v>384</v>
      </c>
      <c r="C9574" t="s">
        <v>55</v>
      </c>
      <c r="D9574" t="s">
        <v>1046</v>
      </c>
      <c r="E9574">
        <v>24.423999999999999</v>
      </c>
      <c r="F9574">
        <v>1</v>
      </c>
      <c r="G9574">
        <v>0.2</v>
      </c>
      <c r="H9574">
        <v>7.9378000000000002</v>
      </c>
      <c r="U9574">
        <v>7.9378000000000002</v>
      </c>
    </row>
    <row r="9575" spans="1:21" x14ac:dyDescent="0.35">
      <c r="A9575" t="s">
        <v>1546</v>
      </c>
      <c r="B9575" t="s">
        <v>384</v>
      </c>
      <c r="C9575" t="s">
        <v>55</v>
      </c>
      <c r="D9575" t="s">
        <v>1720</v>
      </c>
      <c r="E9575">
        <v>17.12</v>
      </c>
      <c r="F9575">
        <v>5</v>
      </c>
      <c r="G9575">
        <v>0.2</v>
      </c>
      <c r="H9575">
        <v>1.9259999999999999</v>
      </c>
      <c r="U9575">
        <v>1.9259999999999999</v>
      </c>
    </row>
    <row r="9576" spans="1:21" x14ac:dyDescent="0.35">
      <c r="A9576" t="s">
        <v>2361</v>
      </c>
      <c r="B9576" t="s">
        <v>54</v>
      </c>
      <c r="C9576" t="s">
        <v>13</v>
      </c>
      <c r="D9576" t="s">
        <v>1880</v>
      </c>
      <c r="E9576">
        <v>31.56</v>
      </c>
      <c r="F9576">
        <v>3</v>
      </c>
      <c r="G9576">
        <v>0</v>
      </c>
      <c r="H9576">
        <v>10.4148</v>
      </c>
      <c r="U9576">
        <v>10.4148</v>
      </c>
    </row>
    <row r="9577" spans="1:21" x14ac:dyDescent="0.35">
      <c r="A9577" t="s">
        <v>2536</v>
      </c>
      <c r="B9577" t="s">
        <v>1784</v>
      </c>
      <c r="C9577" t="s">
        <v>35</v>
      </c>
      <c r="D9577" t="s">
        <v>176</v>
      </c>
      <c r="E9577">
        <v>105.68600000000001</v>
      </c>
      <c r="F9577">
        <v>1</v>
      </c>
      <c r="G9577">
        <v>0.3</v>
      </c>
      <c r="H9577">
        <v>-28.686199999999999</v>
      </c>
      <c r="U9577">
        <v>-28.686199999999999</v>
      </c>
    </row>
    <row r="9578" spans="1:21" x14ac:dyDescent="0.35">
      <c r="A9578" t="s">
        <v>2536</v>
      </c>
      <c r="B9578" t="s">
        <v>1784</v>
      </c>
      <c r="C9578" t="s">
        <v>35</v>
      </c>
      <c r="D9578" t="s">
        <v>1783</v>
      </c>
      <c r="E9578">
        <v>399.54</v>
      </c>
      <c r="F9578">
        <v>2</v>
      </c>
      <c r="G9578">
        <v>0.4</v>
      </c>
      <c r="H9578">
        <v>-79.908000000000001</v>
      </c>
      <c r="U9578">
        <v>-79.908000000000001</v>
      </c>
    </row>
    <row r="9579" spans="1:21" x14ac:dyDescent="0.35">
      <c r="A9579" t="s">
        <v>2536</v>
      </c>
      <c r="B9579" t="s">
        <v>1784</v>
      </c>
      <c r="C9579" t="s">
        <v>35</v>
      </c>
      <c r="D9579" t="s">
        <v>1847</v>
      </c>
      <c r="E9579">
        <v>104.93</v>
      </c>
      <c r="F9579">
        <v>5</v>
      </c>
      <c r="G9579">
        <v>0.3</v>
      </c>
      <c r="H9579">
        <v>-4.4969999999999999</v>
      </c>
      <c r="U9579">
        <v>-4.4969999999999999</v>
      </c>
    </row>
    <row r="9580" spans="1:21" x14ac:dyDescent="0.35">
      <c r="A9580" t="s">
        <v>148</v>
      </c>
      <c r="B9580" t="s">
        <v>193</v>
      </c>
      <c r="C9580" t="s">
        <v>55</v>
      </c>
      <c r="D9580" t="s">
        <v>1514</v>
      </c>
      <c r="E9580">
        <v>1079.8499999999999</v>
      </c>
      <c r="F9580">
        <v>3</v>
      </c>
      <c r="G9580">
        <v>0</v>
      </c>
      <c r="H9580">
        <v>323.95499999999998</v>
      </c>
      <c r="U9580">
        <v>323.95499999999998</v>
      </c>
    </row>
    <row r="9581" spans="1:21" x14ac:dyDescent="0.35">
      <c r="A9581" t="s">
        <v>148</v>
      </c>
      <c r="B9581" t="s">
        <v>193</v>
      </c>
      <c r="C9581" t="s">
        <v>55</v>
      </c>
      <c r="D9581" t="s">
        <v>1716</v>
      </c>
      <c r="E9581">
        <v>70.98</v>
      </c>
      <c r="F9581">
        <v>1</v>
      </c>
      <c r="G9581">
        <v>0</v>
      </c>
      <c r="H9581">
        <v>3.5489999999999999</v>
      </c>
      <c r="U9581">
        <v>3.5489999999999999</v>
      </c>
    </row>
    <row r="9582" spans="1:21" x14ac:dyDescent="0.35">
      <c r="A9582" t="s">
        <v>148</v>
      </c>
      <c r="B9582" t="s">
        <v>193</v>
      </c>
      <c r="C9582" t="s">
        <v>55</v>
      </c>
      <c r="D9582" t="s">
        <v>1310</v>
      </c>
      <c r="E9582">
        <v>29.95</v>
      </c>
      <c r="F9582">
        <v>5</v>
      </c>
      <c r="G9582">
        <v>0</v>
      </c>
      <c r="H9582">
        <v>8.6854999999999993</v>
      </c>
      <c r="U9582">
        <v>8.6854999999999993</v>
      </c>
    </row>
    <row r="9583" spans="1:21" x14ac:dyDescent="0.35">
      <c r="A9583" t="s">
        <v>148</v>
      </c>
      <c r="B9583" t="s">
        <v>193</v>
      </c>
      <c r="C9583" t="s">
        <v>55</v>
      </c>
      <c r="D9583" t="s">
        <v>2434</v>
      </c>
      <c r="E9583">
        <v>589.41</v>
      </c>
      <c r="F9583">
        <v>5</v>
      </c>
      <c r="G9583">
        <v>0.1</v>
      </c>
      <c r="H9583">
        <v>-6.5490000000000004</v>
      </c>
      <c r="U9583">
        <v>-6.5490000000000004</v>
      </c>
    </row>
    <row r="9584" spans="1:21" x14ac:dyDescent="0.35">
      <c r="A9584" s="1">
        <v>42557</v>
      </c>
      <c r="B9584" t="s">
        <v>2737</v>
      </c>
      <c r="C9584" t="s">
        <v>55</v>
      </c>
      <c r="D9584" t="s">
        <v>269</v>
      </c>
      <c r="E9584">
        <v>9.6479999999999997</v>
      </c>
      <c r="F9584">
        <v>6</v>
      </c>
      <c r="G9584">
        <v>0.2</v>
      </c>
      <c r="H9584">
        <v>3.4973999999999998</v>
      </c>
      <c r="U9584">
        <v>3.4973999999999998</v>
      </c>
    </row>
    <row r="9585" spans="1:21" x14ac:dyDescent="0.35">
      <c r="A9585" t="s">
        <v>1757</v>
      </c>
      <c r="B9585" t="s">
        <v>2617</v>
      </c>
      <c r="C9585" t="s">
        <v>55</v>
      </c>
      <c r="D9585" t="s">
        <v>1981</v>
      </c>
      <c r="E9585">
        <v>400.78399999999999</v>
      </c>
      <c r="F9585">
        <v>1</v>
      </c>
      <c r="G9585">
        <v>0.2</v>
      </c>
      <c r="H9585">
        <v>-5.0098000000000003</v>
      </c>
      <c r="U9585">
        <v>-5.0098000000000003</v>
      </c>
    </row>
    <row r="9586" spans="1:21" x14ac:dyDescent="0.35">
      <c r="A9586" t="s">
        <v>2213</v>
      </c>
      <c r="B9586" t="s">
        <v>2382</v>
      </c>
      <c r="C9586" t="s">
        <v>35</v>
      </c>
      <c r="D9586" t="s">
        <v>1699</v>
      </c>
      <c r="E9586">
        <v>53.72</v>
      </c>
      <c r="F9586">
        <v>4</v>
      </c>
      <c r="G9586">
        <v>0</v>
      </c>
      <c r="H9586">
        <v>13.9672</v>
      </c>
      <c r="U9586">
        <v>13.9672</v>
      </c>
    </row>
    <row r="9587" spans="1:21" x14ac:dyDescent="0.35">
      <c r="A9587" t="s">
        <v>1312</v>
      </c>
      <c r="B9587" t="s">
        <v>1623</v>
      </c>
      <c r="C9587" t="s">
        <v>8</v>
      </c>
      <c r="D9587" t="s">
        <v>2209</v>
      </c>
      <c r="E9587">
        <v>31.007999999999999</v>
      </c>
      <c r="F9587">
        <v>1</v>
      </c>
      <c r="G9587">
        <v>0.2</v>
      </c>
      <c r="H9587">
        <v>11.240399999999999</v>
      </c>
      <c r="U9587">
        <v>11.240399999999999</v>
      </c>
    </row>
    <row r="9588" spans="1:21" x14ac:dyDescent="0.35">
      <c r="A9588" t="s">
        <v>2145</v>
      </c>
      <c r="B9588" t="s">
        <v>2206</v>
      </c>
      <c r="C9588" t="s">
        <v>13</v>
      </c>
      <c r="D9588" t="s">
        <v>2098</v>
      </c>
      <c r="E9588">
        <v>61.12</v>
      </c>
      <c r="F9588">
        <v>5</v>
      </c>
      <c r="G9588">
        <v>0.2</v>
      </c>
      <c r="H9588">
        <v>22.155999999999999</v>
      </c>
      <c r="U9588">
        <v>22.155999999999999</v>
      </c>
    </row>
    <row r="9589" spans="1:21" x14ac:dyDescent="0.35">
      <c r="A9589" t="s">
        <v>541</v>
      </c>
      <c r="B9589" t="s">
        <v>2068</v>
      </c>
      <c r="C9589" t="s">
        <v>35</v>
      </c>
      <c r="D9589" t="s">
        <v>1487</v>
      </c>
      <c r="E9589">
        <v>195.136</v>
      </c>
      <c r="F9589">
        <v>4</v>
      </c>
      <c r="G9589">
        <v>0.2</v>
      </c>
      <c r="H9589">
        <v>-43.9056</v>
      </c>
      <c r="U9589">
        <v>-43.9056</v>
      </c>
    </row>
    <row r="9590" spans="1:21" x14ac:dyDescent="0.35">
      <c r="A9590" t="s">
        <v>1099</v>
      </c>
      <c r="B9590" t="s">
        <v>2114</v>
      </c>
      <c r="C9590" t="s">
        <v>35</v>
      </c>
      <c r="D9590" t="s">
        <v>230</v>
      </c>
      <c r="E9590">
        <v>121.536</v>
      </c>
      <c r="F9590">
        <v>4</v>
      </c>
      <c r="G9590">
        <v>0.2</v>
      </c>
      <c r="H9590">
        <v>15.192</v>
      </c>
      <c r="U9590">
        <v>15.192</v>
      </c>
    </row>
    <row r="9591" spans="1:21" x14ac:dyDescent="0.35">
      <c r="A9591" s="1">
        <v>41948</v>
      </c>
      <c r="B9591" t="s">
        <v>2722</v>
      </c>
      <c r="C9591" t="s">
        <v>35</v>
      </c>
      <c r="D9591" t="s">
        <v>2614</v>
      </c>
      <c r="E9591">
        <v>17.472000000000001</v>
      </c>
      <c r="F9591">
        <v>3</v>
      </c>
      <c r="G9591">
        <v>0.2</v>
      </c>
      <c r="H9591">
        <v>5.6783999999999999</v>
      </c>
      <c r="U9591">
        <v>5.6783999999999999</v>
      </c>
    </row>
    <row r="9592" spans="1:21" x14ac:dyDescent="0.35">
      <c r="A9592" s="1">
        <v>41948</v>
      </c>
      <c r="B9592" t="s">
        <v>2722</v>
      </c>
      <c r="C9592" t="s">
        <v>35</v>
      </c>
      <c r="D9592" t="s">
        <v>1531</v>
      </c>
      <c r="E9592">
        <v>104.58</v>
      </c>
      <c r="F9592">
        <v>9</v>
      </c>
      <c r="G9592">
        <v>0.8</v>
      </c>
      <c r="H9592">
        <v>-172.55699999999999</v>
      </c>
      <c r="U9592">
        <v>-172.55699999999999</v>
      </c>
    </row>
    <row r="9593" spans="1:21" x14ac:dyDescent="0.35">
      <c r="A9593" t="s">
        <v>2626</v>
      </c>
      <c r="B9593" t="s">
        <v>2039</v>
      </c>
      <c r="C9593" t="s">
        <v>35</v>
      </c>
      <c r="D9593" t="s">
        <v>1496</v>
      </c>
      <c r="E9593">
        <v>24.7</v>
      </c>
      <c r="F9593">
        <v>5</v>
      </c>
      <c r="G9593">
        <v>0.6</v>
      </c>
      <c r="H9593">
        <v>-9.8800000000000008</v>
      </c>
      <c r="U9593">
        <v>-9.8800000000000008</v>
      </c>
    </row>
    <row r="9594" spans="1:21" x14ac:dyDescent="0.35">
      <c r="A9594" t="s">
        <v>2626</v>
      </c>
      <c r="B9594" t="s">
        <v>2039</v>
      </c>
      <c r="C9594" t="s">
        <v>35</v>
      </c>
      <c r="D9594" t="s">
        <v>2686</v>
      </c>
      <c r="E9594">
        <v>302.72000000000003</v>
      </c>
      <c r="F9594">
        <v>5</v>
      </c>
      <c r="G9594">
        <v>0.6</v>
      </c>
      <c r="H9594">
        <v>-378.4</v>
      </c>
      <c r="U9594">
        <v>-378.4</v>
      </c>
    </row>
    <row r="9595" spans="1:21" x14ac:dyDescent="0.35">
      <c r="A9595" t="s">
        <v>148</v>
      </c>
      <c r="B9595" t="s">
        <v>1790</v>
      </c>
      <c r="C9595" t="s">
        <v>55</v>
      </c>
      <c r="D9595" t="s">
        <v>2306</v>
      </c>
      <c r="E9595">
        <v>8.56</v>
      </c>
      <c r="F9595">
        <v>2</v>
      </c>
      <c r="G9595">
        <v>0</v>
      </c>
      <c r="H9595">
        <v>3.8519999999999999</v>
      </c>
      <c r="U9595">
        <v>3.8519999999999999</v>
      </c>
    </row>
    <row r="9596" spans="1:21" x14ac:dyDescent="0.35">
      <c r="A9596" t="s">
        <v>148</v>
      </c>
      <c r="B9596" t="s">
        <v>1790</v>
      </c>
      <c r="C9596" t="s">
        <v>55</v>
      </c>
      <c r="D9596" t="s">
        <v>709</v>
      </c>
      <c r="E9596">
        <v>11.56</v>
      </c>
      <c r="F9596">
        <v>2</v>
      </c>
      <c r="G9596">
        <v>0</v>
      </c>
      <c r="H9596">
        <v>5.6643999999999997</v>
      </c>
      <c r="U9596">
        <v>5.6643999999999997</v>
      </c>
    </row>
    <row r="9597" spans="1:21" x14ac:dyDescent="0.35">
      <c r="A9597" t="s">
        <v>2091</v>
      </c>
      <c r="B9597" t="s">
        <v>1652</v>
      </c>
      <c r="C9597" t="s">
        <v>13</v>
      </c>
      <c r="D9597" t="s">
        <v>52</v>
      </c>
      <c r="E9597">
        <v>25.86</v>
      </c>
      <c r="F9597">
        <v>3</v>
      </c>
      <c r="G9597">
        <v>0</v>
      </c>
      <c r="H9597">
        <v>6.7236000000000002</v>
      </c>
      <c r="U9597">
        <v>6.7236000000000002</v>
      </c>
    </row>
    <row r="9598" spans="1:21" x14ac:dyDescent="0.35">
      <c r="A9598" t="s">
        <v>2091</v>
      </c>
      <c r="B9598" t="s">
        <v>1652</v>
      </c>
      <c r="C9598" t="s">
        <v>13</v>
      </c>
      <c r="D9598" t="s">
        <v>2440</v>
      </c>
      <c r="E9598">
        <v>276.78399999999999</v>
      </c>
      <c r="F9598">
        <v>2</v>
      </c>
      <c r="G9598">
        <v>0.2</v>
      </c>
      <c r="H9598">
        <v>89.954800000000006</v>
      </c>
      <c r="U9598">
        <v>89.954800000000006</v>
      </c>
    </row>
    <row r="9599" spans="1:21" x14ac:dyDescent="0.35">
      <c r="A9599" t="s">
        <v>2091</v>
      </c>
      <c r="B9599" t="s">
        <v>1652</v>
      </c>
      <c r="C9599" t="s">
        <v>13</v>
      </c>
      <c r="D9599" t="s">
        <v>2529</v>
      </c>
      <c r="E9599">
        <v>110.352</v>
      </c>
      <c r="F9599">
        <v>3</v>
      </c>
      <c r="G9599">
        <v>0.2</v>
      </c>
      <c r="H9599">
        <v>8.2764000000000006</v>
      </c>
      <c r="U9599">
        <v>8.2764000000000006</v>
      </c>
    </row>
    <row r="9600" spans="1:21" x14ac:dyDescent="0.35">
      <c r="A9600" t="s">
        <v>1337</v>
      </c>
      <c r="B9600" t="s">
        <v>2604</v>
      </c>
      <c r="C9600" t="s">
        <v>13</v>
      </c>
      <c r="D9600" t="s">
        <v>2308</v>
      </c>
      <c r="E9600">
        <v>60.84</v>
      </c>
      <c r="F9600">
        <v>3</v>
      </c>
      <c r="G9600">
        <v>0</v>
      </c>
      <c r="H9600">
        <v>19.468800000000002</v>
      </c>
      <c r="U9600">
        <v>19.468800000000002</v>
      </c>
    </row>
    <row r="9601" spans="1:21" x14ac:dyDescent="0.35">
      <c r="A9601" t="s">
        <v>1049</v>
      </c>
      <c r="B9601" t="s">
        <v>944</v>
      </c>
      <c r="C9601" t="s">
        <v>13</v>
      </c>
      <c r="D9601" t="s">
        <v>2095</v>
      </c>
      <c r="E9601">
        <v>35.207999999999998</v>
      </c>
      <c r="F9601">
        <v>1</v>
      </c>
      <c r="G9601">
        <v>0.2</v>
      </c>
      <c r="H9601">
        <v>2.6406000000000001</v>
      </c>
      <c r="U9601">
        <v>2.6406000000000001</v>
      </c>
    </row>
    <row r="9602" spans="1:21" x14ac:dyDescent="0.35">
      <c r="A9602" s="1">
        <v>42952</v>
      </c>
      <c r="B9602" t="s">
        <v>763</v>
      </c>
      <c r="C9602" t="s">
        <v>35</v>
      </c>
      <c r="D9602" t="s">
        <v>2277</v>
      </c>
      <c r="E9602">
        <v>41.472000000000001</v>
      </c>
      <c r="F9602">
        <v>8</v>
      </c>
      <c r="G9602">
        <v>0.2</v>
      </c>
      <c r="H9602">
        <v>14.5152</v>
      </c>
      <c r="U9602">
        <v>14.5152</v>
      </c>
    </row>
    <row r="9603" spans="1:21" x14ac:dyDescent="0.35">
      <c r="A9603" s="1">
        <v>42469</v>
      </c>
      <c r="B9603" t="s">
        <v>790</v>
      </c>
      <c r="C9603" t="s">
        <v>8</v>
      </c>
      <c r="D9603" t="s">
        <v>1730</v>
      </c>
      <c r="E9603">
        <v>239.5</v>
      </c>
      <c r="F9603">
        <v>5</v>
      </c>
      <c r="G9603">
        <v>0</v>
      </c>
      <c r="H9603">
        <v>114.96</v>
      </c>
      <c r="U9603">
        <v>114.96</v>
      </c>
    </row>
    <row r="9604" spans="1:21" x14ac:dyDescent="0.35">
      <c r="A9604" t="s">
        <v>2480</v>
      </c>
      <c r="B9604" t="s">
        <v>599</v>
      </c>
      <c r="C9604" t="s">
        <v>8</v>
      </c>
      <c r="D9604" t="s">
        <v>2587</v>
      </c>
      <c r="E9604">
        <v>34.200000000000003</v>
      </c>
      <c r="F9604">
        <v>5</v>
      </c>
      <c r="G9604">
        <v>0</v>
      </c>
      <c r="H9604">
        <v>9.234</v>
      </c>
      <c r="U9604">
        <v>9.234</v>
      </c>
    </row>
    <row r="9605" spans="1:21" x14ac:dyDescent="0.35">
      <c r="A9605" t="s">
        <v>120</v>
      </c>
      <c r="B9605" t="s">
        <v>2247</v>
      </c>
      <c r="C9605" t="s">
        <v>55</v>
      </c>
      <c r="D9605" t="s">
        <v>1687</v>
      </c>
      <c r="E9605">
        <v>376.86599999999999</v>
      </c>
      <c r="F9605">
        <v>3</v>
      </c>
      <c r="G9605">
        <v>0.4</v>
      </c>
      <c r="H9605">
        <v>-213.5574</v>
      </c>
      <c r="U9605">
        <v>-213.5574</v>
      </c>
    </row>
    <row r="9606" spans="1:21" x14ac:dyDescent="0.35">
      <c r="A9606" s="1">
        <v>42046</v>
      </c>
      <c r="B9606" t="s">
        <v>1076</v>
      </c>
      <c r="C9606" t="s">
        <v>8</v>
      </c>
      <c r="D9606" t="s">
        <v>2750</v>
      </c>
      <c r="E9606">
        <v>197.72</v>
      </c>
      <c r="F9606">
        <v>4</v>
      </c>
      <c r="G9606">
        <v>0</v>
      </c>
      <c r="H9606">
        <v>55.361600000000003</v>
      </c>
      <c r="U9606">
        <v>55.361600000000003</v>
      </c>
    </row>
    <row r="9607" spans="1:21" x14ac:dyDescent="0.35">
      <c r="A9607" s="1">
        <v>42836</v>
      </c>
      <c r="B9607" t="s">
        <v>1553</v>
      </c>
      <c r="C9607" t="s">
        <v>55</v>
      </c>
      <c r="D9607" t="s">
        <v>361</v>
      </c>
      <c r="E9607">
        <v>70.72</v>
      </c>
      <c r="F9607">
        <v>4</v>
      </c>
      <c r="G9607">
        <v>0.2</v>
      </c>
      <c r="H9607">
        <v>-6.1879999999999997</v>
      </c>
      <c r="U9607">
        <v>-6.1879999999999997</v>
      </c>
    </row>
    <row r="9608" spans="1:21" x14ac:dyDescent="0.35">
      <c r="A9608" s="1">
        <v>42836</v>
      </c>
      <c r="B9608" t="s">
        <v>1553</v>
      </c>
      <c r="C9608" t="s">
        <v>55</v>
      </c>
      <c r="D9608" t="s">
        <v>1468</v>
      </c>
      <c r="E9608">
        <v>194.352</v>
      </c>
      <c r="F9608">
        <v>3</v>
      </c>
      <c r="G9608">
        <v>0.2</v>
      </c>
      <c r="H9608">
        <v>-43.729199999999999</v>
      </c>
      <c r="U9608">
        <v>-43.729199999999999</v>
      </c>
    </row>
    <row r="9609" spans="1:21" x14ac:dyDescent="0.35">
      <c r="A9609" s="1">
        <v>42867</v>
      </c>
      <c r="B9609" t="s">
        <v>1965</v>
      </c>
      <c r="C9609" t="s">
        <v>55</v>
      </c>
      <c r="D9609" t="s">
        <v>2395</v>
      </c>
      <c r="E9609">
        <v>21.6</v>
      </c>
      <c r="F9609">
        <v>6</v>
      </c>
      <c r="G9609">
        <v>0</v>
      </c>
      <c r="H9609">
        <v>9.9359999999999999</v>
      </c>
      <c r="U9609">
        <v>9.9359999999999999</v>
      </c>
    </row>
    <row r="9610" spans="1:21" x14ac:dyDescent="0.35">
      <c r="A9610" s="1">
        <v>42867</v>
      </c>
      <c r="B9610" t="s">
        <v>1965</v>
      </c>
      <c r="C9610" t="s">
        <v>55</v>
      </c>
      <c r="D9610" t="s">
        <v>1968</v>
      </c>
      <c r="E9610">
        <v>11.07</v>
      </c>
      <c r="F9610">
        <v>3</v>
      </c>
      <c r="G9610">
        <v>0</v>
      </c>
      <c r="H9610">
        <v>5.2028999999999996</v>
      </c>
      <c r="U9610">
        <v>5.2028999999999996</v>
      </c>
    </row>
    <row r="9611" spans="1:21" x14ac:dyDescent="0.35">
      <c r="A9611" t="s">
        <v>1574</v>
      </c>
      <c r="B9611" t="s">
        <v>767</v>
      </c>
      <c r="C9611" t="s">
        <v>13</v>
      </c>
      <c r="D9611" t="s">
        <v>2263</v>
      </c>
      <c r="E9611">
        <v>282.83999999999997</v>
      </c>
      <c r="F9611">
        <v>4</v>
      </c>
      <c r="G9611">
        <v>0</v>
      </c>
      <c r="H9611">
        <v>19.7988</v>
      </c>
      <c r="U9611">
        <v>19.7988</v>
      </c>
    </row>
    <row r="9612" spans="1:21" x14ac:dyDescent="0.35">
      <c r="A9612" t="s">
        <v>1574</v>
      </c>
      <c r="B9612" t="s">
        <v>767</v>
      </c>
      <c r="C9612" t="s">
        <v>13</v>
      </c>
      <c r="D9612" t="s">
        <v>1706</v>
      </c>
      <c r="E9612">
        <v>27.72</v>
      </c>
      <c r="F9612">
        <v>9</v>
      </c>
      <c r="G9612">
        <v>0</v>
      </c>
      <c r="H9612">
        <v>13.3056</v>
      </c>
      <c r="U9612">
        <v>13.3056</v>
      </c>
    </row>
    <row r="9613" spans="1:21" x14ac:dyDescent="0.35">
      <c r="A9613" t="s">
        <v>762</v>
      </c>
      <c r="B9613" t="s">
        <v>925</v>
      </c>
      <c r="C9613" t="s">
        <v>8</v>
      </c>
      <c r="D9613" t="s">
        <v>263</v>
      </c>
      <c r="E9613">
        <v>11.68</v>
      </c>
      <c r="F9613">
        <v>4</v>
      </c>
      <c r="G9613">
        <v>0</v>
      </c>
      <c r="H9613">
        <v>5.2560000000000002</v>
      </c>
      <c r="U9613">
        <v>5.2560000000000002</v>
      </c>
    </row>
    <row r="9614" spans="1:21" x14ac:dyDescent="0.35">
      <c r="A9614" t="s">
        <v>144</v>
      </c>
      <c r="B9614" t="s">
        <v>892</v>
      </c>
      <c r="C9614" t="s">
        <v>13</v>
      </c>
      <c r="D9614" t="s">
        <v>2324</v>
      </c>
      <c r="E9614">
        <v>239.98400000000001</v>
      </c>
      <c r="F9614">
        <v>2</v>
      </c>
      <c r="G9614">
        <v>0.2</v>
      </c>
      <c r="H9614">
        <v>23.9984</v>
      </c>
      <c r="U9614">
        <v>23.9984</v>
      </c>
    </row>
    <row r="9615" spans="1:21" x14ac:dyDescent="0.35">
      <c r="A9615" s="1">
        <v>41954</v>
      </c>
      <c r="B9615" t="s">
        <v>371</v>
      </c>
      <c r="C9615" t="s">
        <v>13</v>
      </c>
      <c r="D9615" t="s">
        <v>24</v>
      </c>
      <c r="E9615">
        <v>22.98</v>
      </c>
      <c r="F9615">
        <v>1</v>
      </c>
      <c r="G9615">
        <v>0</v>
      </c>
      <c r="H9615">
        <v>6.8940000000000001</v>
      </c>
      <c r="U9615">
        <v>6.8940000000000001</v>
      </c>
    </row>
    <row r="9616" spans="1:21" x14ac:dyDescent="0.35">
      <c r="A9616" s="1">
        <v>41954</v>
      </c>
      <c r="B9616" t="s">
        <v>371</v>
      </c>
      <c r="C9616" t="s">
        <v>13</v>
      </c>
      <c r="D9616" t="s">
        <v>1923</v>
      </c>
      <c r="E9616">
        <v>102.13</v>
      </c>
      <c r="F9616">
        <v>7</v>
      </c>
      <c r="G9616">
        <v>0</v>
      </c>
      <c r="H9616">
        <v>15.3195</v>
      </c>
      <c r="U9616">
        <v>15.3195</v>
      </c>
    </row>
    <row r="9617" spans="1:21" x14ac:dyDescent="0.35">
      <c r="A9617" s="1">
        <v>41954</v>
      </c>
      <c r="B9617" t="s">
        <v>371</v>
      </c>
      <c r="C9617" t="s">
        <v>13</v>
      </c>
      <c r="D9617" t="s">
        <v>849</v>
      </c>
      <c r="E9617">
        <v>2033.5840000000001</v>
      </c>
      <c r="F9617">
        <v>2</v>
      </c>
      <c r="G9617">
        <v>0.2</v>
      </c>
      <c r="H9617">
        <v>762.59400000000005</v>
      </c>
      <c r="U9617">
        <v>762.59400000000005</v>
      </c>
    </row>
    <row r="9618" spans="1:21" x14ac:dyDescent="0.35">
      <c r="A9618" t="s">
        <v>1006</v>
      </c>
      <c r="B9618" t="s">
        <v>1634</v>
      </c>
      <c r="C9618" t="s">
        <v>13</v>
      </c>
      <c r="D9618" t="s">
        <v>1412</v>
      </c>
      <c r="E9618">
        <v>5.76</v>
      </c>
      <c r="F9618">
        <v>2</v>
      </c>
      <c r="G9618">
        <v>0</v>
      </c>
      <c r="H9618">
        <v>1.6704000000000001</v>
      </c>
      <c r="U9618">
        <v>1.6704000000000001</v>
      </c>
    </row>
    <row r="9619" spans="1:21" x14ac:dyDescent="0.35">
      <c r="A9619" t="s">
        <v>171</v>
      </c>
      <c r="B9619" t="s">
        <v>1762</v>
      </c>
      <c r="C9619" t="s">
        <v>55</v>
      </c>
      <c r="D9619" t="s">
        <v>1095</v>
      </c>
      <c r="E9619">
        <v>899.98199999999997</v>
      </c>
      <c r="F9619">
        <v>3</v>
      </c>
      <c r="G9619">
        <v>0.4</v>
      </c>
      <c r="H9619">
        <v>74.998500000000007</v>
      </c>
      <c r="U9619">
        <v>74.998500000000007</v>
      </c>
    </row>
    <row r="9620" spans="1:21" x14ac:dyDescent="0.35">
      <c r="A9620" t="s">
        <v>171</v>
      </c>
      <c r="B9620" t="s">
        <v>1762</v>
      </c>
      <c r="C9620" t="s">
        <v>55</v>
      </c>
      <c r="D9620" t="s">
        <v>1527</v>
      </c>
      <c r="E9620">
        <v>86.352000000000004</v>
      </c>
      <c r="F9620">
        <v>3</v>
      </c>
      <c r="G9620">
        <v>0.2</v>
      </c>
      <c r="H9620">
        <v>5.3970000000000002</v>
      </c>
      <c r="U9620">
        <v>5.3970000000000002</v>
      </c>
    </row>
    <row r="9621" spans="1:21" x14ac:dyDescent="0.35">
      <c r="A9621" t="s">
        <v>171</v>
      </c>
      <c r="B9621" t="s">
        <v>1762</v>
      </c>
      <c r="C9621" t="s">
        <v>55</v>
      </c>
      <c r="D9621" t="s">
        <v>657</v>
      </c>
      <c r="E9621">
        <v>139.96</v>
      </c>
      <c r="F9621">
        <v>5</v>
      </c>
      <c r="G9621">
        <v>0.2</v>
      </c>
      <c r="H9621">
        <v>-1.7495000000000001</v>
      </c>
      <c r="U9621">
        <v>-1.7495000000000001</v>
      </c>
    </row>
    <row r="9622" spans="1:21" x14ac:dyDescent="0.35">
      <c r="A9622" t="s">
        <v>1134</v>
      </c>
      <c r="B9622" t="s">
        <v>1809</v>
      </c>
      <c r="C9622" t="s">
        <v>55</v>
      </c>
      <c r="D9622" t="s">
        <v>2681</v>
      </c>
      <c r="E9622">
        <v>16.704000000000001</v>
      </c>
      <c r="F9622">
        <v>6</v>
      </c>
      <c r="G9622">
        <v>0.2</v>
      </c>
      <c r="H9622">
        <v>1.2527999999999999</v>
      </c>
      <c r="U9622">
        <v>1.2527999999999999</v>
      </c>
    </row>
    <row r="9623" spans="1:21" x14ac:dyDescent="0.35">
      <c r="A9623" t="s">
        <v>1134</v>
      </c>
      <c r="B9623" t="s">
        <v>1809</v>
      </c>
      <c r="C9623" t="s">
        <v>55</v>
      </c>
      <c r="D9623" t="s">
        <v>2717</v>
      </c>
      <c r="E9623">
        <v>3.1520000000000001</v>
      </c>
      <c r="F9623">
        <v>2</v>
      </c>
      <c r="G9623">
        <v>0.2</v>
      </c>
      <c r="H9623">
        <v>0.4728</v>
      </c>
      <c r="U9623">
        <v>0.4728</v>
      </c>
    </row>
    <row r="9624" spans="1:21" x14ac:dyDescent="0.35">
      <c r="A9624" t="s">
        <v>1134</v>
      </c>
      <c r="B9624" t="s">
        <v>1809</v>
      </c>
      <c r="C9624" t="s">
        <v>55</v>
      </c>
      <c r="D9624" t="s">
        <v>2374</v>
      </c>
      <c r="E9624">
        <v>32.896000000000001</v>
      </c>
      <c r="F9624">
        <v>4</v>
      </c>
      <c r="G9624">
        <v>0.2</v>
      </c>
      <c r="H9624">
        <v>11.102399999999999</v>
      </c>
      <c r="U9624">
        <v>11.102399999999999</v>
      </c>
    </row>
    <row r="9625" spans="1:21" x14ac:dyDescent="0.35">
      <c r="A9625" t="s">
        <v>383</v>
      </c>
      <c r="B9625" t="s">
        <v>985</v>
      </c>
      <c r="C9625" t="s">
        <v>35</v>
      </c>
      <c r="D9625" t="s">
        <v>1156</v>
      </c>
      <c r="E9625">
        <v>21.391999999999999</v>
      </c>
      <c r="F9625">
        <v>2</v>
      </c>
      <c r="G9625">
        <v>0.8</v>
      </c>
      <c r="H9625">
        <v>-54.549599999999998</v>
      </c>
      <c r="U9625">
        <v>-54.549599999999998</v>
      </c>
    </row>
    <row r="9626" spans="1:21" x14ac:dyDescent="0.35">
      <c r="A9626" t="s">
        <v>383</v>
      </c>
      <c r="B9626" t="s">
        <v>985</v>
      </c>
      <c r="C9626" t="s">
        <v>35</v>
      </c>
      <c r="D9626" t="s">
        <v>1930</v>
      </c>
      <c r="E9626">
        <v>307.31400000000002</v>
      </c>
      <c r="F9626">
        <v>3</v>
      </c>
      <c r="G9626">
        <v>0.3</v>
      </c>
      <c r="H9626">
        <v>-39.511800000000001</v>
      </c>
      <c r="U9626">
        <v>-39.511800000000001</v>
      </c>
    </row>
    <row r="9627" spans="1:21" x14ac:dyDescent="0.35">
      <c r="A9627" t="s">
        <v>383</v>
      </c>
      <c r="B9627" t="s">
        <v>985</v>
      </c>
      <c r="C9627" t="s">
        <v>35</v>
      </c>
      <c r="D9627" t="s">
        <v>2104</v>
      </c>
      <c r="E9627">
        <v>409.99919999999997</v>
      </c>
      <c r="F9627">
        <v>3</v>
      </c>
      <c r="G9627">
        <v>0.32</v>
      </c>
      <c r="H9627">
        <v>-96.470399999999998</v>
      </c>
      <c r="U9627">
        <v>-96.470399999999998</v>
      </c>
    </row>
    <row r="9628" spans="1:21" x14ac:dyDescent="0.35">
      <c r="A9628" t="s">
        <v>94</v>
      </c>
      <c r="B9628" t="s">
        <v>788</v>
      </c>
      <c r="C9628" t="s">
        <v>35</v>
      </c>
      <c r="D9628" t="s">
        <v>2705</v>
      </c>
      <c r="E9628">
        <v>9.2479999999999993</v>
      </c>
      <c r="F9628">
        <v>2</v>
      </c>
      <c r="G9628">
        <v>0.2</v>
      </c>
      <c r="H9628">
        <v>3.3523999999999998</v>
      </c>
      <c r="U9628">
        <v>3.3523999999999998</v>
      </c>
    </row>
    <row r="9629" spans="1:21" x14ac:dyDescent="0.35">
      <c r="A9629" t="s">
        <v>1721</v>
      </c>
      <c r="B9629" t="s">
        <v>2027</v>
      </c>
      <c r="C9629" t="s">
        <v>35</v>
      </c>
      <c r="D9629" t="s">
        <v>1329</v>
      </c>
      <c r="E9629">
        <v>14.67</v>
      </c>
      <c r="F9629">
        <v>3</v>
      </c>
      <c r="G9629">
        <v>0</v>
      </c>
      <c r="H9629">
        <v>6.7481999999999998</v>
      </c>
      <c r="U9629">
        <v>6.7481999999999998</v>
      </c>
    </row>
    <row r="9630" spans="1:21" x14ac:dyDescent="0.35">
      <c r="A9630" t="s">
        <v>937</v>
      </c>
      <c r="B9630" t="s">
        <v>1633</v>
      </c>
      <c r="C9630" t="s">
        <v>55</v>
      </c>
      <c r="D9630" t="s">
        <v>1249</v>
      </c>
      <c r="E9630">
        <v>37.408000000000001</v>
      </c>
      <c r="F9630">
        <v>7</v>
      </c>
      <c r="G9630">
        <v>0.2</v>
      </c>
      <c r="H9630">
        <v>13.0928</v>
      </c>
      <c r="U9630">
        <v>13.0928</v>
      </c>
    </row>
    <row r="9631" spans="1:21" x14ac:dyDescent="0.35">
      <c r="A9631" t="s">
        <v>937</v>
      </c>
      <c r="B9631" t="s">
        <v>1633</v>
      </c>
      <c r="C9631" t="s">
        <v>55</v>
      </c>
      <c r="D9631" t="s">
        <v>2391</v>
      </c>
      <c r="E9631">
        <v>3.4380000000000002</v>
      </c>
      <c r="F9631">
        <v>2</v>
      </c>
      <c r="G9631">
        <v>0.7</v>
      </c>
      <c r="H9631">
        <v>-2.5211999999999999</v>
      </c>
      <c r="U9631">
        <v>-2.5211999999999999</v>
      </c>
    </row>
    <row r="9632" spans="1:21" x14ac:dyDescent="0.35">
      <c r="A9632" t="s">
        <v>1299</v>
      </c>
      <c r="B9632" t="s">
        <v>1414</v>
      </c>
      <c r="C9632" t="s">
        <v>55</v>
      </c>
      <c r="D9632" t="s">
        <v>207</v>
      </c>
      <c r="E9632">
        <v>7.1520000000000001</v>
      </c>
      <c r="F9632">
        <v>3</v>
      </c>
      <c r="G9632">
        <v>0.2</v>
      </c>
      <c r="H9632">
        <v>2.3243999999999998</v>
      </c>
      <c r="U9632">
        <v>2.3243999999999998</v>
      </c>
    </row>
    <row r="9633" spans="1:21" x14ac:dyDescent="0.35">
      <c r="A9633" t="s">
        <v>1299</v>
      </c>
      <c r="B9633" t="s">
        <v>1414</v>
      </c>
      <c r="C9633" t="s">
        <v>55</v>
      </c>
      <c r="D9633" t="s">
        <v>2470</v>
      </c>
      <c r="E9633">
        <v>179.7</v>
      </c>
      <c r="F9633">
        <v>6</v>
      </c>
      <c r="G9633">
        <v>0</v>
      </c>
      <c r="H9633">
        <v>88.052999999999997</v>
      </c>
      <c r="U9633">
        <v>88.052999999999997</v>
      </c>
    </row>
    <row r="9634" spans="1:21" x14ac:dyDescent="0.35">
      <c r="A9634" t="s">
        <v>2088</v>
      </c>
      <c r="B9634" t="s">
        <v>2383</v>
      </c>
      <c r="C9634" t="s">
        <v>35</v>
      </c>
      <c r="D9634" t="s">
        <v>1917</v>
      </c>
      <c r="E9634">
        <v>90.64</v>
      </c>
      <c r="F9634">
        <v>8</v>
      </c>
      <c r="G9634">
        <v>0</v>
      </c>
      <c r="H9634">
        <v>38.975200000000001</v>
      </c>
      <c r="U9634">
        <v>38.975200000000001</v>
      </c>
    </row>
    <row r="9635" spans="1:21" x14ac:dyDescent="0.35">
      <c r="A9635" t="s">
        <v>2566</v>
      </c>
      <c r="B9635" t="s">
        <v>2198</v>
      </c>
      <c r="C9635" t="s">
        <v>55</v>
      </c>
      <c r="D9635" t="s">
        <v>1670</v>
      </c>
      <c r="E9635">
        <v>177</v>
      </c>
      <c r="F9635">
        <v>3</v>
      </c>
      <c r="G9635">
        <v>0</v>
      </c>
      <c r="H9635">
        <v>30.09</v>
      </c>
      <c r="U9635">
        <v>30.09</v>
      </c>
    </row>
    <row r="9636" spans="1:21" x14ac:dyDescent="0.35">
      <c r="A9636" t="s">
        <v>2566</v>
      </c>
      <c r="B9636" t="s">
        <v>2198</v>
      </c>
      <c r="C9636" t="s">
        <v>55</v>
      </c>
      <c r="D9636" t="s">
        <v>159</v>
      </c>
      <c r="E9636">
        <v>79.45</v>
      </c>
      <c r="F9636">
        <v>7</v>
      </c>
      <c r="G9636">
        <v>0</v>
      </c>
      <c r="H9636">
        <v>22.245999999999999</v>
      </c>
      <c r="U9636">
        <v>22.245999999999999</v>
      </c>
    </row>
    <row r="9637" spans="1:21" x14ac:dyDescent="0.35">
      <c r="A9637" t="s">
        <v>2566</v>
      </c>
      <c r="B9637" t="s">
        <v>2198</v>
      </c>
      <c r="C9637" t="s">
        <v>55</v>
      </c>
      <c r="D9637" t="s">
        <v>2542</v>
      </c>
      <c r="E9637">
        <v>1628.82</v>
      </c>
      <c r="F9637">
        <v>9</v>
      </c>
      <c r="G9637">
        <v>0</v>
      </c>
      <c r="H9637">
        <v>260.6112</v>
      </c>
      <c r="U9637">
        <v>260.6112</v>
      </c>
    </row>
    <row r="9638" spans="1:21" x14ac:dyDescent="0.35">
      <c r="A9638" t="s">
        <v>38</v>
      </c>
      <c r="B9638" t="s">
        <v>788</v>
      </c>
      <c r="C9638" t="s">
        <v>13</v>
      </c>
      <c r="D9638" t="s">
        <v>1031</v>
      </c>
      <c r="E9638">
        <v>137.54</v>
      </c>
      <c r="F9638">
        <v>2</v>
      </c>
      <c r="G9638">
        <v>0</v>
      </c>
      <c r="H9638">
        <v>55.015999999999998</v>
      </c>
      <c r="U9638">
        <v>55.015999999999998</v>
      </c>
    </row>
    <row r="9639" spans="1:21" x14ac:dyDescent="0.35">
      <c r="A9639" t="s">
        <v>38</v>
      </c>
      <c r="B9639" t="s">
        <v>788</v>
      </c>
      <c r="C9639" t="s">
        <v>13</v>
      </c>
      <c r="D9639" t="s">
        <v>1599</v>
      </c>
      <c r="E9639">
        <v>730.2</v>
      </c>
      <c r="F9639">
        <v>4</v>
      </c>
      <c r="G9639">
        <v>0</v>
      </c>
      <c r="H9639">
        <v>94.926000000000002</v>
      </c>
      <c r="U9639">
        <v>94.926000000000002</v>
      </c>
    </row>
    <row r="9640" spans="1:21" x14ac:dyDescent="0.35">
      <c r="A9640" s="1">
        <v>43080</v>
      </c>
      <c r="B9640" t="s">
        <v>878</v>
      </c>
      <c r="C9640" t="s">
        <v>13</v>
      </c>
      <c r="D9640" t="s">
        <v>2705</v>
      </c>
      <c r="E9640">
        <v>11.56</v>
      </c>
      <c r="F9640">
        <v>2</v>
      </c>
      <c r="G9640">
        <v>0</v>
      </c>
      <c r="H9640">
        <v>5.6643999999999997</v>
      </c>
      <c r="U9640">
        <v>5.6643999999999997</v>
      </c>
    </row>
    <row r="9641" spans="1:21" x14ac:dyDescent="0.35">
      <c r="A9641" t="s">
        <v>2704</v>
      </c>
      <c r="B9641" t="s">
        <v>397</v>
      </c>
      <c r="C9641" t="s">
        <v>8</v>
      </c>
      <c r="D9641" t="s">
        <v>1067</v>
      </c>
      <c r="E9641">
        <v>4297.6440000000002</v>
      </c>
      <c r="F9641">
        <v>13</v>
      </c>
      <c r="G9641">
        <v>0.4</v>
      </c>
      <c r="H9641">
        <v>-1862.3124</v>
      </c>
      <c r="U9641">
        <v>-1862.3124</v>
      </c>
    </row>
    <row r="9642" spans="1:21" x14ac:dyDescent="0.35">
      <c r="A9642" s="1">
        <v>41823</v>
      </c>
      <c r="B9642" t="s">
        <v>2694</v>
      </c>
      <c r="C9642" t="s">
        <v>13</v>
      </c>
      <c r="D9642" t="s">
        <v>221</v>
      </c>
      <c r="E9642">
        <v>20.65</v>
      </c>
      <c r="F9642">
        <v>5</v>
      </c>
      <c r="G9642">
        <v>0</v>
      </c>
      <c r="H9642">
        <v>9.4990000000000006</v>
      </c>
      <c r="U9642">
        <v>9.4990000000000006</v>
      </c>
    </row>
    <row r="9643" spans="1:21" x14ac:dyDescent="0.35">
      <c r="A9643" s="1">
        <v>41823</v>
      </c>
      <c r="B9643" t="s">
        <v>2694</v>
      </c>
      <c r="C9643" t="s">
        <v>13</v>
      </c>
      <c r="D9643" t="s">
        <v>681</v>
      </c>
      <c r="E9643">
        <v>204.9</v>
      </c>
      <c r="F9643">
        <v>5</v>
      </c>
      <c r="G9643">
        <v>0</v>
      </c>
      <c r="H9643">
        <v>0</v>
      </c>
      <c r="U9643">
        <v>0</v>
      </c>
    </row>
    <row r="9644" spans="1:21" x14ac:dyDescent="0.35">
      <c r="A9644" s="1">
        <v>41823</v>
      </c>
      <c r="B9644" t="s">
        <v>2694</v>
      </c>
      <c r="C9644" t="s">
        <v>13</v>
      </c>
      <c r="D9644" t="s">
        <v>2739</v>
      </c>
      <c r="E9644">
        <v>436.70400000000001</v>
      </c>
      <c r="F9644">
        <v>6</v>
      </c>
      <c r="G9644">
        <v>0.2</v>
      </c>
      <c r="H9644">
        <v>21.8352</v>
      </c>
      <c r="U9644">
        <v>21.8352</v>
      </c>
    </row>
    <row r="9645" spans="1:21" x14ac:dyDescent="0.35">
      <c r="A9645" s="1">
        <v>41823</v>
      </c>
      <c r="B9645" t="s">
        <v>2694</v>
      </c>
      <c r="C9645" t="s">
        <v>13</v>
      </c>
      <c r="D9645" t="s">
        <v>2316</v>
      </c>
      <c r="E9645">
        <v>481.56799999999998</v>
      </c>
      <c r="F9645">
        <v>2</v>
      </c>
      <c r="G9645">
        <v>0.2</v>
      </c>
      <c r="H9645">
        <v>54.176400000000001</v>
      </c>
      <c r="U9645">
        <v>54.176400000000001</v>
      </c>
    </row>
    <row r="9646" spans="1:21" x14ac:dyDescent="0.35">
      <c r="A9646" s="1">
        <v>42953</v>
      </c>
      <c r="B9646" t="s">
        <v>1388</v>
      </c>
      <c r="C9646" t="s">
        <v>13</v>
      </c>
      <c r="D9646" t="s">
        <v>1791</v>
      </c>
      <c r="E9646">
        <v>89.543999999999997</v>
      </c>
      <c r="F9646">
        <v>7</v>
      </c>
      <c r="G9646">
        <v>0.2</v>
      </c>
      <c r="H9646">
        <v>12.3123</v>
      </c>
      <c r="U9646">
        <v>12.3123</v>
      </c>
    </row>
    <row r="9647" spans="1:21" x14ac:dyDescent="0.35">
      <c r="A9647" s="1">
        <v>42953</v>
      </c>
      <c r="B9647" t="s">
        <v>1388</v>
      </c>
      <c r="C9647" t="s">
        <v>13</v>
      </c>
      <c r="D9647" t="s">
        <v>423</v>
      </c>
      <c r="E9647">
        <v>35.167999999999999</v>
      </c>
      <c r="F9647">
        <v>2</v>
      </c>
      <c r="G9647">
        <v>0.2</v>
      </c>
      <c r="H9647">
        <v>-8.3523999999999994</v>
      </c>
      <c r="U9647">
        <v>-8.3523999999999994</v>
      </c>
    </row>
    <row r="9648" spans="1:21" x14ac:dyDescent="0.35">
      <c r="A9648" s="1">
        <v>42953</v>
      </c>
      <c r="B9648" t="s">
        <v>1388</v>
      </c>
      <c r="C9648" t="s">
        <v>13</v>
      </c>
      <c r="D9648" t="s">
        <v>514</v>
      </c>
      <c r="E9648">
        <v>72.587999999999994</v>
      </c>
      <c r="F9648">
        <v>2</v>
      </c>
      <c r="G9648">
        <v>0.7</v>
      </c>
      <c r="H9648">
        <v>-48.392000000000003</v>
      </c>
      <c r="U9648">
        <v>-48.392000000000003</v>
      </c>
    </row>
    <row r="9649" spans="1:21" x14ac:dyDescent="0.35">
      <c r="A9649" t="s">
        <v>349</v>
      </c>
      <c r="B9649" t="s">
        <v>2046</v>
      </c>
      <c r="C9649" t="s">
        <v>35</v>
      </c>
      <c r="D9649" t="s">
        <v>1822</v>
      </c>
      <c r="E9649">
        <v>221.16</v>
      </c>
      <c r="F9649">
        <v>4</v>
      </c>
      <c r="G9649">
        <v>0</v>
      </c>
      <c r="H9649">
        <v>57.501600000000003</v>
      </c>
      <c r="U9649">
        <v>57.501600000000003</v>
      </c>
    </row>
    <row r="9650" spans="1:21" x14ac:dyDescent="0.35">
      <c r="A9650" t="s">
        <v>349</v>
      </c>
      <c r="B9650" t="s">
        <v>2046</v>
      </c>
      <c r="C9650" t="s">
        <v>35</v>
      </c>
      <c r="D9650" t="s">
        <v>977</v>
      </c>
      <c r="E9650">
        <v>281.97000000000003</v>
      </c>
      <c r="F9650">
        <v>3</v>
      </c>
      <c r="G9650">
        <v>0</v>
      </c>
      <c r="H9650">
        <v>78.951599999999999</v>
      </c>
      <c r="U9650">
        <v>78.951599999999999</v>
      </c>
    </row>
    <row r="9651" spans="1:21" x14ac:dyDescent="0.35">
      <c r="A9651" t="s">
        <v>1536</v>
      </c>
      <c r="B9651" t="s">
        <v>1242</v>
      </c>
      <c r="C9651" t="s">
        <v>13</v>
      </c>
      <c r="D9651" t="s">
        <v>1981</v>
      </c>
      <c r="E9651">
        <v>3406.6640000000002</v>
      </c>
      <c r="F9651">
        <v>8</v>
      </c>
      <c r="G9651">
        <v>0.15</v>
      </c>
      <c r="H9651">
        <v>160.31360000000001</v>
      </c>
      <c r="U9651">
        <v>160.31360000000001</v>
      </c>
    </row>
    <row r="9652" spans="1:21" x14ac:dyDescent="0.35">
      <c r="A9652" t="s">
        <v>1536</v>
      </c>
      <c r="B9652" t="s">
        <v>1242</v>
      </c>
      <c r="C9652" t="s">
        <v>13</v>
      </c>
      <c r="D9652" t="s">
        <v>2407</v>
      </c>
      <c r="E9652">
        <v>37.17</v>
      </c>
      <c r="F9652">
        <v>9</v>
      </c>
      <c r="G9652">
        <v>0</v>
      </c>
      <c r="H9652">
        <v>10.4076</v>
      </c>
      <c r="U9652">
        <v>10.4076</v>
      </c>
    </row>
    <row r="9653" spans="1:21" x14ac:dyDescent="0.35">
      <c r="A9653" t="s">
        <v>1536</v>
      </c>
      <c r="B9653" t="s">
        <v>1242</v>
      </c>
      <c r="C9653" t="s">
        <v>13</v>
      </c>
      <c r="D9653" t="s">
        <v>1367</v>
      </c>
      <c r="E9653">
        <v>64.959999999999994</v>
      </c>
      <c r="F9653">
        <v>2</v>
      </c>
      <c r="G9653">
        <v>0</v>
      </c>
      <c r="H9653">
        <v>19.488</v>
      </c>
      <c r="U9653">
        <v>19.488</v>
      </c>
    </row>
    <row r="9654" spans="1:21" x14ac:dyDescent="0.35">
      <c r="A9654" t="s">
        <v>1536</v>
      </c>
      <c r="B9654" t="s">
        <v>1242</v>
      </c>
      <c r="C9654" t="s">
        <v>13</v>
      </c>
      <c r="D9654" t="s">
        <v>1751</v>
      </c>
      <c r="E9654">
        <v>595.38</v>
      </c>
      <c r="F9654">
        <v>6</v>
      </c>
      <c r="G9654">
        <v>0</v>
      </c>
      <c r="H9654">
        <v>297.69</v>
      </c>
      <c r="U9654">
        <v>297.69</v>
      </c>
    </row>
    <row r="9655" spans="1:21" x14ac:dyDescent="0.35">
      <c r="A9655" t="s">
        <v>743</v>
      </c>
      <c r="B9655" t="s">
        <v>34</v>
      </c>
      <c r="C9655" t="s">
        <v>13</v>
      </c>
      <c r="D9655" t="s">
        <v>2426</v>
      </c>
      <c r="E9655">
        <v>95.983999999999995</v>
      </c>
      <c r="F9655">
        <v>2</v>
      </c>
      <c r="G9655">
        <v>0.2</v>
      </c>
      <c r="H9655">
        <v>11.997999999999999</v>
      </c>
      <c r="U9655">
        <v>11.997999999999999</v>
      </c>
    </row>
    <row r="9656" spans="1:21" x14ac:dyDescent="0.35">
      <c r="A9656" t="s">
        <v>743</v>
      </c>
      <c r="B9656" t="s">
        <v>34</v>
      </c>
      <c r="C9656" t="s">
        <v>13</v>
      </c>
      <c r="D9656" t="s">
        <v>2002</v>
      </c>
      <c r="E9656">
        <v>4.9379999999999997</v>
      </c>
      <c r="F9656">
        <v>2</v>
      </c>
      <c r="G9656">
        <v>0.7</v>
      </c>
      <c r="H9656">
        <v>-3.6212</v>
      </c>
      <c r="U9656">
        <v>-3.6212</v>
      </c>
    </row>
    <row r="9657" spans="1:21" x14ac:dyDescent="0.35">
      <c r="A9657" t="s">
        <v>1293</v>
      </c>
      <c r="B9657" t="s">
        <v>1884</v>
      </c>
      <c r="C9657" t="s">
        <v>55</v>
      </c>
      <c r="D9657" t="s">
        <v>2211</v>
      </c>
      <c r="E9657">
        <v>97.44</v>
      </c>
      <c r="F9657">
        <v>3</v>
      </c>
      <c r="G9657">
        <v>0</v>
      </c>
      <c r="H9657">
        <v>35.078400000000002</v>
      </c>
      <c r="U9657">
        <v>35.078400000000002</v>
      </c>
    </row>
    <row r="9658" spans="1:21" x14ac:dyDescent="0.35">
      <c r="A9658" t="s">
        <v>1293</v>
      </c>
      <c r="B9658" t="s">
        <v>1884</v>
      </c>
      <c r="C9658" t="s">
        <v>55</v>
      </c>
      <c r="D9658" t="s">
        <v>1060</v>
      </c>
      <c r="E9658">
        <v>3.984</v>
      </c>
      <c r="F9658">
        <v>1</v>
      </c>
      <c r="G9658">
        <v>0.2</v>
      </c>
      <c r="H9658">
        <v>1.3944000000000001</v>
      </c>
      <c r="U9658">
        <v>1.3944000000000001</v>
      </c>
    </row>
    <row r="9659" spans="1:21" x14ac:dyDescent="0.35">
      <c r="A9659" t="s">
        <v>1293</v>
      </c>
      <c r="B9659" t="s">
        <v>1884</v>
      </c>
      <c r="C9659" t="s">
        <v>55</v>
      </c>
      <c r="D9659" t="s">
        <v>2591</v>
      </c>
      <c r="E9659">
        <v>13.04</v>
      </c>
      <c r="F9659">
        <v>4</v>
      </c>
      <c r="G9659">
        <v>0</v>
      </c>
      <c r="H9659">
        <v>5.7375999999999996</v>
      </c>
      <c r="U9659">
        <v>5.7375999999999996</v>
      </c>
    </row>
    <row r="9660" spans="1:21" x14ac:dyDescent="0.35">
      <c r="A9660" t="s">
        <v>1293</v>
      </c>
      <c r="B9660" t="s">
        <v>1884</v>
      </c>
      <c r="C9660" t="s">
        <v>55</v>
      </c>
      <c r="D9660" t="s">
        <v>2424</v>
      </c>
      <c r="E9660">
        <v>579.52800000000002</v>
      </c>
      <c r="F9660">
        <v>4</v>
      </c>
      <c r="G9660">
        <v>0.1</v>
      </c>
      <c r="H9660">
        <v>83.709599999999995</v>
      </c>
      <c r="U9660">
        <v>83.709599999999995</v>
      </c>
    </row>
    <row r="9661" spans="1:21" x14ac:dyDescent="0.35">
      <c r="A9661" t="s">
        <v>1817</v>
      </c>
      <c r="B9661" t="s">
        <v>1664</v>
      </c>
      <c r="C9661" t="s">
        <v>13</v>
      </c>
      <c r="D9661" t="s">
        <v>2393</v>
      </c>
      <c r="E9661">
        <v>18.75</v>
      </c>
      <c r="F9661">
        <v>5</v>
      </c>
      <c r="G9661">
        <v>0</v>
      </c>
      <c r="H9661">
        <v>9</v>
      </c>
      <c r="U9661">
        <v>9</v>
      </c>
    </row>
    <row r="9662" spans="1:21" x14ac:dyDescent="0.35">
      <c r="A9662" s="1">
        <v>42527</v>
      </c>
      <c r="B9662" t="s">
        <v>1643</v>
      </c>
      <c r="C9662" t="s">
        <v>13</v>
      </c>
      <c r="D9662" t="s">
        <v>2270</v>
      </c>
      <c r="E9662">
        <v>3023.9279999999999</v>
      </c>
      <c r="F9662">
        <v>9</v>
      </c>
      <c r="G9662">
        <v>0.2</v>
      </c>
      <c r="H9662">
        <v>226.7946</v>
      </c>
      <c r="U9662">
        <v>226.7946</v>
      </c>
    </row>
    <row r="9663" spans="1:21" x14ac:dyDescent="0.35">
      <c r="A9663" s="1">
        <v>42527</v>
      </c>
      <c r="B9663" t="s">
        <v>1643</v>
      </c>
      <c r="C9663" t="s">
        <v>13</v>
      </c>
      <c r="D9663" t="s">
        <v>2400</v>
      </c>
      <c r="E9663">
        <v>26.96</v>
      </c>
      <c r="F9663">
        <v>2</v>
      </c>
      <c r="G9663">
        <v>0</v>
      </c>
      <c r="H9663">
        <v>3.7744</v>
      </c>
      <c r="U9663">
        <v>3.7744</v>
      </c>
    </row>
    <row r="9664" spans="1:21" x14ac:dyDescent="0.35">
      <c r="A9664" s="1">
        <v>42527</v>
      </c>
      <c r="B9664" t="s">
        <v>1643</v>
      </c>
      <c r="C9664" t="s">
        <v>13</v>
      </c>
      <c r="D9664" t="s">
        <v>507</v>
      </c>
      <c r="E9664">
        <v>477.6</v>
      </c>
      <c r="F9664">
        <v>3</v>
      </c>
      <c r="G9664">
        <v>0.2</v>
      </c>
      <c r="H9664">
        <v>161.19</v>
      </c>
      <c r="U9664">
        <v>161.19</v>
      </c>
    </row>
    <row r="9665" spans="1:21" x14ac:dyDescent="0.35">
      <c r="A9665" t="s">
        <v>1698</v>
      </c>
      <c r="B9665" t="s">
        <v>1672</v>
      </c>
      <c r="C9665" t="s">
        <v>13</v>
      </c>
      <c r="D9665" t="s">
        <v>1014</v>
      </c>
      <c r="E9665">
        <v>193.95</v>
      </c>
      <c r="F9665">
        <v>3</v>
      </c>
      <c r="G9665">
        <v>0</v>
      </c>
      <c r="H9665">
        <v>9.6974999999999998</v>
      </c>
      <c r="U9665">
        <v>9.6974999999999998</v>
      </c>
    </row>
    <row r="9666" spans="1:21" x14ac:dyDescent="0.35">
      <c r="A9666" s="1">
        <v>42197</v>
      </c>
      <c r="B9666" t="s">
        <v>486</v>
      </c>
      <c r="C9666" t="s">
        <v>13</v>
      </c>
      <c r="D9666" t="s">
        <v>1147</v>
      </c>
      <c r="E9666">
        <v>12.96</v>
      </c>
      <c r="F9666">
        <v>2</v>
      </c>
      <c r="G9666">
        <v>0</v>
      </c>
      <c r="H9666">
        <v>6.2207999999999997</v>
      </c>
      <c r="U9666">
        <v>6.2207999999999997</v>
      </c>
    </row>
    <row r="9667" spans="1:21" x14ac:dyDescent="0.35">
      <c r="A9667" t="s">
        <v>171</v>
      </c>
      <c r="B9667" t="s">
        <v>265</v>
      </c>
      <c r="C9667" t="s">
        <v>13</v>
      </c>
      <c r="D9667" t="s">
        <v>1494</v>
      </c>
      <c r="E9667">
        <v>119.94</v>
      </c>
      <c r="F9667">
        <v>3</v>
      </c>
      <c r="G9667">
        <v>0</v>
      </c>
      <c r="H9667">
        <v>23.988</v>
      </c>
      <c r="U9667">
        <v>23.988</v>
      </c>
    </row>
    <row r="9668" spans="1:21" x14ac:dyDescent="0.35">
      <c r="A9668" t="s">
        <v>171</v>
      </c>
      <c r="B9668" t="s">
        <v>265</v>
      </c>
      <c r="C9668" t="s">
        <v>13</v>
      </c>
      <c r="D9668" t="s">
        <v>2165</v>
      </c>
      <c r="E9668">
        <v>12.42</v>
      </c>
      <c r="F9668">
        <v>3</v>
      </c>
      <c r="G9668">
        <v>0</v>
      </c>
      <c r="H9668">
        <v>4.4711999999999996</v>
      </c>
      <c r="U9668">
        <v>4.4711999999999996</v>
      </c>
    </row>
    <row r="9669" spans="1:21" x14ac:dyDescent="0.35">
      <c r="A9669" t="s">
        <v>565</v>
      </c>
      <c r="B9669" t="s">
        <v>1995</v>
      </c>
      <c r="C9669" t="s">
        <v>13</v>
      </c>
      <c r="D9669" t="s">
        <v>930</v>
      </c>
      <c r="E9669">
        <v>18.088000000000001</v>
      </c>
      <c r="F9669">
        <v>7</v>
      </c>
      <c r="G9669">
        <v>0.2</v>
      </c>
      <c r="H9669">
        <v>6.5568999999999997</v>
      </c>
      <c r="U9669">
        <v>6.5568999999999997</v>
      </c>
    </row>
    <row r="9670" spans="1:21" x14ac:dyDescent="0.35">
      <c r="A9670" t="s">
        <v>565</v>
      </c>
      <c r="B9670" t="s">
        <v>1995</v>
      </c>
      <c r="C9670" t="s">
        <v>13</v>
      </c>
      <c r="D9670" t="s">
        <v>484</v>
      </c>
      <c r="E9670">
        <v>71.97</v>
      </c>
      <c r="F9670">
        <v>3</v>
      </c>
      <c r="G9670">
        <v>0</v>
      </c>
      <c r="H9670">
        <v>35.984999999999999</v>
      </c>
      <c r="U9670">
        <v>35.984999999999999</v>
      </c>
    </row>
    <row r="9671" spans="1:21" x14ac:dyDescent="0.35">
      <c r="A9671" s="1">
        <v>42770</v>
      </c>
      <c r="B9671" t="s">
        <v>2481</v>
      </c>
      <c r="C9671" t="s">
        <v>8</v>
      </c>
      <c r="D9671" t="s">
        <v>1135</v>
      </c>
      <c r="E9671">
        <v>14.94</v>
      </c>
      <c r="F9671">
        <v>3</v>
      </c>
      <c r="G9671">
        <v>0</v>
      </c>
      <c r="H9671">
        <v>6.8723999999999998</v>
      </c>
      <c r="U9671">
        <v>6.8723999999999998</v>
      </c>
    </row>
    <row r="9672" spans="1:21" x14ac:dyDescent="0.35">
      <c r="A9672" t="s">
        <v>2361</v>
      </c>
      <c r="B9672" t="s">
        <v>566</v>
      </c>
      <c r="C9672" t="s">
        <v>8</v>
      </c>
      <c r="D9672" t="s">
        <v>1885</v>
      </c>
      <c r="E9672">
        <v>64.680000000000007</v>
      </c>
      <c r="F9672">
        <v>7</v>
      </c>
      <c r="G9672">
        <v>0.2</v>
      </c>
      <c r="H9672">
        <v>8.0850000000000009</v>
      </c>
      <c r="U9672">
        <v>8.0850000000000009</v>
      </c>
    </row>
    <row r="9673" spans="1:21" x14ac:dyDescent="0.35">
      <c r="A9673" t="s">
        <v>170</v>
      </c>
      <c r="B9673" t="s">
        <v>438</v>
      </c>
      <c r="C9673" t="s">
        <v>13</v>
      </c>
      <c r="D9673" t="s">
        <v>1498</v>
      </c>
      <c r="E9673">
        <v>22</v>
      </c>
      <c r="F9673">
        <v>5</v>
      </c>
      <c r="G9673">
        <v>0.2</v>
      </c>
      <c r="H9673">
        <v>1.375</v>
      </c>
      <c r="U9673">
        <v>1.375</v>
      </c>
    </row>
    <row r="9674" spans="1:21" x14ac:dyDescent="0.35">
      <c r="A9674" t="s">
        <v>1544</v>
      </c>
      <c r="B9674" t="s">
        <v>360</v>
      </c>
      <c r="C9674" t="s">
        <v>55</v>
      </c>
      <c r="D9674" t="s">
        <v>1956</v>
      </c>
      <c r="E9674">
        <v>7.968</v>
      </c>
      <c r="F9674">
        <v>2</v>
      </c>
      <c r="G9674">
        <v>0.2</v>
      </c>
      <c r="H9674">
        <v>2.6892</v>
      </c>
      <c r="U9674">
        <v>2.6892</v>
      </c>
    </row>
    <row r="9675" spans="1:21" x14ac:dyDescent="0.35">
      <c r="A9675" t="s">
        <v>1544</v>
      </c>
      <c r="B9675" t="s">
        <v>360</v>
      </c>
      <c r="C9675" t="s">
        <v>55</v>
      </c>
      <c r="D9675" t="s">
        <v>2751</v>
      </c>
      <c r="E9675">
        <v>1499.97</v>
      </c>
      <c r="F9675">
        <v>5</v>
      </c>
      <c r="G9675">
        <v>0.4</v>
      </c>
      <c r="H9675">
        <v>-374.99250000000001</v>
      </c>
      <c r="U9675">
        <v>-374.99250000000001</v>
      </c>
    </row>
    <row r="9676" spans="1:21" x14ac:dyDescent="0.35">
      <c r="A9676" t="s">
        <v>807</v>
      </c>
      <c r="B9676" t="s">
        <v>578</v>
      </c>
      <c r="C9676" t="s">
        <v>35</v>
      </c>
      <c r="D9676" t="s">
        <v>2053</v>
      </c>
      <c r="E9676">
        <v>26.632000000000001</v>
      </c>
      <c r="F9676">
        <v>1</v>
      </c>
      <c r="G9676">
        <v>0.2</v>
      </c>
      <c r="H9676">
        <v>1.3315999999999999</v>
      </c>
      <c r="U9676">
        <v>1.3315999999999999</v>
      </c>
    </row>
    <row r="9677" spans="1:21" x14ac:dyDescent="0.35">
      <c r="A9677" s="1">
        <v>42526</v>
      </c>
      <c r="B9677" t="s">
        <v>1534</v>
      </c>
      <c r="C9677" t="s">
        <v>13</v>
      </c>
      <c r="D9677" t="s">
        <v>1870</v>
      </c>
      <c r="E9677">
        <v>41.6</v>
      </c>
      <c r="F9677">
        <v>4</v>
      </c>
      <c r="G9677">
        <v>0</v>
      </c>
      <c r="H9677">
        <v>14.144</v>
      </c>
      <c r="U9677">
        <v>14.144</v>
      </c>
    </row>
    <row r="9678" spans="1:21" x14ac:dyDescent="0.35">
      <c r="A9678" t="s">
        <v>2008</v>
      </c>
      <c r="B9678" t="s">
        <v>2177</v>
      </c>
      <c r="C9678" t="s">
        <v>35</v>
      </c>
      <c r="D9678" t="s">
        <v>1319</v>
      </c>
      <c r="E9678">
        <v>64.02</v>
      </c>
      <c r="F9678">
        <v>6</v>
      </c>
      <c r="G9678">
        <v>0</v>
      </c>
      <c r="H9678">
        <v>29.449200000000001</v>
      </c>
      <c r="U9678">
        <v>29.449200000000001</v>
      </c>
    </row>
    <row r="9679" spans="1:21" x14ac:dyDescent="0.35">
      <c r="A9679" t="s">
        <v>706</v>
      </c>
      <c r="B9679" t="s">
        <v>2365</v>
      </c>
      <c r="C9679" t="s">
        <v>55</v>
      </c>
      <c r="D9679" t="s">
        <v>710</v>
      </c>
      <c r="E9679">
        <v>6.99</v>
      </c>
      <c r="F9679">
        <v>3</v>
      </c>
      <c r="G9679">
        <v>0</v>
      </c>
      <c r="H9679">
        <v>2.0270999999999999</v>
      </c>
      <c r="U9679">
        <v>2.0270999999999999</v>
      </c>
    </row>
    <row r="9680" spans="1:21" x14ac:dyDescent="0.35">
      <c r="A9680" t="s">
        <v>706</v>
      </c>
      <c r="B9680" t="s">
        <v>2365</v>
      </c>
      <c r="C9680" t="s">
        <v>55</v>
      </c>
      <c r="D9680" t="s">
        <v>2719</v>
      </c>
      <c r="E9680">
        <v>6.84</v>
      </c>
      <c r="F9680">
        <v>1</v>
      </c>
      <c r="G9680">
        <v>0</v>
      </c>
      <c r="H9680">
        <v>1.8468</v>
      </c>
      <c r="U9680">
        <v>1.8468</v>
      </c>
    </row>
    <row r="9681" spans="1:21" x14ac:dyDescent="0.35">
      <c r="A9681" t="s">
        <v>79</v>
      </c>
      <c r="B9681" t="s">
        <v>2331</v>
      </c>
      <c r="C9681" t="s">
        <v>13</v>
      </c>
      <c r="D9681" t="s">
        <v>1327</v>
      </c>
      <c r="E9681">
        <v>323.10000000000002</v>
      </c>
      <c r="F9681">
        <v>2</v>
      </c>
      <c r="G9681">
        <v>0</v>
      </c>
      <c r="H9681">
        <v>61.389000000000003</v>
      </c>
      <c r="U9681">
        <v>61.389000000000003</v>
      </c>
    </row>
    <row r="9682" spans="1:21" x14ac:dyDescent="0.35">
      <c r="A9682" t="s">
        <v>79</v>
      </c>
      <c r="B9682" t="s">
        <v>2331</v>
      </c>
      <c r="C9682" t="s">
        <v>13</v>
      </c>
      <c r="D9682" t="s">
        <v>1530</v>
      </c>
      <c r="E9682">
        <v>668.16</v>
      </c>
      <c r="F9682">
        <v>9</v>
      </c>
      <c r="G9682">
        <v>0.2</v>
      </c>
      <c r="H9682">
        <v>75.168000000000006</v>
      </c>
      <c r="U9682">
        <v>75.168000000000006</v>
      </c>
    </row>
    <row r="9683" spans="1:21" x14ac:dyDescent="0.35">
      <c r="A9683" t="s">
        <v>481</v>
      </c>
      <c r="B9683" t="s">
        <v>878</v>
      </c>
      <c r="C9683" t="s">
        <v>13</v>
      </c>
      <c r="D9683" t="s">
        <v>2148</v>
      </c>
      <c r="E9683">
        <v>8.64</v>
      </c>
      <c r="F9683">
        <v>3</v>
      </c>
      <c r="G9683">
        <v>0</v>
      </c>
      <c r="H9683">
        <v>4.2336</v>
      </c>
      <c r="U9683">
        <v>4.2336</v>
      </c>
    </row>
    <row r="9684" spans="1:21" x14ac:dyDescent="0.35">
      <c r="A9684" t="s">
        <v>481</v>
      </c>
      <c r="B9684" t="s">
        <v>878</v>
      </c>
      <c r="C9684" t="s">
        <v>13</v>
      </c>
      <c r="D9684" t="s">
        <v>1452</v>
      </c>
      <c r="E9684">
        <v>38.880000000000003</v>
      </c>
      <c r="F9684">
        <v>6</v>
      </c>
      <c r="G9684">
        <v>0</v>
      </c>
      <c r="H9684">
        <v>18.662400000000002</v>
      </c>
      <c r="U9684">
        <v>18.662400000000002</v>
      </c>
    </row>
    <row r="9685" spans="1:21" x14ac:dyDescent="0.35">
      <c r="A9685" t="s">
        <v>481</v>
      </c>
      <c r="B9685" t="s">
        <v>878</v>
      </c>
      <c r="C9685" t="s">
        <v>13</v>
      </c>
      <c r="D9685" t="s">
        <v>2010</v>
      </c>
      <c r="E9685">
        <v>201.04</v>
      </c>
      <c r="F9685">
        <v>8</v>
      </c>
      <c r="G9685">
        <v>0</v>
      </c>
      <c r="H9685">
        <v>54.280799999999999</v>
      </c>
      <c r="U9685">
        <v>54.280799999999999</v>
      </c>
    </row>
    <row r="9686" spans="1:21" x14ac:dyDescent="0.35">
      <c r="A9686" t="s">
        <v>481</v>
      </c>
      <c r="B9686" t="s">
        <v>878</v>
      </c>
      <c r="C9686" t="s">
        <v>13</v>
      </c>
      <c r="D9686" t="s">
        <v>2493</v>
      </c>
      <c r="E9686">
        <v>12.96</v>
      </c>
      <c r="F9686">
        <v>2</v>
      </c>
      <c r="G9686">
        <v>0</v>
      </c>
      <c r="H9686">
        <v>6.3503999999999996</v>
      </c>
      <c r="U9686">
        <v>6.3503999999999996</v>
      </c>
    </row>
    <row r="9687" spans="1:21" x14ac:dyDescent="0.35">
      <c r="A9687" s="1">
        <v>42767</v>
      </c>
      <c r="B9687" t="s">
        <v>2698</v>
      </c>
      <c r="C9687" t="s">
        <v>13</v>
      </c>
      <c r="D9687" t="s">
        <v>2130</v>
      </c>
      <c r="E9687">
        <v>16.59</v>
      </c>
      <c r="F9687">
        <v>1</v>
      </c>
      <c r="G9687">
        <v>0</v>
      </c>
      <c r="H9687">
        <v>5.8064999999999998</v>
      </c>
      <c r="U9687">
        <v>5.8064999999999998</v>
      </c>
    </row>
    <row r="9688" spans="1:21" x14ac:dyDescent="0.35">
      <c r="A9688" t="s">
        <v>175</v>
      </c>
      <c r="B9688" t="s">
        <v>1962</v>
      </c>
      <c r="C9688" t="s">
        <v>13</v>
      </c>
      <c r="D9688" t="s">
        <v>1118</v>
      </c>
      <c r="E9688">
        <v>35.1</v>
      </c>
      <c r="F9688">
        <v>6</v>
      </c>
      <c r="G9688">
        <v>0</v>
      </c>
      <c r="H9688">
        <v>10.179</v>
      </c>
      <c r="U9688">
        <v>10.179</v>
      </c>
    </row>
    <row r="9689" spans="1:21" x14ac:dyDescent="0.35">
      <c r="A9689" t="s">
        <v>1384</v>
      </c>
      <c r="B9689" t="s">
        <v>1254</v>
      </c>
      <c r="C9689" t="s">
        <v>35</v>
      </c>
      <c r="D9689" t="s">
        <v>1115</v>
      </c>
      <c r="E9689">
        <v>11.646000000000001</v>
      </c>
      <c r="F9689">
        <v>9</v>
      </c>
      <c r="G9689">
        <v>0.8</v>
      </c>
      <c r="H9689">
        <v>-17.469000000000001</v>
      </c>
      <c r="U9689">
        <v>-17.469000000000001</v>
      </c>
    </row>
    <row r="9690" spans="1:21" x14ac:dyDescent="0.35">
      <c r="A9690" t="s">
        <v>198</v>
      </c>
      <c r="B9690" t="s">
        <v>178</v>
      </c>
      <c r="C9690" t="s">
        <v>8</v>
      </c>
      <c r="D9690" t="s">
        <v>2298</v>
      </c>
      <c r="E9690">
        <v>32.4</v>
      </c>
      <c r="F9690">
        <v>5</v>
      </c>
      <c r="G9690">
        <v>0</v>
      </c>
      <c r="H9690">
        <v>15.552</v>
      </c>
      <c r="U9690">
        <v>15.552</v>
      </c>
    </row>
    <row r="9691" spans="1:21" x14ac:dyDescent="0.35">
      <c r="A9691" t="s">
        <v>198</v>
      </c>
      <c r="B9691" t="s">
        <v>178</v>
      </c>
      <c r="C9691" t="s">
        <v>8</v>
      </c>
      <c r="D9691" t="s">
        <v>2218</v>
      </c>
      <c r="E9691">
        <v>503.96</v>
      </c>
      <c r="F9691">
        <v>4</v>
      </c>
      <c r="G9691">
        <v>0</v>
      </c>
      <c r="H9691">
        <v>125.99</v>
      </c>
      <c r="U9691">
        <v>125.99</v>
      </c>
    </row>
    <row r="9692" spans="1:21" x14ac:dyDescent="0.35">
      <c r="A9692" s="1">
        <v>42829</v>
      </c>
      <c r="B9692" t="s">
        <v>2178</v>
      </c>
      <c r="C9692" t="s">
        <v>55</v>
      </c>
      <c r="D9692" t="s">
        <v>1410</v>
      </c>
      <c r="E9692">
        <v>7.04</v>
      </c>
      <c r="F9692">
        <v>4</v>
      </c>
      <c r="G9692">
        <v>0</v>
      </c>
      <c r="H9692">
        <v>2.0415999999999999</v>
      </c>
      <c r="U9692">
        <v>2.0415999999999999</v>
      </c>
    </row>
    <row r="9693" spans="1:21" x14ac:dyDescent="0.35">
      <c r="A9693" t="s">
        <v>210</v>
      </c>
      <c r="B9693" t="s">
        <v>571</v>
      </c>
      <c r="C9693" t="s">
        <v>35</v>
      </c>
      <c r="D9693" t="s">
        <v>1365</v>
      </c>
      <c r="E9693">
        <v>613.99919999999997</v>
      </c>
      <c r="F9693">
        <v>3</v>
      </c>
      <c r="G9693">
        <v>0.32</v>
      </c>
      <c r="H9693">
        <v>-18.058800000000002</v>
      </c>
      <c r="U9693">
        <v>-18.058800000000002</v>
      </c>
    </row>
    <row r="9694" spans="1:21" x14ac:dyDescent="0.35">
      <c r="A9694" t="s">
        <v>1013</v>
      </c>
      <c r="B9694" t="s">
        <v>1515</v>
      </c>
      <c r="C9694" t="s">
        <v>55</v>
      </c>
      <c r="D9694" t="s">
        <v>2134</v>
      </c>
      <c r="E9694">
        <v>470.36</v>
      </c>
      <c r="F9694">
        <v>11</v>
      </c>
      <c r="G9694">
        <v>0</v>
      </c>
      <c r="H9694">
        <v>122.2936</v>
      </c>
      <c r="U9694">
        <v>122.2936</v>
      </c>
    </row>
    <row r="9695" spans="1:21" x14ac:dyDescent="0.35">
      <c r="A9695" t="s">
        <v>978</v>
      </c>
      <c r="B9695" t="s">
        <v>299</v>
      </c>
      <c r="C9695" t="s">
        <v>13</v>
      </c>
      <c r="D9695" t="s">
        <v>1999</v>
      </c>
      <c r="E9695">
        <v>31.08</v>
      </c>
      <c r="F9695">
        <v>6</v>
      </c>
      <c r="G9695">
        <v>0</v>
      </c>
      <c r="H9695">
        <v>15.229200000000001</v>
      </c>
      <c r="U9695">
        <v>15.229200000000001</v>
      </c>
    </row>
    <row r="9696" spans="1:21" x14ac:dyDescent="0.35">
      <c r="A9696" t="s">
        <v>978</v>
      </c>
      <c r="B9696" t="s">
        <v>299</v>
      </c>
      <c r="C9696" t="s">
        <v>13</v>
      </c>
      <c r="D9696" t="s">
        <v>922</v>
      </c>
      <c r="E9696">
        <v>7.3</v>
      </c>
      <c r="F9696">
        <v>2</v>
      </c>
      <c r="G9696">
        <v>0</v>
      </c>
      <c r="H9696">
        <v>2.19</v>
      </c>
      <c r="U9696">
        <v>2.19</v>
      </c>
    </row>
    <row r="9697" spans="1:21" x14ac:dyDescent="0.35">
      <c r="A9697" s="1">
        <v>42686</v>
      </c>
      <c r="B9697" t="s">
        <v>1072</v>
      </c>
      <c r="C9697" t="s">
        <v>55</v>
      </c>
      <c r="D9697" t="s">
        <v>24</v>
      </c>
      <c r="E9697">
        <v>73.536000000000001</v>
      </c>
      <c r="F9697">
        <v>4</v>
      </c>
      <c r="G9697">
        <v>0.2</v>
      </c>
      <c r="H9697">
        <v>9.1920000000000002</v>
      </c>
      <c r="U9697">
        <v>9.1920000000000002</v>
      </c>
    </row>
    <row r="9698" spans="1:21" x14ac:dyDescent="0.35">
      <c r="A9698" s="1">
        <v>41918</v>
      </c>
      <c r="B9698" t="s">
        <v>392</v>
      </c>
      <c r="C9698" t="s">
        <v>35</v>
      </c>
      <c r="D9698" t="s">
        <v>932</v>
      </c>
      <c r="E9698">
        <v>491.55</v>
      </c>
      <c r="F9698">
        <v>5</v>
      </c>
      <c r="G9698">
        <v>0</v>
      </c>
      <c r="H9698">
        <v>240.8595</v>
      </c>
      <c r="U9698">
        <v>240.8595</v>
      </c>
    </row>
    <row r="9699" spans="1:21" x14ac:dyDescent="0.35">
      <c r="A9699" s="1">
        <v>42677</v>
      </c>
      <c r="B9699" t="s">
        <v>1403</v>
      </c>
      <c r="C9699" t="s">
        <v>55</v>
      </c>
      <c r="D9699" t="s">
        <v>1895</v>
      </c>
      <c r="E9699">
        <v>30.335999999999999</v>
      </c>
      <c r="F9699">
        <v>4</v>
      </c>
      <c r="G9699">
        <v>0.2</v>
      </c>
      <c r="H9699">
        <v>9.48</v>
      </c>
      <c r="U9699">
        <v>9.48</v>
      </c>
    </row>
    <row r="9700" spans="1:21" x14ac:dyDescent="0.35">
      <c r="A9700" t="s">
        <v>663</v>
      </c>
      <c r="B9700" t="s">
        <v>2467</v>
      </c>
      <c r="C9700" t="s">
        <v>13</v>
      </c>
      <c r="D9700" t="s">
        <v>453</v>
      </c>
      <c r="E9700">
        <v>22.83</v>
      </c>
      <c r="F9700">
        <v>3</v>
      </c>
      <c r="G9700">
        <v>0</v>
      </c>
      <c r="H9700">
        <v>10.7301</v>
      </c>
      <c r="U9700">
        <v>10.7301</v>
      </c>
    </row>
    <row r="9701" spans="1:21" x14ac:dyDescent="0.35">
      <c r="A9701" t="s">
        <v>663</v>
      </c>
      <c r="B9701" t="s">
        <v>2467</v>
      </c>
      <c r="C9701" t="s">
        <v>13</v>
      </c>
      <c r="D9701" t="s">
        <v>2701</v>
      </c>
      <c r="E9701">
        <v>54.32</v>
      </c>
      <c r="F9701">
        <v>4</v>
      </c>
      <c r="G9701">
        <v>0</v>
      </c>
      <c r="H9701">
        <v>16.295999999999999</v>
      </c>
      <c r="U9701">
        <v>16.295999999999999</v>
      </c>
    </row>
    <row r="9702" spans="1:21" x14ac:dyDescent="0.35">
      <c r="A9702" t="s">
        <v>663</v>
      </c>
      <c r="B9702" t="s">
        <v>2467</v>
      </c>
      <c r="C9702" t="s">
        <v>13</v>
      </c>
      <c r="D9702" t="s">
        <v>2144</v>
      </c>
      <c r="E9702">
        <v>196.77600000000001</v>
      </c>
      <c r="F9702">
        <v>3</v>
      </c>
      <c r="G9702">
        <v>0.2</v>
      </c>
      <c r="H9702">
        <v>14.7582</v>
      </c>
      <c r="U9702">
        <v>14.7582</v>
      </c>
    </row>
    <row r="9703" spans="1:21" x14ac:dyDescent="0.35">
      <c r="A9703" t="s">
        <v>2351</v>
      </c>
      <c r="B9703" t="s">
        <v>2460</v>
      </c>
      <c r="C9703" t="s">
        <v>13</v>
      </c>
      <c r="D9703" t="s">
        <v>1380</v>
      </c>
      <c r="E9703">
        <v>3.62</v>
      </c>
      <c r="F9703">
        <v>2</v>
      </c>
      <c r="G9703">
        <v>0</v>
      </c>
      <c r="H9703">
        <v>1.1946000000000001</v>
      </c>
      <c r="U9703">
        <v>1.1946000000000001</v>
      </c>
    </row>
    <row r="9704" spans="1:21" x14ac:dyDescent="0.35">
      <c r="A9704" t="s">
        <v>2025</v>
      </c>
      <c r="B9704" t="s">
        <v>2342</v>
      </c>
      <c r="C9704" t="s">
        <v>55</v>
      </c>
      <c r="D9704" t="s">
        <v>205</v>
      </c>
      <c r="E9704">
        <v>11.54</v>
      </c>
      <c r="F9704">
        <v>1</v>
      </c>
      <c r="G9704">
        <v>0</v>
      </c>
      <c r="H9704">
        <v>5.5392000000000001</v>
      </c>
      <c r="U9704">
        <v>5.5392000000000001</v>
      </c>
    </row>
    <row r="9705" spans="1:21" x14ac:dyDescent="0.35">
      <c r="A9705" t="s">
        <v>2025</v>
      </c>
      <c r="B9705" t="s">
        <v>2342</v>
      </c>
      <c r="C9705" t="s">
        <v>55</v>
      </c>
      <c r="D9705" t="s">
        <v>32</v>
      </c>
      <c r="E9705">
        <v>849.95</v>
      </c>
      <c r="F9705">
        <v>5</v>
      </c>
      <c r="G9705">
        <v>0</v>
      </c>
      <c r="H9705">
        <v>390.97699999999998</v>
      </c>
      <c r="U9705">
        <v>390.97699999999998</v>
      </c>
    </row>
    <row r="9706" spans="1:21" x14ac:dyDescent="0.35">
      <c r="A9706" t="s">
        <v>2025</v>
      </c>
      <c r="B9706" t="s">
        <v>2342</v>
      </c>
      <c r="C9706" t="s">
        <v>55</v>
      </c>
      <c r="D9706" t="s">
        <v>2683</v>
      </c>
      <c r="E9706">
        <v>11.01</v>
      </c>
      <c r="F9706">
        <v>3</v>
      </c>
      <c r="G9706">
        <v>0</v>
      </c>
      <c r="H9706">
        <v>5.3948999999999998</v>
      </c>
      <c r="U9706">
        <v>5.3948999999999998</v>
      </c>
    </row>
    <row r="9707" spans="1:21" x14ac:dyDescent="0.35">
      <c r="A9707" t="s">
        <v>72</v>
      </c>
      <c r="B9707" t="s">
        <v>1935</v>
      </c>
      <c r="C9707" t="s">
        <v>13</v>
      </c>
      <c r="D9707" t="s">
        <v>1270</v>
      </c>
      <c r="E9707">
        <v>39.624000000000002</v>
      </c>
      <c r="F9707">
        <v>3</v>
      </c>
      <c r="G9707">
        <v>0.2</v>
      </c>
      <c r="H9707">
        <v>13.868399999999999</v>
      </c>
      <c r="U9707">
        <v>13.868399999999999</v>
      </c>
    </row>
    <row r="9708" spans="1:21" x14ac:dyDescent="0.35">
      <c r="A9708" t="s">
        <v>622</v>
      </c>
      <c r="B9708" t="s">
        <v>925</v>
      </c>
      <c r="C9708" t="s">
        <v>13</v>
      </c>
      <c r="D9708" t="s">
        <v>2580</v>
      </c>
      <c r="E9708">
        <v>242.136</v>
      </c>
      <c r="F9708">
        <v>3</v>
      </c>
      <c r="G9708">
        <v>0.2</v>
      </c>
      <c r="H9708">
        <v>12.1068</v>
      </c>
      <c r="U9708">
        <v>12.1068</v>
      </c>
    </row>
    <row r="9709" spans="1:21" x14ac:dyDescent="0.35">
      <c r="A9709" t="s">
        <v>622</v>
      </c>
      <c r="B9709" t="s">
        <v>925</v>
      </c>
      <c r="C9709" t="s">
        <v>13</v>
      </c>
      <c r="D9709" t="s">
        <v>221</v>
      </c>
      <c r="E9709">
        <v>12.39</v>
      </c>
      <c r="F9709">
        <v>3</v>
      </c>
      <c r="G9709">
        <v>0</v>
      </c>
      <c r="H9709">
        <v>5.6993999999999998</v>
      </c>
      <c r="U9709">
        <v>5.6993999999999998</v>
      </c>
    </row>
    <row r="9710" spans="1:21" x14ac:dyDescent="0.35">
      <c r="A9710" t="s">
        <v>622</v>
      </c>
      <c r="B9710" t="s">
        <v>925</v>
      </c>
      <c r="C9710" t="s">
        <v>13</v>
      </c>
      <c r="D9710" t="s">
        <v>2461</v>
      </c>
      <c r="E9710">
        <v>19.96</v>
      </c>
      <c r="F9710">
        <v>2</v>
      </c>
      <c r="G9710">
        <v>0</v>
      </c>
      <c r="H9710">
        <v>5.5888</v>
      </c>
      <c r="U9710">
        <v>5.5888</v>
      </c>
    </row>
    <row r="9711" spans="1:21" x14ac:dyDescent="0.35">
      <c r="A9711" t="s">
        <v>622</v>
      </c>
      <c r="B9711" t="s">
        <v>925</v>
      </c>
      <c r="C9711" t="s">
        <v>13</v>
      </c>
      <c r="D9711" t="s">
        <v>791</v>
      </c>
      <c r="E9711">
        <v>340.92</v>
      </c>
      <c r="F9711">
        <v>3</v>
      </c>
      <c r="G9711">
        <v>0</v>
      </c>
      <c r="H9711">
        <v>3.4091999999999998</v>
      </c>
      <c r="U9711">
        <v>3.4091999999999998</v>
      </c>
    </row>
    <row r="9712" spans="1:21" x14ac:dyDescent="0.35">
      <c r="A9712" s="1">
        <v>41770</v>
      </c>
      <c r="B9712" t="s">
        <v>831</v>
      </c>
      <c r="C9712" t="s">
        <v>55</v>
      </c>
      <c r="D9712" t="s">
        <v>2070</v>
      </c>
      <c r="E9712">
        <v>273.56799999999998</v>
      </c>
      <c r="F9712">
        <v>2</v>
      </c>
      <c r="G9712">
        <v>0.2</v>
      </c>
      <c r="H9712">
        <v>-34.195999999999998</v>
      </c>
      <c r="U9712">
        <v>-34.195999999999998</v>
      </c>
    </row>
    <row r="9713" spans="1:21" x14ac:dyDescent="0.35">
      <c r="A9713" s="1">
        <v>41770</v>
      </c>
      <c r="B9713" t="s">
        <v>831</v>
      </c>
      <c r="C9713" t="s">
        <v>55</v>
      </c>
      <c r="D9713" t="s">
        <v>1251</v>
      </c>
      <c r="E9713">
        <v>13.194000000000001</v>
      </c>
      <c r="F9713">
        <v>2</v>
      </c>
      <c r="G9713">
        <v>0.7</v>
      </c>
      <c r="H9713">
        <v>-8.7959999999999994</v>
      </c>
      <c r="U9713">
        <v>-8.7959999999999994</v>
      </c>
    </row>
    <row r="9714" spans="1:21" x14ac:dyDescent="0.35">
      <c r="A9714" s="1">
        <v>41770</v>
      </c>
      <c r="B9714" t="s">
        <v>831</v>
      </c>
      <c r="C9714" t="s">
        <v>55</v>
      </c>
      <c r="D9714" t="s">
        <v>1512</v>
      </c>
      <c r="E9714">
        <v>1080.096</v>
      </c>
      <c r="F9714">
        <v>6</v>
      </c>
      <c r="G9714">
        <v>0.2</v>
      </c>
      <c r="H9714">
        <v>-94.508399999999995</v>
      </c>
      <c r="U9714">
        <v>-94.508399999999995</v>
      </c>
    </row>
    <row r="9715" spans="1:21" x14ac:dyDescent="0.35">
      <c r="A9715" s="1">
        <v>41770</v>
      </c>
      <c r="B9715" t="s">
        <v>831</v>
      </c>
      <c r="C9715" t="s">
        <v>55</v>
      </c>
      <c r="D9715" t="s">
        <v>1005</v>
      </c>
      <c r="E9715">
        <v>51.56</v>
      </c>
      <c r="F9715">
        <v>5</v>
      </c>
      <c r="G9715">
        <v>0.2</v>
      </c>
      <c r="H9715">
        <v>-6.4450000000000003</v>
      </c>
      <c r="U9715">
        <v>-6.4450000000000003</v>
      </c>
    </row>
    <row r="9716" spans="1:21" x14ac:dyDescent="0.35">
      <c r="A9716" s="1">
        <v>41770</v>
      </c>
      <c r="B9716" t="s">
        <v>831</v>
      </c>
      <c r="C9716" t="s">
        <v>55</v>
      </c>
      <c r="D9716" t="s">
        <v>2084</v>
      </c>
      <c r="E9716">
        <v>58.415999999999997</v>
      </c>
      <c r="F9716">
        <v>2</v>
      </c>
      <c r="G9716">
        <v>0.2</v>
      </c>
      <c r="H9716">
        <v>16.794599999999999</v>
      </c>
      <c r="U9716">
        <v>16.794599999999999</v>
      </c>
    </row>
    <row r="9717" spans="1:21" x14ac:dyDescent="0.35">
      <c r="A9717" s="1">
        <v>42562</v>
      </c>
      <c r="B9717" t="s">
        <v>1571</v>
      </c>
      <c r="C9717" t="s">
        <v>13</v>
      </c>
      <c r="D9717" t="s">
        <v>722</v>
      </c>
      <c r="E9717">
        <v>57.584000000000003</v>
      </c>
      <c r="F9717">
        <v>2</v>
      </c>
      <c r="G9717">
        <v>0.2</v>
      </c>
      <c r="H9717">
        <v>20.154399999999999</v>
      </c>
      <c r="U9717">
        <v>20.154399999999999</v>
      </c>
    </row>
    <row r="9718" spans="1:21" x14ac:dyDescent="0.35">
      <c r="A9718" s="1">
        <v>42712</v>
      </c>
      <c r="B9718" t="s">
        <v>1704</v>
      </c>
      <c r="C9718" t="s">
        <v>55</v>
      </c>
      <c r="D9718" t="s">
        <v>2624</v>
      </c>
      <c r="E9718">
        <v>37.311999999999998</v>
      </c>
      <c r="F9718">
        <v>4</v>
      </c>
      <c r="G9718">
        <v>0.2</v>
      </c>
      <c r="H9718">
        <v>2.7984</v>
      </c>
      <c r="U9718">
        <v>2.7984</v>
      </c>
    </row>
    <row r="9719" spans="1:21" x14ac:dyDescent="0.35">
      <c r="A9719" t="s">
        <v>838</v>
      </c>
      <c r="B9719" t="s">
        <v>972</v>
      </c>
      <c r="C9719" t="s">
        <v>35</v>
      </c>
      <c r="D9719" t="s">
        <v>261</v>
      </c>
      <c r="E9719">
        <v>79.959999999999994</v>
      </c>
      <c r="F9719">
        <v>5</v>
      </c>
      <c r="G9719">
        <v>0.2</v>
      </c>
      <c r="H9719">
        <v>7.9960000000000004</v>
      </c>
      <c r="U9719">
        <v>7.9960000000000004</v>
      </c>
    </row>
    <row r="9720" spans="1:21" x14ac:dyDescent="0.35">
      <c r="A9720" t="s">
        <v>838</v>
      </c>
      <c r="B9720" t="s">
        <v>972</v>
      </c>
      <c r="C9720" t="s">
        <v>35</v>
      </c>
      <c r="D9720" t="s">
        <v>408</v>
      </c>
      <c r="E9720">
        <v>223.96</v>
      </c>
      <c r="F9720">
        <v>5</v>
      </c>
      <c r="G9720">
        <v>0.2</v>
      </c>
      <c r="H9720">
        <v>11.198</v>
      </c>
      <c r="U9720">
        <v>11.198</v>
      </c>
    </row>
    <row r="9721" spans="1:21" x14ac:dyDescent="0.35">
      <c r="A9721" s="1">
        <v>43080</v>
      </c>
      <c r="B9721" t="s">
        <v>2024</v>
      </c>
      <c r="C9721" t="s">
        <v>55</v>
      </c>
      <c r="D9721" t="s">
        <v>1575</v>
      </c>
      <c r="E9721">
        <v>221.024</v>
      </c>
      <c r="F9721">
        <v>2</v>
      </c>
      <c r="G9721">
        <v>0.2</v>
      </c>
      <c r="H9721">
        <v>-55.256</v>
      </c>
      <c r="U9721">
        <v>-55.256</v>
      </c>
    </row>
    <row r="9722" spans="1:21" x14ac:dyDescent="0.35">
      <c r="A9722" t="s">
        <v>184</v>
      </c>
      <c r="B9722" t="s">
        <v>1105</v>
      </c>
      <c r="C9722" t="s">
        <v>35</v>
      </c>
      <c r="D9722" t="s">
        <v>2274</v>
      </c>
      <c r="E9722">
        <v>18.96</v>
      </c>
      <c r="F9722">
        <v>2</v>
      </c>
      <c r="G9722">
        <v>0</v>
      </c>
      <c r="H9722">
        <v>7.5839999999999996</v>
      </c>
      <c r="U9722">
        <v>7.5839999999999996</v>
      </c>
    </row>
    <row r="9723" spans="1:21" x14ac:dyDescent="0.35">
      <c r="A9723" t="s">
        <v>1845</v>
      </c>
      <c r="B9723" t="s">
        <v>1836</v>
      </c>
      <c r="C9723" t="s">
        <v>55</v>
      </c>
      <c r="D9723" t="s">
        <v>2567</v>
      </c>
      <c r="E9723">
        <v>326.64600000000002</v>
      </c>
      <c r="F9723">
        <v>3</v>
      </c>
      <c r="G9723">
        <v>0.1</v>
      </c>
      <c r="H9723">
        <v>39.923400000000001</v>
      </c>
      <c r="U9723">
        <v>39.923400000000001</v>
      </c>
    </row>
    <row r="9724" spans="1:21" x14ac:dyDescent="0.35">
      <c r="A9724" t="s">
        <v>1845</v>
      </c>
      <c r="B9724" t="s">
        <v>1836</v>
      </c>
      <c r="C9724" t="s">
        <v>55</v>
      </c>
      <c r="D9724" t="s">
        <v>490</v>
      </c>
      <c r="E9724">
        <v>89.97</v>
      </c>
      <c r="F9724">
        <v>3</v>
      </c>
      <c r="G9724">
        <v>0</v>
      </c>
      <c r="H9724">
        <v>39.586799999999997</v>
      </c>
      <c r="U9724">
        <v>39.586799999999997</v>
      </c>
    </row>
    <row r="9725" spans="1:21" x14ac:dyDescent="0.35">
      <c r="A9725" t="s">
        <v>2548</v>
      </c>
      <c r="B9725" t="s">
        <v>290</v>
      </c>
      <c r="C9725" t="s">
        <v>55</v>
      </c>
      <c r="D9725" t="s">
        <v>1225</v>
      </c>
      <c r="E9725">
        <v>296.71199999999999</v>
      </c>
      <c r="F9725">
        <v>13</v>
      </c>
      <c r="G9725">
        <v>0.2</v>
      </c>
      <c r="H9725">
        <v>100.1403</v>
      </c>
      <c r="U9725">
        <v>100.1403</v>
      </c>
    </row>
    <row r="9726" spans="1:21" x14ac:dyDescent="0.35">
      <c r="A9726" s="1">
        <v>42136</v>
      </c>
      <c r="B9726" t="s">
        <v>2136</v>
      </c>
      <c r="C9726" t="s">
        <v>35</v>
      </c>
      <c r="D9726" t="s">
        <v>1175</v>
      </c>
      <c r="E9726">
        <v>12.224</v>
      </c>
      <c r="F9726">
        <v>2</v>
      </c>
      <c r="G9726">
        <v>0.2</v>
      </c>
      <c r="H9726">
        <v>4.4311999999999996</v>
      </c>
      <c r="U9726">
        <v>4.4311999999999996</v>
      </c>
    </row>
    <row r="9727" spans="1:21" x14ac:dyDescent="0.35">
      <c r="A9727" t="s">
        <v>149</v>
      </c>
      <c r="B9727" t="s">
        <v>2124</v>
      </c>
      <c r="C9727" t="s">
        <v>13</v>
      </c>
      <c r="D9727" t="s">
        <v>1675</v>
      </c>
      <c r="E9727">
        <v>89.97</v>
      </c>
      <c r="F9727">
        <v>3</v>
      </c>
      <c r="G9727">
        <v>0</v>
      </c>
      <c r="H9727">
        <v>37.787399999999998</v>
      </c>
      <c r="U9727">
        <v>37.787399999999998</v>
      </c>
    </row>
    <row r="9728" spans="1:21" x14ac:dyDescent="0.35">
      <c r="A9728" s="1">
        <v>42778</v>
      </c>
      <c r="B9728" t="s">
        <v>131</v>
      </c>
      <c r="C9728" t="s">
        <v>55</v>
      </c>
      <c r="D9728" t="s">
        <v>2143</v>
      </c>
      <c r="E9728">
        <v>286.86</v>
      </c>
      <c r="F9728">
        <v>7</v>
      </c>
      <c r="G9728">
        <v>0</v>
      </c>
      <c r="H9728">
        <v>80.320800000000006</v>
      </c>
      <c r="U9728">
        <v>80.320800000000006</v>
      </c>
    </row>
    <row r="9729" spans="1:21" x14ac:dyDescent="0.35">
      <c r="A9729" s="1">
        <v>42778</v>
      </c>
      <c r="B9729" t="s">
        <v>131</v>
      </c>
      <c r="C9729" t="s">
        <v>55</v>
      </c>
      <c r="D9729" t="s">
        <v>77</v>
      </c>
      <c r="E9729">
        <v>979.95</v>
      </c>
      <c r="F9729">
        <v>5</v>
      </c>
      <c r="G9729">
        <v>0</v>
      </c>
      <c r="H9729">
        <v>284.18549999999999</v>
      </c>
      <c r="U9729">
        <v>284.18549999999999</v>
      </c>
    </row>
    <row r="9730" spans="1:21" x14ac:dyDescent="0.35">
      <c r="A9730" s="1">
        <v>42778</v>
      </c>
      <c r="B9730" t="s">
        <v>131</v>
      </c>
      <c r="C9730" t="s">
        <v>55</v>
      </c>
      <c r="D9730" t="s">
        <v>625</v>
      </c>
      <c r="E9730">
        <v>4.3600000000000003</v>
      </c>
      <c r="F9730">
        <v>2</v>
      </c>
      <c r="G9730">
        <v>0</v>
      </c>
      <c r="H9730">
        <v>0.1744</v>
      </c>
      <c r="U9730">
        <v>0.1744</v>
      </c>
    </row>
    <row r="9731" spans="1:21" x14ac:dyDescent="0.35">
      <c r="A9731" t="s">
        <v>620</v>
      </c>
      <c r="B9731" t="s">
        <v>1559</v>
      </c>
      <c r="C9731" t="s">
        <v>13</v>
      </c>
      <c r="D9731" t="s">
        <v>2161</v>
      </c>
      <c r="E9731">
        <v>10.048</v>
      </c>
      <c r="F9731">
        <v>2</v>
      </c>
      <c r="G9731">
        <v>0.2</v>
      </c>
      <c r="H9731">
        <v>3.14</v>
      </c>
      <c r="U9731">
        <v>3.14</v>
      </c>
    </row>
    <row r="9732" spans="1:21" x14ac:dyDescent="0.35">
      <c r="A9732" t="s">
        <v>620</v>
      </c>
      <c r="B9732" t="s">
        <v>1559</v>
      </c>
      <c r="C9732" t="s">
        <v>13</v>
      </c>
      <c r="D9732" t="s">
        <v>1327</v>
      </c>
      <c r="E9732">
        <v>807.75</v>
      </c>
      <c r="F9732">
        <v>5</v>
      </c>
      <c r="G9732">
        <v>0</v>
      </c>
      <c r="H9732">
        <v>153.4725</v>
      </c>
      <c r="U9732">
        <v>153.4725</v>
      </c>
    </row>
    <row r="9733" spans="1:21" x14ac:dyDescent="0.35">
      <c r="A9733" t="s">
        <v>954</v>
      </c>
      <c r="B9733" t="s">
        <v>1912</v>
      </c>
      <c r="C9733" t="s">
        <v>13</v>
      </c>
      <c r="D9733" t="s">
        <v>1720</v>
      </c>
      <c r="E9733">
        <v>34.24</v>
      </c>
      <c r="F9733">
        <v>8</v>
      </c>
      <c r="G9733">
        <v>0</v>
      </c>
      <c r="H9733">
        <v>9.9296000000000006</v>
      </c>
      <c r="U9733">
        <v>9.9296000000000006</v>
      </c>
    </row>
    <row r="9734" spans="1:21" x14ac:dyDescent="0.35">
      <c r="A9734" t="s">
        <v>1787</v>
      </c>
      <c r="B9734" t="s">
        <v>2401</v>
      </c>
      <c r="C9734" t="s">
        <v>8</v>
      </c>
      <c r="D9734" t="s">
        <v>2275</v>
      </c>
      <c r="E9734">
        <v>500.24</v>
      </c>
      <c r="F9734">
        <v>13</v>
      </c>
      <c r="G9734">
        <v>0</v>
      </c>
      <c r="H9734">
        <v>145.06960000000001</v>
      </c>
      <c r="U9734">
        <v>145.06960000000001</v>
      </c>
    </row>
    <row r="9735" spans="1:21" x14ac:dyDescent="0.35">
      <c r="A9735" t="s">
        <v>1787</v>
      </c>
      <c r="B9735" t="s">
        <v>2401</v>
      </c>
      <c r="C9735" t="s">
        <v>8</v>
      </c>
      <c r="D9735" t="s">
        <v>2456</v>
      </c>
      <c r="E9735">
        <v>20.12</v>
      </c>
      <c r="F9735">
        <v>2</v>
      </c>
      <c r="G9735">
        <v>0</v>
      </c>
      <c r="H9735">
        <v>9.2552000000000003</v>
      </c>
      <c r="U9735">
        <v>9.2552000000000003</v>
      </c>
    </row>
    <row r="9736" spans="1:21" x14ac:dyDescent="0.35">
      <c r="A9736" t="s">
        <v>1787</v>
      </c>
      <c r="B9736" t="s">
        <v>2401</v>
      </c>
      <c r="C9736" t="s">
        <v>8</v>
      </c>
      <c r="D9736" t="s">
        <v>1886</v>
      </c>
      <c r="E9736">
        <v>896.99</v>
      </c>
      <c r="F9736">
        <v>1</v>
      </c>
      <c r="G9736">
        <v>0</v>
      </c>
      <c r="H9736">
        <v>421.58530000000002</v>
      </c>
      <c r="U9736">
        <v>421.58530000000002</v>
      </c>
    </row>
    <row r="9737" spans="1:21" x14ac:dyDescent="0.35">
      <c r="A9737" t="s">
        <v>349</v>
      </c>
      <c r="B9737" t="s">
        <v>249</v>
      </c>
      <c r="C9737" t="s">
        <v>55</v>
      </c>
      <c r="D9737" t="s">
        <v>2726</v>
      </c>
      <c r="E9737">
        <v>5.88</v>
      </c>
      <c r="F9737">
        <v>1</v>
      </c>
      <c r="G9737">
        <v>0.2</v>
      </c>
      <c r="H9737">
        <v>1.9844999999999999</v>
      </c>
      <c r="U9737">
        <v>1.9844999999999999</v>
      </c>
    </row>
    <row r="9738" spans="1:21" x14ac:dyDescent="0.35">
      <c r="A9738" t="s">
        <v>651</v>
      </c>
      <c r="B9738" t="s">
        <v>2494</v>
      </c>
      <c r="C9738" t="s">
        <v>35</v>
      </c>
      <c r="D9738" t="s">
        <v>953</v>
      </c>
      <c r="E9738">
        <v>269.98</v>
      </c>
      <c r="F9738">
        <v>2</v>
      </c>
      <c r="G9738">
        <v>0</v>
      </c>
      <c r="H9738">
        <v>72.894599999999997</v>
      </c>
      <c r="U9738">
        <v>72.894599999999997</v>
      </c>
    </row>
    <row r="9739" spans="1:21" x14ac:dyDescent="0.35">
      <c r="A9739" t="s">
        <v>1908</v>
      </c>
      <c r="B9739" t="s">
        <v>2153</v>
      </c>
      <c r="C9739" t="s">
        <v>13</v>
      </c>
      <c r="D9739" t="s">
        <v>2260</v>
      </c>
      <c r="E9739">
        <v>310.12</v>
      </c>
      <c r="F9739">
        <v>2</v>
      </c>
      <c r="G9739">
        <v>0</v>
      </c>
      <c r="H9739">
        <v>80.631200000000007</v>
      </c>
      <c r="U9739">
        <v>80.631200000000007</v>
      </c>
    </row>
    <row r="9740" spans="1:21" x14ac:dyDescent="0.35">
      <c r="A9740" t="s">
        <v>1908</v>
      </c>
      <c r="B9740" t="s">
        <v>2153</v>
      </c>
      <c r="C9740" t="s">
        <v>13</v>
      </c>
      <c r="D9740" t="s">
        <v>1516</v>
      </c>
      <c r="E9740">
        <v>70.463999999999999</v>
      </c>
      <c r="F9740">
        <v>6</v>
      </c>
      <c r="G9740">
        <v>0.2</v>
      </c>
      <c r="H9740">
        <v>22.9008</v>
      </c>
      <c r="U9740">
        <v>22.9008</v>
      </c>
    </row>
    <row r="9741" spans="1:21" x14ac:dyDescent="0.35">
      <c r="A9741" t="s">
        <v>1908</v>
      </c>
      <c r="B9741" t="s">
        <v>2153</v>
      </c>
      <c r="C9741" t="s">
        <v>13</v>
      </c>
      <c r="D9741" t="s">
        <v>1893</v>
      </c>
      <c r="E9741">
        <v>19.68</v>
      </c>
      <c r="F9741">
        <v>5</v>
      </c>
      <c r="G9741">
        <v>0.2</v>
      </c>
      <c r="H9741">
        <v>6.8879999999999999</v>
      </c>
      <c r="U9741">
        <v>6.8879999999999999</v>
      </c>
    </row>
    <row r="9742" spans="1:21" x14ac:dyDescent="0.35">
      <c r="A9742" t="s">
        <v>1908</v>
      </c>
      <c r="B9742" t="s">
        <v>2153</v>
      </c>
      <c r="C9742" t="s">
        <v>13</v>
      </c>
      <c r="D9742" t="s">
        <v>1058</v>
      </c>
      <c r="E9742">
        <v>140.66999999999999</v>
      </c>
      <c r="F9742">
        <v>3</v>
      </c>
      <c r="G9742">
        <v>0</v>
      </c>
      <c r="H9742">
        <v>54.8613</v>
      </c>
      <c r="U9742">
        <v>54.8613</v>
      </c>
    </row>
    <row r="9743" spans="1:21" x14ac:dyDescent="0.35">
      <c r="A9743" s="1">
        <v>42227</v>
      </c>
      <c r="B9743" t="s">
        <v>1543</v>
      </c>
      <c r="C9743" t="s">
        <v>55</v>
      </c>
      <c r="D9743" t="s">
        <v>65</v>
      </c>
      <c r="E9743">
        <v>4404.8999999999996</v>
      </c>
      <c r="F9743">
        <v>5</v>
      </c>
      <c r="G9743">
        <v>0</v>
      </c>
      <c r="H9743">
        <v>1013.127</v>
      </c>
      <c r="U9743">
        <v>1013.127</v>
      </c>
    </row>
    <row r="9744" spans="1:21" x14ac:dyDescent="0.35">
      <c r="A9744" t="s">
        <v>217</v>
      </c>
      <c r="B9744" t="s">
        <v>878</v>
      </c>
      <c r="C9744" t="s">
        <v>13</v>
      </c>
      <c r="D9744" t="s">
        <v>575</v>
      </c>
      <c r="E9744">
        <v>62.65</v>
      </c>
      <c r="F9744">
        <v>5</v>
      </c>
      <c r="G9744">
        <v>0</v>
      </c>
      <c r="H9744">
        <v>29.445499999999999</v>
      </c>
      <c r="U9744">
        <v>29.445499999999999</v>
      </c>
    </row>
    <row r="9745" spans="1:21" x14ac:dyDescent="0.35">
      <c r="A9745" t="s">
        <v>11</v>
      </c>
      <c r="B9745" t="s">
        <v>1358</v>
      </c>
      <c r="C9745" t="s">
        <v>55</v>
      </c>
      <c r="D9745" t="s">
        <v>1713</v>
      </c>
      <c r="E9745">
        <v>9.4499999999999993</v>
      </c>
      <c r="F9745">
        <v>3</v>
      </c>
      <c r="G9745">
        <v>0</v>
      </c>
      <c r="H9745">
        <v>4.5359999999999996</v>
      </c>
      <c r="U9745">
        <v>4.5359999999999996</v>
      </c>
    </row>
    <row r="9746" spans="1:21" x14ac:dyDescent="0.35">
      <c r="A9746" t="s">
        <v>1080</v>
      </c>
      <c r="B9746" t="s">
        <v>2206</v>
      </c>
      <c r="C9746" t="s">
        <v>35</v>
      </c>
      <c r="D9746" t="s">
        <v>1009</v>
      </c>
      <c r="E9746">
        <v>268.57600000000002</v>
      </c>
      <c r="F9746">
        <v>4</v>
      </c>
      <c r="G9746">
        <v>0.2</v>
      </c>
      <c r="H9746">
        <v>90.644400000000005</v>
      </c>
      <c r="U9746">
        <v>90.644400000000005</v>
      </c>
    </row>
    <row r="9747" spans="1:21" x14ac:dyDescent="0.35">
      <c r="A9747" t="s">
        <v>895</v>
      </c>
      <c r="B9747" t="s">
        <v>1586</v>
      </c>
      <c r="C9747" t="s">
        <v>13</v>
      </c>
      <c r="D9747" t="s">
        <v>656</v>
      </c>
      <c r="E9747">
        <v>364.08</v>
      </c>
      <c r="F9747">
        <v>2</v>
      </c>
      <c r="G9747">
        <v>0.2</v>
      </c>
      <c r="H9747">
        <v>9.1020000000000003</v>
      </c>
      <c r="U9747">
        <v>9.1020000000000003</v>
      </c>
    </row>
    <row r="9748" spans="1:21" x14ac:dyDescent="0.35">
      <c r="A9748" t="s">
        <v>895</v>
      </c>
      <c r="B9748" t="s">
        <v>1586</v>
      </c>
      <c r="C9748" t="s">
        <v>13</v>
      </c>
      <c r="D9748" t="s">
        <v>1610</v>
      </c>
      <c r="E9748">
        <v>71.087999999999994</v>
      </c>
      <c r="F9748">
        <v>2</v>
      </c>
      <c r="G9748">
        <v>0.2</v>
      </c>
      <c r="H9748">
        <v>-1.7771999999999999</v>
      </c>
      <c r="U9748">
        <v>-1.7771999999999999</v>
      </c>
    </row>
    <row r="9749" spans="1:21" x14ac:dyDescent="0.35">
      <c r="A9749" s="1">
        <v>41954</v>
      </c>
      <c r="B9749" t="s">
        <v>19</v>
      </c>
      <c r="C9749" t="s">
        <v>35</v>
      </c>
      <c r="D9749" t="s">
        <v>2500</v>
      </c>
      <c r="E9749">
        <v>10.984</v>
      </c>
      <c r="F9749">
        <v>2</v>
      </c>
      <c r="G9749">
        <v>0.6</v>
      </c>
      <c r="H9749">
        <v>-7.9634</v>
      </c>
      <c r="U9749">
        <v>-7.9634</v>
      </c>
    </row>
    <row r="9750" spans="1:21" x14ac:dyDescent="0.35">
      <c r="A9750" s="1">
        <v>41954</v>
      </c>
      <c r="B9750" t="s">
        <v>19</v>
      </c>
      <c r="C9750" t="s">
        <v>35</v>
      </c>
      <c r="D9750" t="s">
        <v>870</v>
      </c>
      <c r="E9750">
        <v>797.94399999999996</v>
      </c>
      <c r="F9750">
        <v>4</v>
      </c>
      <c r="G9750">
        <v>0.3</v>
      </c>
      <c r="H9750">
        <v>-56.996000000000002</v>
      </c>
      <c r="U9750">
        <v>-56.996000000000002</v>
      </c>
    </row>
    <row r="9751" spans="1:21" x14ac:dyDescent="0.35">
      <c r="A9751" s="1">
        <v>42463</v>
      </c>
      <c r="B9751" t="s">
        <v>2107</v>
      </c>
      <c r="C9751" t="s">
        <v>55</v>
      </c>
      <c r="D9751" t="s">
        <v>809</v>
      </c>
      <c r="E9751">
        <v>159.97999999999999</v>
      </c>
      <c r="F9751">
        <v>2</v>
      </c>
      <c r="G9751">
        <v>0</v>
      </c>
      <c r="H9751">
        <v>57.592799999999997</v>
      </c>
      <c r="U9751">
        <v>57.592799999999997</v>
      </c>
    </row>
    <row r="9752" spans="1:21" x14ac:dyDescent="0.35">
      <c r="A9752" s="1">
        <v>42684</v>
      </c>
      <c r="B9752" t="s">
        <v>878</v>
      </c>
      <c r="C9752" t="s">
        <v>35</v>
      </c>
      <c r="D9752" t="s">
        <v>2208</v>
      </c>
      <c r="E9752">
        <v>5.3440000000000003</v>
      </c>
      <c r="F9752">
        <v>2</v>
      </c>
      <c r="G9752">
        <v>0.2</v>
      </c>
      <c r="H9752">
        <v>0.66800000000000004</v>
      </c>
      <c r="U9752">
        <v>0.66800000000000004</v>
      </c>
    </row>
    <row r="9753" spans="1:21" x14ac:dyDescent="0.35">
      <c r="A9753" s="1">
        <v>42684</v>
      </c>
      <c r="B9753" t="s">
        <v>878</v>
      </c>
      <c r="C9753" t="s">
        <v>35</v>
      </c>
      <c r="D9753" t="s">
        <v>1885</v>
      </c>
      <c r="E9753">
        <v>27.72</v>
      </c>
      <c r="F9753">
        <v>3</v>
      </c>
      <c r="G9753">
        <v>0.2</v>
      </c>
      <c r="H9753">
        <v>3.4649999999999999</v>
      </c>
      <c r="U9753">
        <v>3.4649999999999999</v>
      </c>
    </row>
    <row r="9754" spans="1:21" x14ac:dyDescent="0.35">
      <c r="A9754" s="1">
        <v>42376</v>
      </c>
      <c r="B9754" t="s">
        <v>516</v>
      </c>
      <c r="C9754" t="s">
        <v>13</v>
      </c>
      <c r="D9754" t="s">
        <v>1292</v>
      </c>
      <c r="E9754">
        <v>2.496</v>
      </c>
      <c r="F9754">
        <v>1</v>
      </c>
      <c r="G9754">
        <v>0.2</v>
      </c>
      <c r="H9754">
        <v>0.90480000000000005</v>
      </c>
      <c r="U9754">
        <v>0.90480000000000005</v>
      </c>
    </row>
    <row r="9755" spans="1:21" x14ac:dyDescent="0.35">
      <c r="A9755" t="s">
        <v>1867</v>
      </c>
      <c r="B9755" t="s">
        <v>212</v>
      </c>
      <c r="C9755" t="s">
        <v>8</v>
      </c>
      <c r="D9755" t="s">
        <v>2416</v>
      </c>
      <c r="E9755">
        <v>8.26</v>
      </c>
      <c r="F9755">
        <v>2</v>
      </c>
      <c r="G9755">
        <v>0</v>
      </c>
      <c r="H9755">
        <v>3.7995999999999999</v>
      </c>
      <c r="U9755">
        <v>3.7995999999999999</v>
      </c>
    </row>
    <row r="9756" spans="1:21" x14ac:dyDescent="0.35">
      <c r="A9756" t="s">
        <v>1867</v>
      </c>
      <c r="B9756" t="s">
        <v>212</v>
      </c>
      <c r="C9756" t="s">
        <v>8</v>
      </c>
      <c r="D9756" t="s">
        <v>431</v>
      </c>
      <c r="E9756">
        <v>17.760000000000002</v>
      </c>
      <c r="F9756">
        <v>2</v>
      </c>
      <c r="G9756">
        <v>0</v>
      </c>
      <c r="H9756">
        <v>8.8800000000000008</v>
      </c>
      <c r="U9756">
        <v>8.8800000000000008</v>
      </c>
    </row>
    <row r="9757" spans="1:21" x14ac:dyDescent="0.35">
      <c r="A9757" t="s">
        <v>1867</v>
      </c>
      <c r="B9757" t="s">
        <v>212</v>
      </c>
      <c r="C9757" t="s">
        <v>8</v>
      </c>
      <c r="D9757" t="s">
        <v>2241</v>
      </c>
      <c r="E9757">
        <v>332.94</v>
      </c>
      <c r="F9757">
        <v>3</v>
      </c>
      <c r="G9757">
        <v>0</v>
      </c>
      <c r="H9757">
        <v>9.9882000000000009</v>
      </c>
      <c r="U9757">
        <v>9.9882000000000009</v>
      </c>
    </row>
    <row r="9758" spans="1:21" x14ac:dyDescent="0.35">
      <c r="A9758" t="s">
        <v>1867</v>
      </c>
      <c r="B9758" t="s">
        <v>212</v>
      </c>
      <c r="C9758" t="s">
        <v>8</v>
      </c>
      <c r="D9758" t="s">
        <v>533</v>
      </c>
      <c r="E9758">
        <v>292.10000000000002</v>
      </c>
      <c r="F9758">
        <v>2</v>
      </c>
      <c r="G9758">
        <v>0</v>
      </c>
      <c r="H9758">
        <v>58.42</v>
      </c>
      <c r="U9758">
        <v>58.42</v>
      </c>
    </row>
    <row r="9759" spans="1:21" x14ac:dyDescent="0.35">
      <c r="A9759" t="s">
        <v>1867</v>
      </c>
      <c r="B9759" t="s">
        <v>212</v>
      </c>
      <c r="C9759" t="s">
        <v>8</v>
      </c>
      <c r="D9759" t="s">
        <v>2653</v>
      </c>
      <c r="E9759">
        <v>206.1</v>
      </c>
      <c r="F9759">
        <v>5</v>
      </c>
      <c r="G9759">
        <v>0</v>
      </c>
      <c r="H9759">
        <v>55.646999999999998</v>
      </c>
      <c r="U9759">
        <v>55.646999999999998</v>
      </c>
    </row>
    <row r="9760" spans="1:21" x14ac:dyDescent="0.35">
      <c r="A9760" t="s">
        <v>1867</v>
      </c>
      <c r="B9760" t="s">
        <v>212</v>
      </c>
      <c r="C9760" t="s">
        <v>8</v>
      </c>
      <c r="D9760" t="s">
        <v>495</v>
      </c>
      <c r="E9760">
        <v>17.64</v>
      </c>
      <c r="F9760">
        <v>4</v>
      </c>
      <c r="G9760">
        <v>0</v>
      </c>
      <c r="H9760">
        <v>8.1143999999999998</v>
      </c>
      <c r="U9760">
        <v>8.1143999999999998</v>
      </c>
    </row>
    <row r="9761" spans="1:21" x14ac:dyDescent="0.35">
      <c r="A9761" t="s">
        <v>2122</v>
      </c>
      <c r="B9761" t="s">
        <v>966</v>
      </c>
      <c r="C9761" t="s">
        <v>13</v>
      </c>
      <c r="D9761" t="s">
        <v>1831</v>
      </c>
      <c r="E9761">
        <v>1403.92</v>
      </c>
      <c r="F9761">
        <v>5</v>
      </c>
      <c r="G9761">
        <v>0.2</v>
      </c>
      <c r="H9761">
        <v>70.195999999999998</v>
      </c>
      <c r="U9761">
        <v>70.195999999999998</v>
      </c>
    </row>
    <row r="9762" spans="1:21" x14ac:dyDescent="0.35">
      <c r="A9762" s="1">
        <v>42836</v>
      </c>
      <c r="B9762" t="s">
        <v>1613</v>
      </c>
      <c r="C9762" t="s">
        <v>8</v>
      </c>
      <c r="D9762" t="s">
        <v>2380</v>
      </c>
      <c r="E9762">
        <v>4.3</v>
      </c>
      <c r="F9762">
        <v>2</v>
      </c>
      <c r="G9762">
        <v>0</v>
      </c>
      <c r="H9762">
        <v>1.419</v>
      </c>
      <c r="U9762">
        <v>1.419</v>
      </c>
    </row>
    <row r="9763" spans="1:21" x14ac:dyDescent="0.35">
      <c r="A9763" t="s">
        <v>2610</v>
      </c>
      <c r="B9763" t="s">
        <v>1746</v>
      </c>
      <c r="C9763" t="s">
        <v>13</v>
      </c>
      <c r="D9763" t="s">
        <v>1798</v>
      </c>
      <c r="E9763">
        <v>239.97</v>
      </c>
      <c r="F9763">
        <v>3</v>
      </c>
      <c r="G9763">
        <v>0</v>
      </c>
      <c r="H9763">
        <v>86.389200000000002</v>
      </c>
      <c r="U9763">
        <v>86.389200000000002</v>
      </c>
    </row>
    <row r="9764" spans="1:21" x14ac:dyDescent="0.35">
      <c r="A9764" t="s">
        <v>2610</v>
      </c>
      <c r="B9764" t="s">
        <v>1746</v>
      </c>
      <c r="C9764" t="s">
        <v>13</v>
      </c>
      <c r="D9764" t="s">
        <v>2143</v>
      </c>
      <c r="E9764">
        <v>81.96</v>
      </c>
      <c r="F9764">
        <v>2</v>
      </c>
      <c r="G9764">
        <v>0</v>
      </c>
      <c r="H9764">
        <v>22.948799999999999</v>
      </c>
      <c r="U9764">
        <v>22.948799999999999</v>
      </c>
    </row>
    <row r="9765" spans="1:21" x14ac:dyDescent="0.35">
      <c r="A9765" t="s">
        <v>2610</v>
      </c>
      <c r="B9765" t="s">
        <v>1746</v>
      </c>
      <c r="C9765" t="s">
        <v>13</v>
      </c>
      <c r="D9765" t="s">
        <v>2219</v>
      </c>
      <c r="E9765">
        <v>238.62</v>
      </c>
      <c r="F9765">
        <v>2</v>
      </c>
      <c r="G9765">
        <v>0</v>
      </c>
      <c r="H9765">
        <v>4.7724000000000002</v>
      </c>
      <c r="U9765">
        <v>4.7724000000000002</v>
      </c>
    </row>
    <row r="9766" spans="1:21" x14ac:dyDescent="0.35">
      <c r="A9766" t="s">
        <v>2752</v>
      </c>
      <c r="B9766" t="s">
        <v>1725</v>
      </c>
      <c r="C9766" t="s">
        <v>13</v>
      </c>
      <c r="D9766" t="s">
        <v>287</v>
      </c>
      <c r="E9766">
        <v>139.80000000000001</v>
      </c>
      <c r="F9766">
        <v>5</v>
      </c>
      <c r="G9766">
        <v>0.2</v>
      </c>
      <c r="H9766">
        <v>12.2325</v>
      </c>
      <c r="U9766">
        <v>12.2325</v>
      </c>
    </row>
    <row r="9767" spans="1:21" x14ac:dyDescent="0.35">
      <c r="A9767" t="s">
        <v>1470</v>
      </c>
      <c r="B9767" t="s">
        <v>1894</v>
      </c>
      <c r="C9767" t="s">
        <v>55</v>
      </c>
      <c r="D9767" t="s">
        <v>1893</v>
      </c>
      <c r="E9767">
        <v>9.84</v>
      </c>
      <c r="F9767">
        <v>2</v>
      </c>
      <c r="G9767">
        <v>0</v>
      </c>
      <c r="H9767">
        <v>4.7232000000000003</v>
      </c>
      <c r="U9767">
        <v>4.7232000000000003</v>
      </c>
    </row>
    <row r="9768" spans="1:21" x14ac:dyDescent="0.35">
      <c r="A9768" t="s">
        <v>1470</v>
      </c>
      <c r="B9768" t="s">
        <v>1894</v>
      </c>
      <c r="C9768" t="s">
        <v>55</v>
      </c>
      <c r="D9768" t="s">
        <v>1026</v>
      </c>
      <c r="E9768">
        <v>7.78</v>
      </c>
      <c r="F9768">
        <v>1</v>
      </c>
      <c r="G9768">
        <v>0</v>
      </c>
      <c r="H9768">
        <v>3.5009999999999999</v>
      </c>
      <c r="U9768">
        <v>3.5009999999999999</v>
      </c>
    </row>
    <row r="9769" spans="1:21" x14ac:dyDescent="0.35">
      <c r="A9769" s="1">
        <v>42990</v>
      </c>
      <c r="B9769" t="s">
        <v>1937</v>
      </c>
      <c r="C9769" t="s">
        <v>35</v>
      </c>
      <c r="D9769" t="s">
        <v>1719</v>
      </c>
      <c r="E9769">
        <v>54.9</v>
      </c>
      <c r="F9769">
        <v>5</v>
      </c>
      <c r="G9769">
        <v>0</v>
      </c>
      <c r="H9769">
        <v>26.901</v>
      </c>
      <c r="U9769">
        <v>26.901</v>
      </c>
    </row>
    <row r="9770" spans="1:21" x14ac:dyDescent="0.35">
      <c r="A9770" s="1">
        <v>42928</v>
      </c>
      <c r="B9770" t="s">
        <v>1547</v>
      </c>
      <c r="C9770" t="s">
        <v>13</v>
      </c>
      <c r="D9770" t="s">
        <v>2071</v>
      </c>
      <c r="E9770">
        <v>50.04</v>
      </c>
      <c r="F9770">
        <v>6</v>
      </c>
      <c r="G9770">
        <v>0</v>
      </c>
      <c r="H9770">
        <v>25.02</v>
      </c>
      <c r="U9770">
        <v>25.02</v>
      </c>
    </row>
    <row r="9771" spans="1:21" x14ac:dyDescent="0.35">
      <c r="A9771" t="s">
        <v>303</v>
      </c>
      <c r="B9771" t="s">
        <v>1254</v>
      </c>
      <c r="C9771" t="s">
        <v>8</v>
      </c>
      <c r="D9771" t="s">
        <v>1082</v>
      </c>
      <c r="E9771">
        <v>339.92</v>
      </c>
      <c r="F9771">
        <v>5</v>
      </c>
      <c r="G9771">
        <v>0.2</v>
      </c>
      <c r="H9771">
        <v>8.4979999999999993</v>
      </c>
      <c r="U9771">
        <v>8.4979999999999993</v>
      </c>
    </row>
    <row r="9772" spans="1:21" x14ac:dyDescent="0.35">
      <c r="A9772" t="s">
        <v>303</v>
      </c>
      <c r="B9772" t="s">
        <v>1254</v>
      </c>
      <c r="C9772" t="s">
        <v>8</v>
      </c>
      <c r="D9772" t="s">
        <v>1825</v>
      </c>
      <c r="E9772">
        <v>10.528</v>
      </c>
      <c r="F9772">
        <v>4</v>
      </c>
      <c r="G9772">
        <v>0.2</v>
      </c>
      <c r="H9772">
        <v>3.4216000000000002</v>
      </c>
      <c r="U9772">
        <v>3.4216000000000002</v>
      </c>
    </row>
    <row r="9773" spans="1:21" x14ac:dyDescent="0.35">
      <c r="A9773" t="s">
        <v>303</v>
      </c>
      <c r="B9773" t="s">
        <v>1254</v>
      </c>
      <c r="C9773" t="s">
        <v>8</v>
      </c>
      <c r="D9773" t="s">
        <v>2029</v>
      </c>
      <c r="E9773">
        <v>42.384</v>
      </c>
      <c r="F9773">
        <v>2</v>
      </c>
      <c r="G9773">
        <v>0.2</v>
      </c>
      <c r="H9773">
        <v>4.2384000000000004</v>
      </c>
      <c r="U9773">
        <v>4.2384000000000004</v>
      </c>
    </row>
    <row r="9774" spans="1:21" x14ac:dyDescent="0.35">
      <c r="A9774" s="1">
        <v>42436</v>
      </c>
      <c r="B9774" t="s">
        <v>1803</v>
      </c>
      <c r="C9774" t="s">
        <v>55</v>
      </c>
      <c r="D9774" t="s">
        <v>1777</v>
      </c>
      <c r="E9774">
        <v>123.92</v>
      </c>
      <c r="F9774">
        <v>5</v>
      </c>
      <c r="G9774">
        <v>0.2</v>
      </c>
      <c r="H9774">
        <v>38.725000000000001</v>
      </c>
      <c r="U9774">
        <v>38.725000000000001</v>
      </c>
    </row>
    <row r="9775" spans="1:21" x14ac:dyDescent="0.35">
      <c r="A9775" t="s">
        <v>801</v>
      </c>
      <c r="B9775" t="s">
        <v>1518</v>
      </c>
      <c r="C9775" t="s">
        <v>8</v>
      </c>
      <c r="D9775" t="s">
        <v>2473</v>
      </c>
      <c r="E9775">
        <v>135.94999999999999</v>
      </c>
      <c r="F9775">
        <v>1</v>
      </c>
      <c r="G9775">
        <v>0</v>
      </c>
      <c r="H9775">
        <v>39.4255</v>
      </c>
      <c r="U9775">
        <v>39.4255</v>
      </c>
    </row>
    <row r="9776" spans="1:21" x14ac:dyDescent="0.35">
      <c r="A9776" t="s">
        <v>2077</v>
      </c>
      <c r="B9776" t="s">
        <v>684</v>
      </c>
      <c r="C9776" t="s">
        <v>35</v>
      </c>
      <c r="D9776" t="s">
        <v>604</v>
      </c>
      <c r="E9776">
        <v>2177.5839999999998</v>
      </c>
      <c r="F9776">
        <v>8</v>
      </c>
      <c r="G9776">
        <v>0.8</v>
      </c>
      <c r="H9776">
        <v>-3701.8928000000001</v>
      </c>
      <c r="U9776">
        <v>-3701.8928000000001</v>
      </c>
    </row>
    <row r="9777" spans="1:21" x14ac:dyDescent="0.35">
      <c r="A9777" t="s">
        <v>2077</v>
      </c>
      <c r="B9777" t="s">
        <v>684</v>
      </c>
      <c r="C9777" t="s">
        <v>35</v>
      </c>
      <c r="D9777" t="s">
        <v>2290</v>
      </c>
      <c r="E9777">
        <v>17.495999999999999</v>
      </c>
      <c r="F9777">
        <v>3</v>
      </c>
      <c r="G9777">
        <v>0.6</v>
      </c>
      <c r="H9777">
        <v>-10.0602</v>
      </c>
      <c r="U9777">
        <v>-10.0602</v>
      </c>
    </row>
    <row r="9778" spans="1:21" x14ac:dyDescent="0.35">
      <c r="A9778" t="s">
        <v>2077</v>
      </c>
      <c r="B9778" t="s">
        <v>684</v>
      </c>
      <c r="C9778" t="s">
        <v>35</v>
      </c>
      <c r="D9778" t="s">
        <v>576</v>
      </c>
      <c r="E9778">
        <v>16.783999999999999</v>
      </c>
      <c r="F9778">
        <v>4</v>
      </c>
      <c r="G9778">
        <v>0.8</v>
      </c>
      <c r="H9778">
        <v>-26.854399999999998</v>
      </c>
      <c r="U9778">
        <v>-26.854399999999998</v>
      </c>
    </row>
    <row r="9779" spans="1:21" x14ac:dyDescent="0.35">
      <c r="A9779" t="s">
        <v>2077</v>
      </c>
      <c r="B9779" t="s">
        <v>684</v>
      </c>
      <c r="C9779" t="s">
        <v>35</v>
      </c>
      <c r="D9779" t="s">
        <v>636</v>
      </c>
      <c r="E9779">
        <v>431.13600000000002</v>
      </c>
      <c r="F9779">
        <v>9</v>
      </c>
      <c r="G9779">
        <v>0.2</v>
      </c>
      <c r="H9779">
        <v>-26.946000000000002</v>
      </c>
      <c r="U9779">
        <v>-26.946000000000002</v>
      </c>
    </row>
    <row r="9780" spans="1:21" x14ac:dyDescent="0.35">
      <c r="A9780" t="s">
        <v>2077</v>
      </c>
      <c r="B9780" t="s">
        <v>684</v>
      </c>
      <c r="C9780" t="s">
        <v>35</v>
      </c>
      <c r="D9780" t="s">
        <v>431</v>
      </c>
      <c r="E9780">
        <v>8.8800000000000008</v>
      </c>
      <c r="F9780">
        <v>5</v>
      </c>
      <c r="G9780">
        <v>0.8</v>
      </c>
      <c r="H9780">
        <v>-13.32</v>
      </c>
      <c r="U9780">
        <v>-13.32</v>
      </c>
    </row>
    <row r="9781" spans="1:21" x14ac:dyDescent="0.35">
      <c r="A9781" t="s">
        <v>2077</v>
      </c>
      <c r="B9781" t="s">
        <v>684</v>
      </c>
      <c r="C9781" t="s">
        <v>35</v>
      </c>
      <c r="D9781" t="s">
        <v>1919</v>
      </c>
      <c r="E9781">
        <v>4.8360000000000003</v>
      </c>
      <c r="F9781">
        <v>2</v>
      </c>
      <c r="G9781">
        <v>0.8</v>
      </c>
      <c r="H9781">
        <v>-12.09</v>
      </c>
      <c r="U9781">
        <v>-12.09</v>
      </c>
    </row>
    <row r="9782" spans="1:21" x14ac:dyDescent="0.35">
      <c r="A9782" t="s">
        <v>544</v>
      </c>
      <c r="B9782" t="s">
        <v>229</v>
      </c>
      <c r="C9782" t="s">
        <v>55</v>
      </c>
      <c r="D9782" t="s">
        <v>2043</v>
      </c>
      <c r="E9782">
        <v>437.85</v>
      </c>
      <c r="F9782">
        <v>3</v>
      </c>
      <c r="G9782">
        <v>0</v>
      </c>
      <c r="H9782">
        <v>131.35499999999999</v>
      </c>
      <c r="U9782">
        <v>131.35499999999999</v>
      </c>
    </row>
    <row r="9783" spans="1:21" x14ac:dyDescent="0.35">
      <c r="A9783" t="s">
        <v>544</v>
      </c>
      <c r="B9783" t="s">
        <v>229</v>
      </c>
      <c r="C9783" t="s">
        <v>55</v>
      </c>
      <c r="D9783" t="s">
        <v>1887</v>
      </c>
      <c r="E9783">
        <v>673.56799999999998</v>
      </c>
      <c r="F9783">
        <v>2</v>
      </c>
      <c r="G9783">
        <v>0.2</v>
      </c>
      <c r="H9783">
        <v>252.58799999999999</v>
      </c>
      <c r="U9783">
        <v>252.58799999999999</v>
      </c>
    </row>
    <row r="9784" spans="1:21" x14ac:dyDescent="0.35">
      <c r="A9784" t="s">
        <v>293</v>
      </c>
      <c r="B9784" t="s">
        <v>2065</v>
      </c>
      <c r="C9784" t="s">
        <v>55</v>
      </c>
      <c r="D9784" t="s">
        <v>948</v>
      </c>
      <c r="E9784">
        <v>274.8</v>
      </c>
      <c r="F9784">
        <v>5</v>
      </c>
      <c r="G9784">
        <v>0</v>
      </c>
      <c r="H9784">
        <v>134.65199999999999</v>
      </c>
      <c r="U9784">
        <v>134.65199999999999</v>
      </c>
    </row>
    <row r="9785" spans="1:21" x14ac:dyDescent="0.35">
      <c r="A9785" t="s">
        <v>293</v>
      </c>
      <c r="B9785" t="s">
        <v>2065</v>
      </c>
      <c r="C9785" t="s">
        <v>55</v>
      </c>
      <c r="D9785" t="s">
        <v>1406</v>
      </c>
      <c r="E9785">
        <v>62.18</v>
      </c>
      <c r="F9785">
        <v>1</v>
      </c>
      <c r="G9785">
        <v>0</v>
      </c>
      <c r="H9785">
        <v>16.788599999999999</v>
      </c>
      <c r="U9785">
        <v>16.788599999999999</v>
      </c>
    </row>
    <row r="9786" spans="1:21" x14ac:dyDescent="0.35">
      <c r="A9786" t="s">
        <v>293</v>
      </c>
      <c r="B9786" t="s">
        <v>2065</v>
      </c>
      <c r="C9786" t="s">
        <v>55</v>
      </c>
      <c r="D9786" t="s">
        <v>2165</v>
      </c>
      <c r="E9786">
        <v>8.2799999999999994</v>
      </c>
      <c r="F9786">
        <v>2</v>
      </c>
      <c r="G9786">
        <v>0</v>
      </c>
      <c r="H9786">
        <v>2.9807999999999999</v>
      </c>
      <c r="U9786">
        <v>2.9807999999999999</v>
      </c>
    </row>
    <row r="9787" spans="1:21" x14ac:dyDescent="0.35">
      <c r="A9787" s="1">
        <v>42252</v>
      </c>
      <c r="B9787" t="s">
        <v>985</v>
      </c>
      <c r="C9787" t="s">
        <v>8</v>
      </c>
      <c r="D9787" t="s">
        <v>2359</v>
      </c>
      <c r="E9787">
        <v>48.81</v>
      </c>
      <c r="F9787">
        <v>3</v>
      </c>
      <c r="G9787">
        <v>0</v>
      </c>
      <c r="H9787">
        <v>23.916899999999998</v>
      </c>
      <c r="U9787">
        <v>23.916899999999998</v>
      </c>
    </row>
    <row r="9788" spans="1:21" x14ac:dyDescent="0.35">
      <c r="A9788" s="1">
        <v>41770</v>
      </c>
      <c r="B9788" t="s">
        <v>2619</v>
      </c>
      <c r="C9788" t="s">
        <v>8</v>
      </c>
      <c r="D9788" t="s">
        <v>1847</v>
      </c>
      <c r="E9788">
        <v>149.9</v>
      </c>
      <c r="F9788">
        <v>5</v>
      </c>
      <c r="G9788">
        <v>0</v>
      </c>
      <c r="H9788">
        <v>40.472999999999999</v>
      </c>
      <c r="U9788">
        <v>40.472999999999999</v>
      </c>
    </row>
    <row r="9789" spans="1:21" x14ac:dyDescent="0.35">
      <c r="A9789" t="s">
        <v>1867</v>
      </c>
      <c r="B9789" t="s">
        <v>703</v>
      </c>
      <c r="C9789" t="s">
        <v>35</v>
      </c>
      <c r="D9789" t="s">
        <v>1365</v>
      </c>
      <c r="E9789">
        <v>1023.332</v>
      </c>
      <c r="F9789">
        <v>5</v>
      </c>
      <c r="G9789">
        <v>0.32</v>
      </c>
      <c r="H9789">
        <v>-30.097999999999999</v>
      </c>
      <c r="U9789">
        <v>-30.097999999999999</v>
      </c>
    </row>
    <row r="9790" spans="1:21" x14ac:dyDescent="0.35">
      <c r="A9790" t="s">
        <v>1867</v>
      </c>
      <c r="B9790" t="s">
        <v>703</v>
      </c>
      <c r="C9790" t="s">
        <v>35</v>
      </c>
      <c r="D9790" t="s">
        <v>250</v>
      </c>
      <c r="E9790">
        <v>600.55799999999999</v>
      </c>
      <c r="F9790">
        <v>3</v>
      </c>
      <c r="G9790">
        <v>0.3</v>
      </c>
      <c r="H9790">
        <v>-8.5793999999999997</v>
      </c>
      <c r="U9790">
        <v>-8.5793999999999997</v>
      </c>
    </row>
    <row r="9791" spans="1:21" x14ac:dyDescent="0.35">
      <c r="A9791" t="s">
        <v>1867</v>
      </c>
      <c r="B9791" t="s">
        <v>703</v>
      </c>
      <c r="C9791" t="s">
        <v>35</v>
      </c>
      <c r="D9791" t="s">
        <v>1154</v>
      </c>
      <c r="E9791">
        <v>39.991999999999997</v>
      </c>
      <c r="F9791">
        <v>1</v>
      </c>
      <c r="G9791">
        <v>0.2</v>
      </c>
      <c r="H9791">
        <v>6.9985999999999997</v>
      </c>
      <c r="U9791">
        <v>6.9985999999999997</v>
      </c>
    </row>
    <row r="9792" spans="1:21" x14ac:dyDescent="0.35">
      <c r="A9792" t="s">
        <v>1867</v>
      </c>
      <c r="B9792" t="s">
        <v>703</v>
      </c>
      <c r="C9792" t="s">
        <v>35</v>
      </c>
      <c r="D9792" t="s">
        <v>2087</v>
      </c>
      <c r="E9792">
        <v>211.24600000000001</v>
      </c>
      <c r="F9792">
        <v>2</v>
      </c>
      <c r="G9792">
        <v>0.3</v>
      </c>
      <c r="H9792">
        <v>-66.391599999999997</v>
      </c>
      <c r="U9792">
        <v>-66.391599999999997</v>
      </c>
    </row>
    <row r="9793" spans="1:21" x14ac:dyDescent="0.35">
      <c r="A9793" t="s">
        <v>1314</v>
      </c>
      <c r="B9793" t="s">
        <v>1284</v>
      </c>
      <c r="C9793" t="s">
        <v>35</v>
      </c>
      <c r="D9793" t="s">
        <v>314</v>
      </c>
      <c r="E9793">
        <v>56.064</v>
      </c>
      <c r="F9793">
        <v>6</v>
      </c>
      <c r="G9793">
        <v>0.2</v>
      </c>
      <c r="H9793">
        <v>21.024000000000001</v>
      </c>
      <c r="U9793">
        <v>21.024000000000001</v>
      </c>
    </row>
    <row r="9794" spans="1:21" x14ac:dyDescent="0.35">
      <c r="A9794" t="s">
        <v>1314</v>
      </c>
      <c r="B9794" t="s">
        <v>1284</v>
      </c>
      <c r="C9794" t="s">
        <v>35</v>
      </c>
      <c r="D9794" t="s">
        <v>744</v>
      </c>
      <c r="E9794">
        <v>107.77200000000001</v>
      </c>
      <c r="F9794">
        <v>2</v>
      </c>
      <c r="G9794">
        <v>0.3</v>
      </c>
      <c r="H9794">
        <v>-29.252400000000002</v>
      </c>
      <c r="U9794">
        <v>-29.252400000000002</v>
      </c>
    </row>
    <row r="9795" spans="1:21" x14ac:dyDescent="0.35">
      <c r="A9795" t="s">
        <v>1314</v>
      </c>
      <c r="B9795" t="s">
        <v>1284</v>
      </c>
      <c r="C9795" t="s">
        <v>35</v>
      </c>
      <c r="D9795" t="s">
        <v>1186</v>
      </c>
      <c r="E9795">
        <v>4.8319999999999999</v>
      </c>
      <c r="F9795">
        <v>1</v>
      </c>
      <c r="G9795">
        <v>0.2</v>
      </c>
      <c r="H9795">
        <v>1.6308</v>
      </c>
      <c r="U9795">
        <v>1.6308</v>
      </c>
    </row>
    <row r="9796" spans="1:21" x14ac:dyDescent="0.35">
      <c r="A9796" t="s">
        <v>1314</v>
      </c>
      <c r="B9796" t="s">
        <v>1284</v>
      </c>
      <c r="C9796" t="s">
        <v>35</v>
      </c>
      <c r="D9796" t="s">
        <v>1644</v>
      </c>
      <c r="E9796">
        <v>18.239999999999998</v>
      </c>
      <c r="F9796">
        <v>3</v>
      </c>
      <c r="G9796">
        <v>0.8</v>
      </c>
      <c r="H9796">
        <v>-31.007999999999999</v>
      </c>
      <c r="U9796">
        <v>-31.007999999999999</v>
      </c>
    </row>
    <row r="9797" spans="1:21" x14ac:dyDescent="0.35">
      <c r="A9797" t="s">
        <v>865</v>
      </c>
      <c r="B9797" t="s">
        <v>274</v>
      </c>
      <c r="C9797" t="s">
        <v>35</v>
      </c>
      <c r="D9797" t="s">
        <v>1450</v>
      </c>
      <c r="E9797">
        <v>3.798</v>
      </c>
      <c r="F9797">
        <v>3</v>
      </c>
      <c r="G9797">
        <v>0.8</v>
      </c>
      <c r="H9797">
        <v>-5.8868999999999998</v>
      </c>
      <c r="U9797">
        <v>-5.8868999999999998</v>
      </c>
    </row>
    <row r="9798" spans="1:21" x14ac:dyDescent="0.35">
      <c r="A9798" s="1">
        <v>42339</v>
      </c>
      <c r="B9798" t="s">
        <v>2365</v>
      </c>
      <c r="C9798" t="s">
        <v>55</v>
      </c>
      <c r="D9798" t="s">
        <v>600</v>
      </c>
      <c r="E9798">
        <v>10.368</v>
      </c>
      <c r="F9798">
        <v>2</v>
      </c>
      <c r="G9798">
        <v>0.2</v>
      </c>
      <c r="H9798">
        <v>1.5551999999999999</v>
      </c>
      <c r="U9798">
        <v>1.5551999999999999</v>
      </c>
    </row>
    <row r="9799" spans="1:21" x14ac:dyDescent="0.35">
      <c r="A9799" s="1">
        <v>42339</v>
      </c>
      <c r="B9799" t="s">
        <v>2365</v>
      </c>
      <c r="C9799" t="s">
        <v>55</v>
      </c>
      <c r="D9799" t="s">
        <v>77</v>
      </c>
      <c r="E9799">
        <v>235.18799999999999</v>
      </c>
      <c r="F9799">
        <v>2</v>
      </c>
      <c r="G9799">
        <v>0.4</v>
      </c>
      <c r="H9799">
        <v>-43.117800000000003</v>
      </c>
      <c r="U9799">
        <v>-43.117800000000003</v>
      </c>
    </row>
    <row r="9800" spans="1:21" x14ac:dyDescent="0.35">
      <c r="A9800" s="1">
        <v>42339</v>
      </c>
      <c r="B9800" t="s">
        <v>2365</v>
      </c>
      <c r="C9800" t="s">
        <v>55</v>
      </c>
      <c r="D9800" t="s">
        <v>2133</v>
      </c>
      <c r="E9800">
        <v>26.376000000000001</v>
      </c>
      <c r="F9800">
        <v>4</v>
      </c>
      <c r="G9800">
        <v>0.4</v>
      </c>
      <c r="H9800">
        <v>2.6375999999999999</v>
      </c>
      <c r="U9800">
        <v>2.6375999999999999</v>
      </c>
    </row>
    <row r="9801" spans="1:21" x14ac:dyDescent="0.35">
      <c r="A9801" s="1">
        <v>42339</v>
      </c>
      <c r="B9801" t="s">
        <v>2365</v>
      </c>
      <c r="C9801" t="s">
        <v>55</v>
      </c>
      <c r="D9801" t="s">
        <v>2550</v>
      </c>
      <c r="E9801">
        <v>10.384</v>
      </c>
      <c r="F9801">
        <v>2</v>
      </c>
      <c r="G9801">
        <v>0.2</v>
      </c>
      <c r="H9801">
        <v>2.2065999999999999</v>
      </c>
      <c r="U9801">
        <v>2.2065999999999999</v>
      </c>
    </row>
    <row r="9802" spans="1:21" x14ac:dyDescent="0.35">
      <c r="A9802" s="1">
        <v>42339</v>
      </c>
      <c r="B9802" t="s">
        <v>2365</v>
      </c>
      <c r="C9802" t="s">
        <v>55</v>
      </c>
      <c r="D9802" t="s">
        <v>885</v>
      </c>
      <c r="E9802">
        <v>107.11799999999999</v>
      </c>
      <c r="F9802">
        <v>3</v>
      </c>
      <c r="G9802">
        <v>0.4</v>
      </c>
      <c r="H9802">
        <v>-21.4236</v>
      </c>
      <c r="U9802">
        <v>-21.4236</v>
      </c>
    </row>
    <row r="9803" spans="1:21" x14ac:dyDescent="0.35">
      <c r="A9803" t="s">
        <v>1062</v>
      </c>
      <c r="B9803" t="s">
        <v>1132</v>
      </c>
      <c r="C9803" t="s">
        <v>13</v>
      </c>
      <c r="D9803" t="s">
        <v>1920</v>
      </c>
      <c r="E9803">
        <v>97.3</v>
      </c>
      <c r="F9803">
        <v>7</v>
      </c>
      <c r="G9803">
        <v>0</v>
      </c>
      <c r="H9803">
        <v>28.216999999999999</v>
      </c>
      <c r="U9803">
        <v>28.216999999999999</v>
      </c>
    </row>
    <row r="9804" spans="1:21" x14ac:dyDescent="0.35">
      <c r="A9804" t="s">
        <v>2630</v>
      </c>
      <c r="B9804" t="s">
        <v>1157</v>
      </c>
      <c r="C9804" t="s">
        <v>55</v>
      </c>
      <c r="D9804" t="s">
        <v>157</v>
      </c>
      <c r="E9804">
        <v>3.3279999999999998</v>
      </c>
      <c r="F9804">
        <v>2</v>
      </c>
      <c r="G9804">
        <v>0.2</v>
      </c>
      <c r="H9804">
        <v>1.2063999999999999</v>
      </c>
      <c r="U9804">
        <v>1.2063999999999999</v>
      </c>
    </row>
    <row r="9805" spans="1:21" x14ac:dyDescent="0.35">
      <c r="A9805" t="s">
        <v>2630</v>
      </c>
      <c r="B9805" t="s">
        <v>1157</v>
      </c>
      <c r="C9805" t="s">
        <v>55</v>
      </c>
      <c r="D9805" t="s">
        <v>1964</v>
      </c>
      <c r="E9805">
        <v>135.99</v>
      </c>
      <c r="F9805">
        <v>1</v>
      </c>
      <c r="G9805">
        <v>0</v>
      </c>
      <c r="H9805">
        <v>36.717300000000002</v>
      </c>
      <c r="U9805">
        <v>36.717300000000002</v>
      </c>
    </row>
    <row r="9806" spans="1:21" x14ac:dyDescent="0.35">
      <c r="A9806" t="s">
        <v>2630</v>
      </c>
      <c r="B9806" t="s">
        <v>1157</v>
      </c>
      <c r="C9806" t="s">
        <v>55</v>
      </c>
      <c r="D9806" t="s">
        <v>1993</v>
      </c>
      <c r="E9806">
        <v>7.38</v>
      </c>
      <c r="F9806">
        <v>1</v>
      </c>
      <c r="G9806">
        <v>0</v>
      </c>
      <c r="H9806">
        <v>2.1402000000000001</v>
      </c>
      <c r="U9806">
        <v>2.1402000000000001</v>
      </c>
    </row>
    <row r="9807" spans="1:21" x14ac:dyDescent="0.35">
      <c r="A9807" t="s">
        <v>622</v>
      </c>
      <c r="B9807" t="s">
        <v>1448</v>
      </c>
      <c r="C9807" t="s">
        <v>8</v>
      </c>
      <c r="D9807" t="s">
        <v>1849</v>
      </c>
      <c r="E9807">
        <v>45.567999999999998</v>
      </c>
      <c r="F9807">
        <v>2</v>
      </c>
      <c r="G9807">
        <v>0.2</v>
      </c>
      <c r="H9807">
        <v>9.6831999999999994</v>
      </c>
      <c r="U9807">
        <v>9.6831999999999994</v>
      </c>
    </row>
    <row r="9808" spans="1:21" x14ac:dyDescent="0.35">
      <c r="A9808" t="s">
        <v>622</v>
      </c>
      <c r="B9808" t="s">
        <v>1448</v>
      </c>
      <c r="C9808" t="s">
        <v>8</v>
      </c>
      <c r="D9808" t="s">
        <v>1948</v>
      </c>
      <c r="E9808">
        <v>28.751999999999999</v>
      </c>
      <c r="F9808">
        <v>8</v>
      </c>
      <c r="G9808">
        <v>0.7</v>
      </c>
      <c r="H9808">
        <v>-21.084800000000001</v>
      </c>
      <c r="U9808">
        <v>-21.084800000000001</v>
      </c>
    </row>
    <row r="9809" spans="1:21" x14ac:dyDescent="0.35">
      <c r="A9809" t="s">
        <v>2478</v>
      </c>
      <c r="B9809" t="s">
        <v>1811</v>
      </c>
      <c r="C9809" t="s">
        <v>8</v>
      </c>
      <c r="D9809" t="s">
        <v>138</v>
      </c>
      <c r="E9809">
        <v>194.84800000000001</v>
      </c>
      <c r="F9809">
        <v>4</v>
      </c>
      <c r="G9809">
        <v>0.2</v>
      </c>
      <c r="H9809">
        <v>12.178000000000001</v>
      </c>
      <c r="U9809">
        <v>12.178000000000001</v>
      </c>
    </row>
    <row r="9810" spans="1:21" x14ac:dyDescent="0.35">
      <c r="A9810" t="s">
        <v>997</v>
      </c>
      <c r="B9810" t="s">
        <v>2321</v>
      </c>
      <c r="C9810" t="s">
        <v>35</v>
      </c>
      <c r="D9810" t="s">
        <v>1769</v>
      </c>
      <c r="E9810">
        <v>2.1120000000000001</v>
      </c>
      <c r="F9810">
        <v>2</v>
      </c>
      <c r="G9810">
        <v>0.8</v>
      </c>
      <c r="H9810">
        <v>-3.3792</v>
      </c>
      <c r="U9810">
        <v>-3.3792</v>
      </c>
    </row>
    <row r="9811" spans="1:21" x14ac:dyDescent="0.35">
      <c r="A9811" s="1">
        <v>41831</v>
      </c>
      <c r="B9811" t="s">
        <v>752</v>
      </c>
      <c r="C9811" t="s">
        <v>13</v>
      </c>
      <c r="D9811" t="s">
        <v>187</v>
      </c>
      <c r="E9811">
        <v>25.92</v>
      </c>
      <c r="F9811">
        <v>5</v>
      </c>
      <c r="G9811">
        <v>0.2</v>
      </c>
      <c r="H9811">
        <v>9.0719999999999992</v>
      </c>
      <c r="U9811">
        <v>9.0719999999999992</v>
      </c>
    </row>
    <row r="9812" spans="1:21" x14ac:dyDescent="0.35">
      <c r="A9812" s="1">
        <v>41831</v>
      </c>
      <c r="B9812" t="s">
        <v>752</v>
      </c>
      <c r="C9812" t="s">
        <v>13</v>
      </c>
      <c r="D9812" t="s">
        <v>1616</v>
      </c>
      <c r="E9812">
        <v>120.768</v>
      </c>
      <c r="F9812">
        <v>4</v>
      </c>
      <c r="G9812">
        <v>0.2</v>
      </c>
      <c r="H9812">
        <v>9.0576000000000008</v>
      </c>
      <c r="U9812">
        <v>9.0576000000000008</v>
      </c>
    </row>
    <row r="9813" spans="1:21" x14ac:dyDescent="0.35">
      <c r="A9813" t="s">
        <v>1819</v>
      </c>
      <c r="B9813" t="s">
        <v>374</v>
      </c>
      <c r="C9813" t="s">
        <v>55</v>
      </c>
      <c r="D9813" t="s">
        <v>2210</v>
      </c>
      <c r="E9813">
        <v>25.92</v>
      </c>
      <c r="F9813">
        <v>4</v>
      </c>
      <c r="G9813">
        <v>0</v>
      </c>
      <c r="H9813">
        <v>12.441599999999999</v>
      </c>
      <c r="U9813">
        <v>12.441599999999999</v>
      </c>
    </row>
    <row r="9814" spans="1:21" x14ac:dyDescent="0.35">
      <c r="A9814" t="s">
        <v>1819</v>
      </c>
      <c r="B9814" t="s">
        <v>374</v>
      </c>
      <c r="C9814" t="s">
        <v>55</v>
      </c>
      <c r="D9814" t="s">
        <v>635</v>
      </c>
      <c r="E9814">
        <v>34.65</v>
      </c>
      <c r="F9814">
        <v>3</v>
      </c>
      <c r="G9814">
        <v>0</v>
      </c>
      <c r="H9814">
        <v>9.702</v>
      </c>
      <c r="U9814">
        <v>9.702</v>
      </c>
    </row>
    <row r="9815" spans="1:21" x14ac:dyDescent="0.35">
      <c r="A9815" t="s">
        <v>1819</v>
      </c>
      <c r="B9815" t="s">
        <v>374</v>
      </c>
      <c r="C9815" t="s">
        <v>55</v>
      </c>
      <c r="D9815" t="s">
        <v>1426</v>
      </c>
      <c r="E9815">
        <v>204.95</v>
      </c>
      <c r="F9815">
        <v>5</v>
      </c>
      <c r="G9815">
        <v>0</v>
      </c>
      <c r="H9815">
        <v>100.4255</v>
      </c>
      <c r="U9815">
        <v>100.4255</v>
      </c>
    </row>
    <row r="9816" spans="1:21" x14ac:dyDescent="0.35">
      <c r="A9816" t="s">
        <v>1819</v>
      </c>
      <c r="B9816" t="s">
        <v>374</v>
      </c>
      <c r="C9816" t="s">
        <v>55</v>
      </c>
      <c r="D9816" t="s">
        <v>2192</v>
      </c>
      <c r="E9816">
        <v>79.95</v>
      </c>
      <c r="F9816">
        <v>5</v>
      </c>
      <c r="G9816">
        <v>0</v>
      </c>
      <c r="H9816">
        <v>38.375999999999998</v>
      </c>
      <c r="U9816">
        <v>38.375999999999998</v>
      </c>
    </row>
    <row r="9817" spans="1:21" x14ac:dyDescent="0.35">
      <c r="A9817" s="1">
        <v>42222</v>
      </c>
      <c r="B9817" t="s">
        <v>499</v>
      </c>
      <c r="C9817" t="s">
        <v>8</v>
      </c>
      <c r="D9817" t="s">
        <v>2092</v>
      </c>
      <c r="E9817">
        <v>173.488</v>
      </c>
      <c r="F9817">
        <v>7</v>
      </c>
      <c r="G9817">
        <v>0.2</v>
      </c>
      <c r="H9817">
        <v>54.215000000000003</v>
      </c>
      <c r="U9817">
        <v>54.215000000000003</v>
      </c>
    </row>
    <row r="9818" spans="1:21" x14ac:dyDescent="0.35">
      <c r="A9818" s="1">
        <v>42222</v>
      </c>
      <c r="B9818" t="s">
        <v>499</v>
      </c>
      <c r="C9818" t="s">
        <v>8</v>
      </c>
      <c r="D9818" t="s">
        <v>1327</v>
      </c>
      <c r="E9818">
        <v>516.96</v>
      </c>
      <c r="F9818">
        <v>4</v>
      </c>
      <c r="G9818">
        <v>0.2</v>
      </c>
      <c r="H9818">
        <v>-6.4619999999999997</v>
      </c>
      <c r="U9818">
        <v>-6.4619999999999997</v>
      </c>
    </row>
    <row r="9819" spans="1:21" x14ac:dyDescent="0.35">
      <c r="A9819" s="1">
        <v>42222</v>
      </c>
      <c r="B9819" t="s">
        <v>499</v>
      </c>
      <c r="C9819" t="s">
        <v>8</v>
      </c>
      <c r="D9819" t="s">
        <v>2237</v>
      </c>
      <c r="E9819">
        <v>173.208</v>
      </c>
      <c r="F9819">
        <v>7</v>
      </c>
      <c r="G9819">
        <v>0.2</v>
      </c>
      <c r="H9819">
        <v>45.467100000000002</v>
      </c>
      <c r="U9819">
        <v>45.467100000000002</v>
      </c>
    </row>
    <row r="9820" spans="1:21" x14ac:dyDescent="0.35">
      <c r="A9820" s="1">
        <v>42222</v>
      </c>
      <c r="B9820" t="s">
        <v>499</v>
      </c>
      <c r="C9820" t="s">
        <v>8</v>
      </c>
      <c r="D9820" t="s">
        <v>847</v>
      </c>
      <c r="E9820">
        <v>4.4480000000000004</v>
      </c>
      <c r="F9820">
        <v>2</v>
      </c>
      <c r="G9820">
        <v>0.2</v>
      </c>
      <c r="H9820">
        <v>0.33360000000000001</v>
      </c>
      <c r="U9820">
        <v>0.33360000000000001</v>
      </c>
    </row>
    <row r="9821" spans="1:21" x14ac:dyDescent="0.35">
      <c r="A9821" s="1">
        <v>42222</v>
      </c>
      <c r="B9821" t="s">
        <v>499</v>
      </c>
      <c r="C9821" t="s">
        <v>8</v>
      </c>
      <c r="D9821" t="s">
        <v>2393</v>
      </c>
      <c r="E9821">
        <v>9</v>
      </c>
      <c r="F9821">
        <v>3</v>
      </c>
      <c r="G9821">
        <v>0.2</v>
      </c>
      <c r="H9821">
        <v>3.15</v>
      </c>
      <c r="U9821">
        <v>3.15</v>
      </c>
    </row>
    <row r="9822" spans="1:21" x14ac:dyDescent="0.35">
      <c r="A9822" s="1">
        <v>42222</v>
      </c>
      <c r="B9822" t="s">
        <v>499</v>
      </c>
      <c r="C9822" t="s">
        <v>8</v>
      </c>
      <c r="D9822" t="s">
        <v>2601</v>
      </c>
      <c r="E9822">
        <v>42.24</v>
      </c>
      <c r="F9822">
        <v>10</v>
      </c>
      <c r="G9822">
        <v>0.2</v>
      </c>
      <c r="H9822">
        <v>13.2</v>
      </c>
      <c r="U9822">
        <v>13.2</v>
      </c>
    </row>
    <row r="9823" spans="1:21" x14ac:dyDescent="0.35">
      <c r="A9823" s="1">
        <v>42222</v>
      </c>
      <c r="B9823" t="s">
        <v>499</v>
      </c>
      <c r="C9823" t="s">
        <v>8</v>
      </c>
      <c r="D9823" t="s">
        <v>879</v>
      </c>
      <c r="E9823">
        <v>18.263999999999999</v>
      </c>
      <c r="F9823">
        <v>2</v>
      </c>
      <c r="G9823">
        <v>0.7</v>
      </c>
      <c r="H9823">
        <v>-13.393599999999999</v>
      </c>
      <c r="U9823">
        <v>-13.393599999999999</v>
      </c>
    </row>
    <row r="9824" spans="1:21" x14ac:dyDescent="0.35">
      <c r="A9824" t="s">
        <v>940</v>
      </c>
      <c r="B9824" t="s">
        <v>868</v>
      </c>
      <c r="C9824" t="s">
        <v>13</v>
      </c>
      <c r="D9824" t="s">
        <v>987</v>
      </c>
      <c r="E9824">
        <v>152.91</v>
      </c>
      <c r="F9824">
        <v>3</v>
      </c>
      <c r="G9824">
        <v>0</v>
      </c>
      <c r="H9824">
        <v>42.814799999999998</v>
      </c>
      <c r="U9824">
        <v>42.814799999999998</v>
      </c>
    </row>
    <row r="9825" spans="1:21" x14ac:dyDescent="0.35">
      <c r="A9825" t="s">
        <v>940</v>
      </c>
      <c r="B9825" t="s">
        <v>868</v>
      </c>
      <c r="C9825" t="s">
        <v>13</v>
      </c>
      <c r="D9825" t="s">
        <v>1777</v>
      </c>
      <c r="E9825">
        <v>92.94</v>
      </c>
      <c r="F9825">
        <v>3</v>
      </c>
      <c r="G9825">
        <v>0</v>
      </c>
      <c r="H9825">
        <v>41.823</v>
      </c>
      <c r="U9825">
        <v>41.823</v>
      </c>
    </row>
    <row r="9826" spans="1:21" x14ac:dyDescent="0.35">
      <c r="A9826" t="s">
        <v>940</v>
      </c>
      <c r="B9826" t="s">
        <v>868</v>
      </c>
      <c r="C9826" t="s">
        <v>13</v>
      </c>
      <c r="D9826" t="s">
        <v>164</v>
      </c>
      <c r="E9826">
        <v>17.856000000000002</v>
      </c>
      <c r="F9826">
        <v>4</v>
      </c>
      <c r="G9826">
        <v>0.2</v>
      </c>
      <c r="H9826">
        <v>6.2496</v>
      </c>
      <c r="U9826">
        <v>6.2496</v>
      </c>
    </row>
    <row r="9827" spans="1:21" x14ac:dyDescent="0.35">
      <c r="A9827" t="s">
        <v>940</v>
      </c>
      <c r="B9827" t="s">
        <v>868</v>
      </c>
      <c r="C9827" t="s">
        <v>13</v>
      </c>
      <c r="D9827" t="s">
        <v>1093</v>
      </c>
      <c r="E9827">
        <v>46.44</v>
      </c>
      <c r="F9827">
        <v>3</v>
      </c>
      <c r="G9827">
        <v>0.2</v>
      </c>
      <c r="H9827">
        <v>15.093</v>
      </c>
      <c r="U9827">
        <v>15.093</v>
      </c>
    </row>
    <row r="9828" spans="1:21" x14ac:dyDescent="0.35">
      <c r="A9828" t="s">
        <v>940</v>
      </c>
      <c r="B9828" t="s">
        <v>868</v>
      </c>
      <c r="C9828" t="s">
        <v>13</v>
      </c>
      <c r="D9828" t="s">
        <v>1951</v>
      </c>
      <c r="E9828">
        <v>195.136</v>
      </c>
      <c r="F9828">
        <v>4</v>
      </c>
      <c r="G9828">
        <v>0.2</v>
      </c>
      <c r="H9828">
        <v>-12.196</v>
      </c>
      <c r="U9828">
        <v>-12.196</v>
      </c>
    </row>
    <row r="9829" spans="1:21" x14ac:dyDescent="0.35">
      <c r="A9829" t="s">
        <v>597</v>
      </c>
      <c r="B9829" t="s">
        <v>185</v>
      </c>
      <c r="C9829" t="s">
        <v>55</v>
      </c>
      <c r="D9829" t="s">
        <v>1014</v>
      </c>
      <c r="E9829">
        <v>129.30000000000001</v>
      </c>
      <c r="F9829">
        <v>2</v>
      </c>
      <c r="G9829">
        <v>0</v>
      </c>
      <c r="H9829">
        <v>6.4649999999999999</v>
      </c>
      <c r="U9829">
        <v>6.4649999999999999</v>
      </c>
    </row>
    <row r="9830" spans="1:21" x14ac:dyDescent="0.35">
      <c r="A9830" t="s">
        <v>597</v>
      </c>
      <c r="B9830" t="s">
        <v>185</v>
      </c>
      <c r="C9830" t="s">
        <v>55</v>
      </c>
      <c r="D9830" t="s">
        <v>988</v>
      </c>
      <c r="E9830">
        <v>11.568</v>
      </c>
      <c r="F9830">
        <v>3</v>
      </c>
      <c r="G9830">
        <v>0.2</v>
      </c>
      <c r="H9830">
        <v>3.7595999999999998</v>
      </c>
      <c r="U9830">
        <v>3.7595999999999998</v>
      </c>
    </row>
    <row r="9831" spans="1:21" x14ac:dyDescent="0.35">
      <c r="A9831" t="s">
        <v>53</v>
      </c>
      <c r="B9831" t="s">
        <v>718</v>
      </c>
      <c r="C9831" t="s">
        <v>8</v>
      </c>
      <c r="D9831" t="s">
        <v>84</v>
      </c>
      <c r="E9831">
        <v>242.352</v>
      </c>
      <c r="F9831">
        <v>3</v>
      </c>
      <c r="G9831">
        <v>0.2</v>
      </c>
      <c r="H9831">
        <v>15.147</v>
      </c>
      <c r="U9831">
        <v>15.147</v>
      </c>
    </row>
    <row r="9832" spans="1:21" x14ac:dyDescent="0.35">
      <c r="A9832" t="s">
        <v>1236</v>
      </c>
      <c r="B9832" t="s">
        <v>996</v>
      </c>
      <c r="C9832" t="s">
        <v>35</v>
      </c>
      <c r="D9832" t="s">
        <v>2109</v>
      </c>
      <c r="E9832">
        <v>319.96800000000002</v>
      </c>
      <c r="F9832">
        <v>4</v>
      </c>
      <c r="G9832">
        <v>0.2</v>
      </c>
      <c r="H9832">
        <v>95.990399999999994</v>
      </c>
      <c r="U9832">
        <v>95.990399999999994</v>
      </c>
    </row>
    <row r="9833" spans="1:21" x14ac:dyDescent="0.35">
      <c r="A9833" t="s">
        <v>1236</v>
      </c>
      <c r="B9833" t="s">
        <v>996</v>
      </c>
      <c r="C9833" t="s">
        <v>35</v>
      </c>
      <c r="D9833" t="s">
        <v>114</v>
      </c>
      <c r="E9833">
        <v>8.6240000000000006</v>
      </c>
      <c r="F9833">
        <v>7</v>
      </c>
      <c r="G9833">
        <v>0.6</v>
      </c>
      <c r="H9833">
        <v>-2.5872000000000002</v>
      </c>
      <c r="U9833">
        <v>-2.5872000000000002</v>
      </c>
    </row>
    <row r="9834" spans="1:21" x14ac:dyDescent="0.35">
      <c r="A9834" t="s">
        <v>1852</v>
      </c>
      <c r="B9834" t="s">
        <v>2223</v>
      </c>
      <c r="C9834" t="s">
        <v>35</v>
      </c>
      <c r="D9834" t="s">
        <v>1728</v>
      </c>
      <c r="E9834">
        <v>3.984</v>
      </c>
      <c r="F9834">
        <v>1</v>
      </c>
      <c r="G9834">
        <v>0.2</v>
      </c>
      <c r="H9834">
        <v>1.4441999999999999</v>
      </c>
      <c r="U9834">
        <v>1.4441999999999999</v>
      </c>
    </row>
    <row r="9835" spans="1:21" x14ac:dyDescent="0.35">
      <c r="A9835" t="s">
        <v>148</v>
      </c>
      <c r="B9835" t="s">
        <v>1398</v>
      </c>
      <c r="C9835" t="s">
        <v>55</v>
      </c>
      <c r="D9835" t="s">
        <v>519</v>
      </c>
      <c r="E9835">
        <v>895.94399999999996</v>
      </c>
      <c r="F9835">
        <v>7</v>
      </c>
      <c r="G9835">
        <v>0.2</v>
      </c>
      <c r="H9835">
        <v>190.38810000000001</v>
      </c>
      <c r="U9835">
        <v>190.38810000000001</v>
      </c>
    </row>
    <row r="9836" spans="1:21" x14ac:dyDescent="0.35">
      <c r="A9836" s="1">
        <v>42653</v>
      </c>
      <c r="B9836" t="s">
        <v>1990</v>
      </c>
      <c r="C9836" t="s">
        <v>35</v>
      </c>
      <c r="D9836" t="s">
        <v>2266</v>
      </c>
      <c r="E9836">
        <v>14</v>
      </c>
      <c r="F9836">
        <v>4</v>
      </c>
      <c r="G9836">
        <v>0.6</v>
      </c>
      <c r="H9836">
        <v>-6.3</v>
      </c>
      <c r="U9836">
        <v>-6.3</v>
      </c>
    </row>
    <row r="9837" spans="1:21" x14ac:dyDescent="0.35">
      <c r="A9837" s="1">
        <v>42653</v>
      </c>
      <c r="B9837" t="s">
        <v>1990</v>
      </c>
      <c r="C9837" t="s">
        <v>35</v>
      </c>
      <c r="D9837" t="s">
        <v>1376</v>
      </c>
      <c r="E9837">
        <v>16.391999999999999</v>
      </c>
      <c r="F9837">
        <v>2</v>
      </c>
      <c r="G9837">
        <v>0.8</v>
      </c>
      <c r="H9837">
        <v>-26.2272</v>
      </c>
      <c r="U9837">
        <v>-26.2272</v>
      </c>
    </row>
    <row r="9838" spans="1:21" x14ac:dyDescent="0.35">
      <c r="A9838" t="s">
        <v>1617</v>
      </c>
      <c r="B9838" t="s">
        <v>1117</v>
      </c>
      <c r="C9838" t="s">
        <v>13</v>
      </c>
      <c r="D9838" t="s">
        <v>1421</v>
      </c>
      <c r="E9838">
        <v>10.9</v>
      </c>
      <c r="F9838">
        <v>5</v>
      </c>
      <c r="G9838">
        <v>0</v>
      </c>
      <c r="H9838">
        <v>5.1230000000000002</v>
      </c>
      <c r="U9838">
        <v>5.1230000000000002</v>
      </c>
    </row>
    <row r="9839" spans="1:21" x14ac:dyDescent="0.35">
      <c r="A9839" t="s">
        <v>1617</v>
      </c>
      <c r="B9839" t="s">
        <v>1117</v>
      </c>
      <c r="C9839" t="s">
        <v>13</v>
      </c>
      <c r="D9839" t="s">
        <v>812</v>
      </c>
      <c r="E9839">
        <v>29.6</v>
      </c>
      <c r="F9839">
        <v>2</v>
      </c>
      <c r="G9839">
        <v>0</v>
      </c>
      <c r="H9839">
        <v>14.8</v>
      </c>
      <c r="U9839">
        <v>14.8</v>
      </c>
    </row>
    <row r="9840" spans="1:21" x14ac:dyDescent="0.35">
      <c r="A9840" t="s">
        <v>1617</v>
      </c>
      <c r="B9840" t="s">
        <v>1117</v>
      </c>
      <c r="C9840" t="s">
        <v>13</v>
      </c>
      <c r="D9840" t="s">
        <v>1842</v>
      </c>
      <c r="E9840">
        <v>4.9800000000000004</v>
      </c>
      <c r="F9840">
        <v>1</v>
      </c>
      <c r="G9840">
        <v>0</v>
      </c>
      <c r="H9840">
        <v>2.2907999999999999</v>
      </c>
      <c r="U9840">
        <v>2.2907999999999999</v>
      </c>
    </row>
    <row r="9841" spans="1:21" x14ac:dyDescent="0.35">
      <c r="A9841" t="s">
        <v>1617</v>
      </c>
      <c r="B9841" t="s">
        <v>1117</v>
      </c>
      <c r="C9841" t="s">
        <v>13</v>
      </c>
      <c r="D9841" t="s">
        <v>2541</v>
      </c>
      <c r="E9841">
        <v>479.976</v>
      </c>
      <c r="F9841">
        <v>3</v>
      </c>
      <c r="G9841">
        <v>0.2</v>
      </c>
      <c r="H9841">
        <v>161.99189999999999</v>
      </c>
      <c r="U9841">
        <v>161.99189999999999</v>
      </c>
    </row>
    <row r="9842" spans="1:21" x14ac:dyDescent="0.35">
      <c r="A9842" t="s">
        <v>1617</v>
      </c>
      <c r="B9842" t="s">
        <v>1117</v>
      </c>
      <c r="C9842" t="s">
        <v>13</v>
      </c>
      <c r="D9842" t="s">
        <v>2570</v>
      </c>
      <c r="E9842">
        <v>44.735999999999997</v>
      </c>
      <c r="F9842">
        <v>8</v>
      </c>
      <c r="G9842">
        <v>0.2</v>
      </c>
      <c r="H9842">
        <v>4.4736000000000002</v>
      </c>
      <c r="U9842">
        <v>4.4736000000000002</v>
      </c>
    </row>
    <row r="9843" spans="1:21" x14ac:dyDescent="0.35">
      <c r="A9843" t="s">
        <v>1617</v>
      </c>
      <c r="B9843" t="s">
        <v>1117</v>
      </c>
      <c r="C9843" t="s">
        <v>13</v>
      </c>
      <c r="D9843" t="s">
        <v>1412</v>
      </c>
      <c r="E9843">
        <v>5.76</v>
      </c>
      <c r="F9843">
        <v>2</v>
      </c>
      <c r="G9843">
        <v>0</v>
      </c>
      <c r="H9843">
        <v>1.6704000000000001</v>
      </c>
      <c r="U9843">
        <v>1.6704000000000001</v>
      </c>
    </row>
    <row r="9844" spans="1:21" x14ac:dyDescent="0.35">
      <c r="A9844" t="s">
        <v>1617</v>
      </c>
      <c r="B9844" t="s">
        <v>1117</v>
      </c>
      <c r="C9844" t="s">
        <v>13</v>
      </c>
      <c r="D9844" t="s">
        <v>1177</v>
      </c>
      <c r="E9844">
        <v>483.13600000000002</v>
      </c>
      <c r="F9844">
        <v>4</v>
      </c>
      <c r="G9844">
        <v>0.2</v>
      </c>
      <c r="H9844">
        <v>60.392000000000003</v>
      </c>
      <c r="U9844">
        <v>60.392000000000003</v>
      </c>
    </row>
    <row r="9845" spans="1:21" x14ac:dyDescent="0.35">
      <c r="A9845" s="1">
        <v>41704</v>
      </c>
      <c r="B9845" t="s">
        <v>2294</v>
      </c>
      <c r="C9845" t="s">
        <v>35</v>
      </c>
      <c r="D9845" t="s">
        <v>1842</v>
      </c>
      <c r="E9845">
        <v>15.936</v>
      </c>
      <c r="F9845">
        <v>4</v>
      </c>
      <c r="G9845">
        <v>0.2</v>
      </c>
      <c r="H9845">
        <v>5.1791999999999998</v>
      </c>
      <c r="U9845">
        <v>5.1791999999999998</v>
      </c>
    </row>
    <row r="9846" spans="1:21" x14ac:dyDescent="0.35">
      <c r="A9846" s="1">
        <v>41704</v>
      </c>
      <c r="B9846" t="s">
        <v>2294</v>
      </c>
      <c r="C9846" t="s">
        <v>35</v>
      </c>
      <c r="D9846" t="s">
        <v>926</v>
      </c>
      <c r="E9846">
        <v>61.543999999999997</v>
      </c>
      <c r="F9846">
        <v>7</v>
      </c>
      <c r="G9846">
        <v>0.6</v>
      </c>
      <c r="H9846">
        <v>-40.003599999999999</v>
      </c>
      <c r="U9846">
        <v>-40.003599999999999</v>
      </c>
    </row>
    <row r="9847" spans="1:21" x14ac:dyDescent="0.35">
      <c r="A9847" s="1">
        <v>41704</v>
      </c>
      <c r="B9847" t="s">
        <v>2294</v>
      </c>
      <c r="C9847" t="s">
        <v>35</v>
      </c>
      <c r="D9847" t="s">
        <v>1822</v>
      </c>
      <c r="E9847">
        <v>132.696</v>
      </c>
      <c r="F9847">
        <v>3</v>
      </c>
      <c r="G9847">
        <v>0.2</v>
      </c>
      <c r="H9847">
        <v>9.9521999999999995</v>
      </c>
      <c r="U9847">
        <v>9.9521999999999995</v>
      </c>
    </row>
    <row r="9848" spans="1:21" x14ac:dyDescent="0.35">
      <c r="A9848" s="1">
        <v>42775</v>
      </c>
      <c r="B9848" t="s">
        <v>2603</v>
      </c>
      <c r="C9848" t="s">
        <v>13</v>
      </c>
      <c r="D9848" t="s">
        <v>52</v>
      </c>
      <c r="E9848">
        <v>43.1</v>
      </c>
      <c r="F9848">
        <v>5</v>
      </c>
      <c r="G9848">
        <v>0</v>
      </c>
      <c r="H9848">
        <v>11.206</v>
      </c>
      <c r="U9848">
        <v>11.206</v>
      </c>
    </row>
    <row r="9849" spans="1:21" x14ac:dyDescent="0.35">
      <c r="A9849" s="1">
        <v>42775</v>
      </c>
      <c r="B9849" t="s">
        <v>2603</v>
      </c>
      <c r="C9849" t="s">
        <v>13</v>
      </c>
      <c r="D9849" t="s">
        <v>1290</v>
      </c>
      <c r="E9849">
        <v>511.5</v>
      </c>
      <c r="F9849">
        <v>5</v>
      </c>
      <c r="G9849">
        <v>0</v>
      </c>
      <c r="H9849">
        <v>132.99</v>
      </c>
      <c r="U9849">
        <v>132.99</v>
      </c>
    </row>
    <row r="9850" spans="1:21" x14ac:dyDescent="0.35">
      <c r="A9850" s="1">
        <v>42775</v>
      </c>
      <c r="B9850" t="s">
        <v>2603</v>
      </c>
      <c r="C9850" t="s">
        <v>13</v>
      </c>
      <c r="D9850" t="s">
        <v>1381</v>
      </c>
      <c r="E9850">
        <v>147.91999999999999</v>
      </c>
      <c r="F9850">
        <v>5</v>
      </c>
      <c r="G9850">
        <v>0.2</v>
      </c>
      <c r="H9850">
        <v>46.225000000000001</v>
      </c>
      <c r="U9850">
        <v>46.225000000000001</v>
      </c>
    </row>
    <row r="9851" spans="1:21" x14ac:dyDescent="0.35">
      <c r="A9851" s="1">
        <v>41977</v>
      </c>
      <c r="B9851" t="s">
        <v>1902</v>
      </c>
      <c r="C9851" t="s">
        <v>13</v>
      </c>
      <c r="D9851" t="s">
        <v>2417</v>
      </c>
      <c r="E9851">
        <v>39.68</v>
      </c>
      <c r="F9851">
        <v>2</v>
      </c>
      <c r="G9851">
        <v>0</v>
      </c>
      <c r="H9851">
        <v>16.268799999999999</v>
      </c>
      <c r="U9851">
        <v>16.268799999999999</v>
      </c>
    </row>
    <row r="9852" spans="1:21" x14ac:dyDescent="0.35">
      <c r="A9852" s="1">
        <v>42405</v>
      </c>
      <c r="B9852" t="s">
        <v>1902</v>
      </c>
      <c r="C9852" t="s">
        <v>55</v>
      </c>
      <c r="D9852" t="s">
        <v>991</v>
      </c>
      <c r="E9852">
        <v>12.56</v>
      </c>
      <c r="F9852">
        <v>2</v>
      </c>
      <c r="G9852">
        <v>0</v>
      </c>
      <c r="H9852">
        <v>4.0191999999999997</v>
      </c>
      <c r="U9852">
        <v>4.0191999999999997</v>
      </c>
    </row>
    <row r="9853" spans="1:21" x14ac:dyDescent="0.35">
      <c r="A9853" s="1">
        <v>42405</v>
      </c>
      <c r="B9853" t="s">
        <v>1902</v>
      </c>
      <c r="C9853" t="s">
        <v>55</v>
      </c>
      <c r="D9853" t="s">
        <v>840</v>
      </c>
      <c r="E9853">
        <v>90.48</v>
      </c>
      <c r="F9853">
        <v>3</v>
      </c>
      <c r="G9853">
        <v>0.2</v>
      </c>
      <c r="H9853">
        <v>33.93</v>
      </c>
      <c r="U9853">
        <v>33.93</v>
      </c>
    </row>
    <row r="9854" spans="1:21" x14ac:dyDescent="0.35">
      <c r="A9854" s="1">
        <v>42405</v>
      </c>
      <c r="B9854" t="s">
        <v>1902</v>
      </c>
      <c r="C9854" t="s">
        <v>55</v>
      </c>
      <c r="D9854" t="s">
        <v>1942</v>
      </c>
      <c r="E9854">
        <v>13.08</v>
      </c>
      <c r="F9854">
        <v>2</v>
      </c>
      <c r="G9854">
        <v>0</v>
      </c>
      <c r="H9854">
        <v>6.0167999999999999</v>
      </c>
      <c r="U9854">
        <v>6.0167999999999999</v>
      </c>
    </row>
    <row r="9855" spans="1:21" x14ac:dyDescent="0.35">
      <c r="A9855" s="1">
        <v>42405</v>
      </c>
      <c r="B9855" t="s">
        <v>1902</v>
      </c>
      <c r="C9855" t="s">
        <v>55</v>
      </c>
      <c r="D9855" t="s">
        <v>1063</v>
      </c>
      <c r="E9855">
        <v>214.7</v>
      </c>
      <c r="F9855">
        <v>5</v>
      </c>
      <c r="G9855">
        <v>0</v>
      </c>
      <c r="H9855">
        <v>83.733000000000004</v>
      </c>
      <c r="U9855">
        <v>83.733000000000004</v>
      </c>
    </row>
    <row r="9856" spans="1:21" x14ac:dyDescent="0.35">
      <c r="A9856" t="s">
        <v>597</v>
      </c>
      <c r="B9856" t="s">
        <v>2223</v>
      </c>
      <c r="C9856" t="s">
        <v>13</v>
      </c>
      <c r="D9856" t="s">
        <v>2450</v>
      </c>
      <c r="E9856">
        <v>50.32</v>
      </c>
      <c r="F9856">
        <v>4</v>
      </c>
      <c r="G9856">
        <v>0</v>
      </c>
      <c r="H9856">
        <v>21.134399999999999</v>
      </c>
      <c r="U9856">
        <v>21.134399999999999</v>
      </c>
    </row>
    <row r="9857" spans="1:21" x14ac:dyDescent="0.35">
      <c r="A9857" t="s">
        <v>597</v>
      </c>
      <c r="B9857" t="s">
        <v>2223</v>
      </c>
      <c r="C9857" t="s">
        <v>13</v>
      </c>
      <c r="D9857" t="s">
        <v>2311</v>
      </c>
      <c r="E9857">
        <v>24.56</v>
      </c>
      <c r="F9857">
        <v>2</v>
      </c>
      <c r="G9857">
        <v>0</v>
      </c>
      <c r="H9857">
        <v>11.543200000000001</v>
      </c>
      <c r="U9857">
        <v>11.543200000000001</v>
      </c>
    </row>
    <row r="9858" spans="1:21" x14ac:dyDescent="0.35">
      <c r="A9858" s="1">
        <v>41801</v>
      </c>
      <c r="B9858" t="s">
        <v>2223</v>
      </c>
      <c r="C9858" t="s">
        <v>8</v>
      </c>
      <c r="D9858" t="s">
        <v>126</v>
      </c>
      <c r="E9858">
        <v>43.68</v>
      </c>
      <c r="F9858">
        <v>6</v>
      </c>
      <c r="G9858">
        <v>0</v>
      </c>
      <c r="H9858">
        <v>20.9664</v>
      </c>
      <c r="U9858">
        <v>20.9664</v>
      </c>
    </row>
    <row r="9859" spans="1:21" x14ac:dyDescent="0.35">
      <c r="A9859" t="s">
        <v>861</v>
      </c>
      <c r="B9859" t="s">
        <v>913</v>
      </c>
      <c r="C9859" t="s">
        <v>13</v>
      </c>
      <c r="D9859" t="s">
        <v>777</v>
      </c>
      <c r="E9859">
        <v>3393.68</v>
      </c>
      <c r="F9859">
        <v>8</v>
      </c>
      <c r="G9859">
        <v>0</v>
      </c>
      <c r="H9859">
        <v>610.86239999999998</v>
      </c>
      <c r="U9859">
        <v>610.86239999999998</v>
      </c>
    </row>
    <row r="9860" spans="1:21" x14ac:dyDescent="0.35">
      <c r="A9860" t="s">
        <v>1464</v>
      </c>
      <c r="B9860" t="s">
        <v>1347</v>
      </c>
      <c r="C9860" t="s">
        <v>35</v>
      </c>
      <c r="D9860" t="s">
        <v>297</v>
      </c>
      <c r="E9860">
        <v>67.400000000000006</v>
      </c>
      <c r="F9860">
        <v>5</v>
      </c>
      <c r="G9860">
        <v>0</v>
      </c>
      <c r="H9860">
        <v>17.524000000000001</v>
      </c>
      <c r="U9860">
        <v>17.524000000000001</v>
      </c>
    </row>
    <row r="9861" spans="1:21" x14ac:dyDescent="0.35">
      <c r="A9861" t="s">
        <v>1464</v>
      </c>
      <c r="B9861" t="s">
        <v>1347</v>
      </c>
      <c r="C9861" t="s">
        <v>35</v>
      </c>
      <c r="D9861" t="s">
        <v>480</v>
      </c>
      <c r="E9861">
        <v>2.52</v>
      </c>
      <c r="F9861">
        <v>2</v>
      </c>
      <c r="G9861">
        <v>0</v>
      </c>
      <c r="H9861">
        <v>0.1008</v>
      </c>
      <c r="U9861">
        <v>0.1008</v>
      </c>
    </row>
    <row r="9862" spans="1:21" x14ac:dyDescent="0.35">
      <c r="A9862" t="s">
        <v>1464</v>
      </c>
      <c r="B9862" t="s">
        <v>1347</v>
      </c>
      <c r="C9862" t="s">
        <v>35</v>
      </c>
      <c r="D9862" t="s">
        <v>1726</v>
      </c>
      <c r="E9862">
        <v>67.8</v>
      </c>
      <c r="F9862">
        <v>4</v>
      </c>
      <c r="G9862">
        <v>0</v>
      </c>
      <c r="H9862">
        <v>1.3560000000000001</v>
      </c>
      <c r="U9862">
        <v>1.3560000000000001</v>
      </c>
    </row>
    <row r="9863" spans="1:21" x14ac:dyDescent="0.35">
      <c r="A9863" t="s">
        <v>1464</v>
      </c>
      <c r="B9863" t="s">
        <v>1347</v>
      </c>
      <c r="C9863" t="s">
        <v>35</v>
      </c>
      <c r="D9863" t="s">
        <v>1206</v>
      </c>
      <c r="E9863">
        <v>18.760000000000002</v>
      </c>
      <c r="F9863">
        <v>2</v>
      </c>
      <c r="G9863">
        <v>0</v>
      </c>
      <c r="H9863">
        <v>5.2527999999999997</v>
      </c>
      <c r="U9863">
        <v>5.2527999999999997</v>
      </c>
    </row>
    <row r="9864" spans="1:21" x14ac:dyDescent="0.35">
      <c r="A9864" t="s">
        <v>1464</v>
      </c>
      <c r="B9864" t="s">
        <v>1347</v>
      </c>
      <c r="C9864" t="s">
        <v>35</v>
      </c>
      <c r="D9864" t="s">
        <v>806</v>
      </c>
      <c r="E9864">
        <v>12.12</v>
      </c>
      <c r="F9864">
        <v>4</v>
      </c>
      <c r="G9864">
        <v>0</v>
      </c>
      <c r="H9864">
        <v>2.5451999999999999</v>
      </c>
      <c r="U9864">
        <v>2.5451999999999999</v>
      </c>
    </row>
    <row r="9865" spans="1:21" x14ac:dyDescent="0.35">
      <c r="A9865" t="s">
        <v>1464</v>
      </c>
      <c r="B9865" t="s">
        <v>1347</v>
      </c>
      <c r="C9865" t="s">
        <v>35</v>
      </c>
      <c r="D9865" t="s">
        <v>1300</v>
      </c>
      <c r="E9865">
        <v>11.34</v>
      </c>
      <c r="F9865">
        <v>1</v>
      </c>
      <c r="G9865">
        <v>0</v>
      </c>
      <c r="H9865">
        <v>5.5566000000000004</v>
      </c>
      <c r="U9865">
        <v>5.5566000000000004</v>
      </c>
    </row>
    <row r="9866" spans="1:21" x14ac:dyDescent="0.35">
      <c r="A9866" t="s">
        <v>1464</v>
      </c>
      <c r="B9866" t="s">
        <v>1347</v>
      </c>
      <c r="C9866" t="s">
        <v>35</v>
      </c>
      <c r="D9866" t="s">
        <v>474</v>
      </c>
      <c r="E9866">
        <v>159.80000000000001</v>
      </c>
      <c r="F9866">
        <v>4</v>
      </c>
      <c r="G9866">
        <v>0</v>
      </c>
      <c r="H9866">
        <v>70.311999999999998</v>
      </c>
      <c r="U9866">
        <v>70.311999999999998</v>
      </c>
    </row>
    <row r="9867" spans="1:21" x14ac:dyDescent="0.35">
      <c r="A9867" t="s">
        <v>1464</v>
      </c>
      <c r="B9867" t="s">
        <v>1347</v>
      </c>
      <c r="C9867" t="s">
        <v>35</v>
      </c>
      <c r="D9867" t="s">
        <v>1895</v>
      </c>
      <c r="E9867">
        <v>18.96</v>
      </c>
      <c r="F9867">
        <v>2</v>
      </c>
      <c r="G9867">
        <v>0</v>
      </c>
      <c r="H9867">
        <v>8.532</v>
      </c>
      <c r="U9867">
        <v>8.532</v>
      </c>
    </row>
    <row r="9868" spans="1:21" x14ac:dyDescent="0.35">
      <c r="A9868" t="s">
        <v>861</v>
      </c>
      <c r="B9868" t="s">
        <v>1515</v>
      </c>
      <c r="C9868" t="s">
        <v>55</v>
      </c>
      <c r="D9868" t="s">
        <v>2260</v>
      </c>
      <c r="E9868">
        <v>1085.42</v>
      </c>
      <c r="F9868">
        <v>7</v>
      </c>
      <c r="G9868">
        <v>0</v>
      </c>
      <c r="H9868">
        <v>282.20920000000001</v>
      </c>
      <c r="U9868">
        <v>282.20920000000001</v>
      </c>
    </row>
    <row r="9869" spans="1:21" x14ac:dyDescent="0.35">
      <c r="A9869" t="s">
        <v>861</v>
      </c>
      <c r="B9869" t="s">
        <v>1515</v>
      </c>
      <c r="C9869" t="s">
        <v>55</v>
      </c>
      <c r="D9869" t="s">
        <v>2349</v>
      </c>
      <c r="E9869">
        <v>13.11</v>
      </c>
      <c r="F9869">
        <v>3</v>
      </c>
      <c r="G9869">
        <v>0</v>
      </c>
      <c r="H9869">
        <v>3.4085999999999999</v>
      </c>
      <c r="U9869">
        <v>3.4085999999999999</v>
      </c>
    </row>
    <row r="9870" spans="1:21" x14ac:dyDescent="0.35">
      <c r="A9870" s="1">
        <v>41650</v>
      </c>
      <c r="B9870" t="s">
        <v>430</v>
      </c>
      <c r="C9870" t="s">
        <v>55</v>
      </c>
      <c r="D9870" t="s">
        <v>1063</v>
      </c>
      <c r="E9870">
        <v>68.703999999999994</v>
      </c>
      <c r="F9870">
        <v>2</v>
      </c>
      <c r="G9870">
        <v>0.2</v>
      </c>
      <c r="H9870">
        <v>16.3172</v>
      </c>
      <c r="U9870">
        <v>16.3172</v>
      </c>
    </row>
    <row r="9871" spans="1:21" x14ac:dyDescent="0.35">
      <c r="A9871" s="1">
        <v>41650</v>
      </c>
      <c r="B9871" t="s">
        <v>430</v>
      </c>
      <c r="C9871" t="s">
        <v>55</v>
      </c>
      <c r="D9871" t="s">
        <v>2428</v>
      </c>
      <c r="E9871">
        <v>3.1320000000000001</v>
      </c>
      <c r="F9871">
        <v>2</v>
      </c>
      <c r="G9871">
        <v>0.7</v>
      </c>
      <c r="H9871">
        <v>-2.61</v>
      </c>
      <c r="U9871">
        <v>-2.61</v>
      </c>
    </row>
    <row r="9872" spans="1:21" x14ac:dyDescent="0.35">
      <c r="A9872" s="1">
        <v>41650</v>
      </c>
      <c r="B9872" t="s">
        <v>430</v>
      </c>
      <c r="C9872" t="s">
        <v>55</v>
      </c>
      <c r="D9872" t="s">
        <v>841</v>
      </c>
      <c r="E9872">
        <v>22.428000000000001</v>
      </c>
      <c r="F9872">
        <v>3</v>
      </c>
      <c r="G9872">
        <v>0.7</v>
      </c>
      <c r="H9872">
        <v>-17.942399999999999</v>
      </c>
      <c r="U9872">
        <v>-17.942399999999999</v>
      </c>
    </row>
    <row r="9873" spans="1:21" x14ac:dyDescent="0.35">
      <c r="A9873" s="1">
        <v>42896</v>
      </c>
      <c r="B9873" t="s">
        <v>2383</v>
      </c>
      <c r="C9873" t="s">
        <v>35</v>
      </c>
      <c r="D9873" t="s">
        <v>487</v>
      </c>
      <c r="E9873">
        <v>290.33600000000001</v>
      </c>
      <c r="F9873">
        <v>2</v>
      </c>
      <c r="G9873">
        <v>0.2</v>
      </c>
      <c r="H9873">
        <v>32.662799999999997</v>
      </c>
      <c r="U9873">
        <v>32.662799999999997</v>
      </c>
    </row>
    <row r="9874" spans="1:21" x14ac:dyDescent="0.35">
      <c r="A9874" s="1">
        <v>42896</v>
      </c>
      <c r="B9874" t="s">
        <v>2383</v>
      </c>
      <c r="C9874" t="s">
        <v>35</v>
      </c>
      <c r="D9874" t="s">
        <v>1342</v>
      </c>
      <c r="E9874">
        <v>19.152000000000001</v>
      </c>
      <c r="F9874">
        <v>2</v>
      </c>
      <c r="G9874">
        <v>0.2</v>
      </c>
      <c r="H9874">
        <v>1.1970000000000001</v>
      </c>
      <c r="U9874">
        <v>1.1970000000000001</v>
      </c>
    </row>
    <row r="9875" spans="1:21" x14ac:dyDescent="0.35">
      <c r="A9875" s="1">
        <v>42655</v>
      </c>
      <c r="B9875" t="s">
        <v>1311</v>
      </c>
      <c r="C9875" t="s">
        <v>55</v>
      </c>
      <c r="D9875" t="s">
        <v>2344</v>
      </c>
      <c r="E9875">
        <v>6.48</v>
      </c>
      <c r="F9875">
        <v>1</v>
      </c>
      <c r="G9875">
        <v>0</v>
      </c>
      <c r="H9875">
        <v>3.1103999999999998</v>
      </c>
      <c r="U9875">
        <v>3.1103999999999998</v>
      </c>
    </row>
    <row r="9876" spans="1:21" x14ac:dyDescent="0.35">
      <c r="A9876" t="s">
        <v>184</v>
      </c>
      <c r="B9876" t="s">
        <v>1659</v>
      </c>
      <c r="C9876" t="s">
        <v>55</v>
      </c>
      <c r="D9876" t="s">
        <v>1490</v>
      </c>
      <c r="E9876">
        <v>63.968000000000004</v>
      </c>
      <c r="F9876">
        <v>2</v>
      </c>
      <c r="G9876">
        <v>0.2</v>
      </c>
      <c r="H9876">
        <v>19.989999999999998</v>
      </c>
      <c r="U9876">
        <v>19.989999999999998</v>
      </c>
    </row>
    <row r="9877" spans="1:21" x14ac:dyDescent="0.35">
      <c r="A9877" t="s">
        <v>1966</v>
      </c>
      <c r="B9877" t="s">
        <v>690</v>
      </c>
      <c r="C9877" t="s">
        <v>55</v>
      </c>
      <c r="D9877" t="s">
        <v>2731</v>
      </c>
      <c r="E9877">
        <v>6.36</v>
      </c>
      <c r="F9877">
        <v>2</v>
      </c>
      <c r="G9877">
        <v>0</v>
      </c>
      <c r="H9877">
        <v>6.3600000000000004E-2</v>
      </c>
      <c r="U9877">
        <v>6.3600000000000004E-2</v>
      </c>
    </row>
    <row r="9878" spans="1:21" x14ac:dyDescent="0.35">
      <c r="A9878" t="s">
        <v>28</v>
      </c>
      <c r="B9878" t="s">
        <v>1835</v>
      </c>
      <c r="C9878" t="s">
        <v>55</v>
      </c>
      <c r="D9878" t="s">
        <v>1974</v>
      </c>
      <c r="E9878">
        <v>848.54399999999998</v>
      </c>
      <c r="F9878">
        <v>4</v>
      </c>
      <c r="G9878">
        <v>0.2</v>
      </c>
      <c r="H9878">
        <v>-21.2136</v>
      </c>
      <c r="U9878">
        <v>-21.2136</v>
      </c>
    </row>
    <row r="9879" spans="1:21" x14ac:dyDescent="0.35">
      <c r="A9879" t="s">
        <v>28</v>
      </c>
      <c r="B9879" t="s">
        <v>1835</v>
      </c>
      <c r="C9879" t="s">
        <v>55</v>
      </c>
      <c r="D9879" t="s">
        <v>2267</v>
      </c>
      <c r="E9879">
        <v>8.6999999999999993</v>
      </c>
      <c r="F9879">
        <v>5</v>
      </c>
      <c r="G9879">
        <v>0.7</v>
      </c>
      <c r="H9879">
        <v>-6.38</v>
      </c>
      <c r="U9879">
        <v>-6.38</v>
      </c>
    </row>
    <row r="9880" spans="1:21" x14ac:dyDescent="0.35">
      <c r="A9880" t="s">
        <v>28</v>
      </c>
      <c r="B9880" t="s">
        <v>1835</v>
      </c>
      <c r="C9880" t="s">
        <v>55</v>
      </c>
      <c r="D9880" t="s">
        <v>2657</v>
      </c>
      <c r="E9880">
        <v>122.38200000000001</v>
      </c>
      <c r="F9880">
        <v>3</v>
      </c>
      <c r="G9880">
        <v>0.4</v>
      </c>
      <c r="H9880">
        <v>-24.476400000000002</v>
      </c>
      <c r="U9880">
        <v>-24.476400000000002</v>
      </c>
    </row>
    <row r="9881" spans="1:21" x14ac:dyDescent="0.35">
      <c r="A9881" t="s">
        <v>984</v>
      </c>
      <c r="B9881" t="s">
        <v>1050</v>
      </c>
      <c r="C9881" t="s">
        <v>55</v>
      </c>
      <c r="D9881" t="s">
        <v>1590</v>
      </c>
      <c r="E9881">
        <v>573.17399999999998</v>
      </c>
      <c r="F9881">
        <v>7</v>
      </c>
      <c r="G9881">
        <v>0.1</v>
      </c>
      <c r="H9881">
        <v>63.686</v>
      </c>
      <c r="U9881">
        <v>63.686</v>
      </c>
    </row>
    <row r="9882" spans="1:21" x14ac:dyDescent="0.35">
      <c r="A9882" t="s">
        <v>1277</v>
      </c>
      <c r="B9882" t="s">
        <v>1393</v>
      </c>
      <c r="C9882" t="s">
        <v>55</v>
      </c>
      <c r="D9882" t="s">
        <v>75</v>
      </c>
      <c r="E9882">
        <v>85.055999999999997</v>
      </c>
      <c r="F9882">
        <v>3</v>
      </c>
      <c r="G9882">
        <v>0.2</v>
      </c>
      <c r="H9882">
        <v>28.706399999999999</v>
      </c>
      <c r="U9882">
        <v>28.706399999999999</v>
      </c>
    </row>
    <row r="9883" spans="1:21" x14ac:dyDescent="0.35">
      <c r="A9883" s="1">
        <v>41981</v>
      </c>
      <c r="B9883" t="s">
        <v>1230</v>
      </c>
      <c r="C9883" t="s">
        <v>8</v>
      </c>
      <c r="D9883" t="s">
        <v>1083</v>
      </c>
      <c r="E9883">
        <v>14.04</v>
      </c>
      <c r="F9883">
        <v>3</v>
      </c>
      <c r="G9883">
        <v>0</v>
      </c>
      <c r="H9883">
        <v>6.7392000000000003</v>
      </c>
      <c r="U9883">
        <v>6.7392000000000003</v>
      </c>
    </row>
    <row r="9884" spans="1:21" x14ac:dyDescent="0.35">
      <c r="A9884" s="1">
        <v>41981</v>
      </c>
      <c r="B9884" t="s">
        <v>1230</v>
      </c>
      <c r="C9884" t="s">
        <v>8</v>
      </c>
      <c r="D9884" t="s">
        <v>1529</v>
      </c>
      <c r="E9884">
        <v>272.61</v>
      </c>
      <c r="F9884">
        <v>13</v>
      </c>
      <c r="G9884">
        <v>0</v>
      </c>
      <c r="H9884">
        <v>98.139600000000002</v>
      </c>
      <c r="U9884">
        <v>98.139600000000002</v>
      </c>
    </row>
    <row r="9885" spans="1:21" x14ac:dyDescent="0.35">
      <c r="A9885" s="1">
        <v>41702</v>
      </c>
      <c r="B9885" t="s">
        <v>2439</v>
      </c>
      <c r="C9885" t="s">
        <v>13</v>
      </c>
      <c r="D9885" t="s">
        <v>314</v>
      </c>
      <c r="E9885">
        <v>11.16</v>
      </c>
      <c r="F9885">
        <v>2</v>
      </c>
      <c r="G9885">
        <v>0</v>
      </c>
      <c r="H9885">
        <v>5.58</v>
      </c>
      <c r="U9885">
        <v>5.58</v>
      </c>
    </row>
    <row r="9886" spans="1:21" x14ac:dyDescent="0.35">
      <c r="A9886" s="1">
        <v>41702</v>
      </c>
      <c r="B9886" t="s">
        <v>2439</v>
      </c>
      <c r="C9886" t="s">
        <v>13</v>
      </c>
      <c r="D9886" t="s">
        <v>1911</v>
      </c>
      <c r="E9886">
        <v>62.31</v>
      </c>
      <c r="F9886">
        <v>3</v>
      </c>
      <c r="G9886">
        <v>0</v>
      </c>
      <c r="H9886">
        <v>22.4316</v>
      </c>
      <c r="U9886">
        <v>22.4316</v>
      </c>
    </row>
    <row r="9887" spans="1:21" x14ac:dyDescent="0.35">
      <c r="A9887" s="1">
        <v>41702</v>
      </c>
      <c r="B9887" t="s">
        <v>2439</v>
      </c>
      <c r="C9887" t="s">
        <v>13</v>
      </c>
      <c r="D9887" t="s">
        <v>1798</v>
      </c>
      <c r="E9887">
        <v>159.97999999999999</v>
      </c>
      <c r="F9887">
        <v>2</v>
      </c>
      <c r="G9887">
        <v>0</v>
      </c>
      <c r="H9887">
        <v>57.592799999999997</v>
      </c>
      <c r="U9887">
        <v>57.592799999999997</v>
      </c>
    </row>
    <row r="9888" spans="1:21" x14ac:dyDescent="0.35">
      <c r="A9888" t="s">
        <v>2735</v>
      </c>
      <c r="B9888" t="s">
        <v>2099</v>
      </c>
      <c r="C9888" t="s">
        <v>35</v>
      </c>
      <c r="D9888" t="s">
        <v>910</v>
      </c>
      <c r="E9888">
        <v>5.94</v>
      </c>
      <c r="F9888">
        <v>3</v>
      </c>
      <c r="G9888">
        <v>0</v>
      </c>
      <c r="H9888">
        <v>0</v>
      </c>
      <c r="U9888">
        <v>0</v>
      </c>
    </row>
    <row r="9889" spans="1:21" x14ac:dyDescent="0.35">
      <c r="A9889" s="1">
        <v>43079</v>
      </c>
      <c r="B9889" t="s">
        <v>964</v>
      </c>
      <c r="C9889" t="s">
        <v>55</v>
      </c>
      <c r="D9889" t="s">
        <v>1956</v>
      </c>
      <c r="E9889">
        <v>9.9600000000000009</v>
      </c>
      <c r="F9889">
        <v>2</v>
      </c>
      <c r="G9889">
        <v>0</v>
      </c>
      <c r="H9889">
        <v>4.6811999999999996</v>
      </c>
      <c r="U9889">
        <v>4.6811999999999996</v>
      </c>
    </row>
    <row r="9890" spans="1:21" x14ac:dyDescent="0.35">
      <c r="A9890" s="1">
        <v>42224</v>
      </c>
      <c r="B9890" t="s">
        <v>1318</v>
      </c>
      <c r="C9890" t="s">
        <v>55</v>
      </c>
      <c r="D9890" t="s">
        <v>1798</v>
      </c>
      <c r="E9890">
        <v>79.989999999999995</v>
      </c>
      <c r="F9890">
        <v>1</v>
      </c>
      <c r="G9890">
        <v>0</v>
      </c>
      <c r="H9890">
        <v>28.796399999999998</v>
      </c>
      <c r="U9890">
        <v>28.796399999999998</v>
      </c>
    </row>
    <row r="9891" spans="1:21" x14ac:dyDescent="0.35">
      <c r="A9891" t="s">
        <v>1661</v>
      </c>
      <c r="B9891" t="s">
        <v>1732</v>
      </c>
      <c r="C9891" t="s">
        <v>55</v>
      </c>
      <c r="D9891" t="s">
        <v>2557</v>
      </c>
      <c r="E9891">
        <v>8.94</v>
      </c>
      <c r="F9891">
        <v>3</v>
      </c>
      <c r="G9891">
        <v>0</v>
      </c>
      <c r="H9891">
        <v>2.4138000000000002</v>
      </c>
      <c r="U9891">
        <v>2.4138000000000002</v>
      </c>
    </row>
    <row r="9892" spans="1:21" x14ac:dyDescent="0.35">
      <c r="A9892" t="s">
        <v>833</v>
      </c>
      <c r="B9892" t="s">
        <v>274</v>
      </c>
      <c r="C9892" t="s">
        <v>35</v>
      </c>
      <c r="D9892" t="s">
        <v>2381</v>
      </c>
      <c r="E9892">
        <v>20.62</v>
      </c>
      <c r="F9892">
        <v>2</v>
      </c>
      <c r="G9892">
        <v>0</v>
      </c>
      <c r="H9892">
        <v>9.6913999999999998</v>
      </c>
      <c r="U9892">
        <v>9.6913999999999998</v>
      </c>
    </row>
    <row r="9893" spans="1:21" x14ac:dyDescent="0.35">
      <c r="A9893" t="s">
        <v>833</v>
      </c>
      <c r="B9893" t="s">
        <v>274</v>
      </c>
      <c r="C9893" t="s">
        <v>35</v>
      </c>
      <c r="D9893" t="s">
        <v>1555</v>
      </c>
      <c r="E9893">
        <v>124.25</v>
      </c>
      <c r="F9893">
        <v>7</v>
      </c>
      <c r="G9893">
        <v>0</v>
      </c>
      <c r="H9893">
        <v>48.457500000000003</v>
      </c>
      <c r="U9893">
        <v>48.457500000000003</v>
      </c>
    </row>
    <row r="9894" spans="1:21" x14ac:dyDescent="0.35">
      <c r="A9894" t="s">
        <v>833</v>
      </c>
      <c r="B9894" t="s">
        <v>274</v>
      </c>
      <c r="C9894" t="s">
        <v>35</v>
      </c>
      <c r="D9894" t="s">
        <v>885</v>
      </c>
      <c r="E9894">
        <v>297.55</v>
      </c>
      <c r="F9894">
        <v>5</v>
      </c>
      <c r="G9894">
        <v>0</v>
      </c>
      <c r="H9894">
        <v>83.313999999999993</v>
      </c>
      <c r="U9894">
        <v>83.313999999999993</v>
      </c>
    </row>
    <row r="9895" spans="1:21" x14ac:dyDescent="0.35">
      <c r="A9895" t="s">
        <v>833</v>
      </c>
      <c r="B9895" t="s">
        <v>274</v>
      </c>
      <c r="C9895" t="s">
        <v>35</v>
      </c>
      <c r="D9895" t="s">
        <v>2580</v>
      </c>
      <c r="E9895">
        <v>403.56</v>
      </c>
      <c r="F9895">
        <v>4</v>
      </c>
      <c r="G9895">
        <v>0</v>
      </c>
      <c r="H9895">
        <v>96.854399999999998</v>
      </c>
      <c r="U9895">
        <v>96.854399999999998</v>
      </c>
    </row>
    <row r="9896" spans="1:21" x14ac:dyDescent="0.35">
      <c r="A9896" t="s">
        <v>833</v>
      </c>
      <c r="B9896" t="s">
        <v>274</v>
      </c>
      <c r="C9896" t="s">
        <v>35</v>
      </c>
      <c r="D9896" t="s">
        <v>548</v>
      </c>
      <c r="E9896">
        <v>95.2</v>
      </c>
      <c r="F9896">
        <v>5</v>
      </c>
      <c r="G9896">
        <v>0</v>
      </c>
      <c r="H9896">
        <v>27.608000000000001</v>
      </c>
      <c r="U9896">
        <v>27.608000000000001</v>
      </c>
    </row>
    <row r="9897" spans="1:21" x14ac:dyDescent="0.35">
      <c r="A9897" t="s">
        <v>1134</v>
      </c>
      <c r="B9897" t="s">
        <v>1633</v>
      </c>
      <c r="C9897" t="s">
        <v>35</v>
      </c>
      <c r="D9897" t="s">
        <v>2409</v>
      </c>
      <c r="E9897">
        <v>153.82400000000001</v>
      </c>
      <c r="F9897">
        <v>11</v>
      </c>
      <c r="G9897">
        <v>0.2</v>
      </c>
      <c r="H9897">
        <v>38.456000000000003</v>
      </c>
      <c r="U9897">
        <v>38.456000000000003</v>
      </c>
    </row>
    <row r="9898" spans="1:21" x14ac:dyDescent="0.35">
      <c r="A9898" t="s">
        <v>1865</v>
      </c>
      <c r="B9898" t="s">
        <v>917</v>
      </c>
      <c r="C9898" t="s">
        <v>35</v>
      </c>
      <c r="D9898" t="s">
        <v>2523</v>
      </c>
      <c r="E9898">
        <v>62.015999999999998</v>
      </c>
      <c r="F9898">
        <v>2</v>
      </c>
      <c r="G9898">
        <v>0.2</v>
      </c>
      <c r="H9898">
        <v>22.480799999999999</v>
      </c>
      <c r="U9898">
        <v>22.480799999999999</v>
      </c>
    </row>
    <row r="9899" spans="1:21" x14ac:dyDescent="0.35">
      <c r="A9899" s="1">
        <v>42527</v>
      </c>
      <c r="B9899" t="s">
        <v>1557</v>
      </c>
      <c r="C9899" t="s">
        <v>55</v>
      </c>
      <c r="D9899" t="s">
        <v>1109</v>
      </c>
      <c r="E9899">
        <v>466.32</v>
      </c>
      <c r="F9899">
        <v>3</v>
      </c>
      <c r="G9899">
        <v>0.2</v>
      </c>
      <c r="H9899">
        <v>34.973999999999997</v>
      </c>
      <c r="U9899">
        <v>34.973999999999997</v>
      </c>
    </row>
    <row r="9900" spans="1:21" x14ac:dyDescent="0.35">
      <c r="A9900" s="1">
        <v>42527</v>
      </c>
      <c r="B9900" t="s">
        <v>1557</v>
      </c>
      <c r="C9900" t="s">
        <v>55</v>
      </c>
      <c r="D9900" t="s">
        <v>2562</v>
      </c>
      <c r="E9900">
        <v>82.64</v>
      </c>
      <c r="F9900">
        <v>2</v>
      </c>
      <c r="G9900">
        <v>0.2</v>
      </c>
      <c r="H9900">
        <v>0</v>
      </c>
      <c r="U9900">
        <v>0</v>
      </c>
    </row>
    <row r="9901" spans="1:21" x14ac:dyDescent="0.35">
      <c r="A9901" t="s">
        <v>2522</v>
      </c>
      <c r="B9901" t="s">
        <v>1700</v>
      </c>
      <c r="C9901" t="s">
        <v>55</v>
      </c>
      <c r="D9901" t="s">
        <v>1067</v>
      </c>
      <c r="E9901">
        <v>330.58800000000002</v>
      </c>
      <c r="F9901">
        <v>1</v>
      </c>
      <c r="G9901">
        <v>0.4</v>
      </c>
      <c r="H9901">
        <v>-143.25479999999999</v>
      </c>
      <c r="U9901">
        <v>-143.25479999999999</v>
      </c>
    </row>
    <row r="9902" spans="1:21" x14ac:dyDescent="0.35">
      <c r="A9902" t="s">
        <v>717</v>
      </c>
      <c r="B9902" t="s">
        <v>2741</v>
      </c>
      <c r="C9902" t="s">
        <v>13</v>
      </c>
      <c r="D9902" t="s">
        <v>1068</v>
      </c>
      <c r="E9902">
        <v>237.096</v>
      </c>
      <c r="F9902">
        <v>3</v>
      </c>
      <c r="G9902">
        <v>0.2</v>
      </c>
      <c r="H9902">
        <v>20.745899999999999</v>
      </c>
      <c r="U9902">
        <v>20.745899999999999</v>
      </c>
    </row>
    <row r="9903" spans="1:21" x14ac:dyDescent="0.35">
      <c r="A9903" t="s">
        <v>717</v>
      </c>
      <c r="B9903" t="s">
        <v>2741</v>
      </c>
      <c r="C9903" t="s">
        <v>13</v>
      </c>
      <c r="D9903" t="s">
        <v>1895</v>
      </c>
      <c r="E9903">
        <v>22.751999999999999</v>
      </c>
      <c r="F9903">
        <v>3</v>
      </c>
      <c r="G9903">
        <v>0.2</v>
      </c>
      <c r="H9903">
        <v>7.11</v>
      </c>
      <c r="U9903">
        <v>7.11</v>
      </c>
    </row>
    <row r="9904" spans="1:21" x14ac:dyDescent="0.35">
      <c r="A9904" t="s">
        <v>717</v>
      </c>
      <c r="B9904" t="s">
        <v>2741</v>
      </c>
      <c r="C9904" t="s">
        <v>13</v>
      </c>
      <c r="D9904" t="s">
        <v>295</v>
      </c>
      <c r="E9904">
        <v>6.6719999999999997</v>
      </c>
      <c r="F9904">
        <v>1</v>
      </c>
      <c r="G9904">
        <v>0.2</v>
      </c>
      <c r="H9904">
        <v>2.085</v>
      </c>
      <c r="U9904">
        <v>2.085</v>
      </c>
    </row>
    <row r="9905" spans="1:21" x14ac:dyDescent="0.35">
      <c r="A9905" s="1">
        <v>41984</v>
      </c>
      <c r="B9905" t="s">
        <v>111</v>
      </c>
      <c r="C9905" t="s">
        <v>35</v>
      </c>
      <c r="D9905" t="s">
        <v>2163</v>
      </c>
      <c r="E9905">
        <v>25.128</v>
      </c>
      <c r="F9905">
        <v>3</v>
      </c>
      <c r="G9905">
        <v>0.6</v>
      </c>
      <c r="H9905">
        <v>-6.9101999999999997</v>
      </c>
      <c r="U9905">
        <v>-6.9101999999999997</v>
      </c>
    </row>
    <row r="9906" spans="1:21" x14ac:dyDescent="0.35">
      <c r="A9906" s="1">
        <v>41984</v>
      </c>
      <c r="B9906" t="s">
        <v>111</v>
      </c>
      <c r="C9906" t="s">
        <v>35</v>
      </c>
      <c r="D9906" t="s">
        <v>809</v>
      </c>
      <c r="E9906">
        <v>127.98399999999999</v>
      </c>
      <c r="F9906">
        <v>2</v>
      </c>
      <c r="G9906">
        <v>0.2</v>
      </c>
      <c r="H9906">
        <v>25.596800000000002</v>
      </c>
      <c r="U9906">
        <v>25.596800000000002</v>
      </c>
    </row>
    <row r="9907" spans="1:21" x14ac:dyDescent="0.35">
      <c r="A9907" t="s">
        <v>2373</v>
      </c>
      <c r="B9907" t="s">
        <v>2153</v>
      </c>
      <c r="C9907" t="s">
        <v>13</v>
      </c>
      <c r="D9907" t="s">
        <v>1862</v>
      </c>
      <c r="E9907">
        <v>131.88</v>
      </c>
      <c r="F9907">
        <v>7</v>
      </c>
      <c r="G9907">
        <v>0</v>
      </c>
      <c r="H9907">
        <v>55.389600000000002</v>
      </c>
      <c r="U9907">
        <v>55.389600000000002</v>
      </c>
    </row>
    <row r="9908" spans="1:21" x14ac:dyDescent="0.35">
      <c r="A9908" t="s">
        <v>2373</v>
      </c>
      <c r="B9908" t="s">
        <v>2153</v>
      </c>
      <c r="C9908" t="s">
        <v>13</v>
      </c>
      <c r="D9908" t="s">
        <v>1821</v>
      </c>
      <c r="E9908">
        <v>25.032</v>
      </c>
      <c r="F9908">
        <v>3</v>
      </c>
      <c r="G9908">
        <v>0.2</v>
      </c>
      <c r="H9908">
        <v>7.8224999999999998</v>
      </c>
      <c r="U9908">
        <v>7.8224999999999998</v>
      </c>
    </row>
    <row r="9909" spans="1:21" x14ac:dyDescent="0.35">
      <c r="A9909" t="s">
        <v>2373</v>
      </c>
      <c r="B9909" t="s">
        <v>2153</v>
      </c>
      <c r="C9909" t="s">
        <v>13</v>
      </c>
      <c r="D9909" t="s">
        <v>1890</v>
      </c>
      <c r="E9909">
        <v>717.72</v>
      </c>
      <c r="F9909">
        <v>3</v>
      </c>
      <c r="G9909">
        <v>0.2</v>
      </c>
      <c r="H9909">
        <v>71.772000000000006</v>
      </c>
      <c r="U9909">
        <v>71.772000000000006</v>
      </c>
    </row>
    <row r="9910" spans="1:21" x14ac:dyDescent="0.35">
      <c r="A9910" t="s">
        <v>2373</v>
      </c>
      <c r="B9910" t="s">
        <v>2153</v>
      </c>
      <c r="C9910" t="s">
        <v>13</v>
      </c>
      <c r="D9910" t="s">
        <v>2299</v>
      </c>
      <c r="E9910">
        <v>207.35</v>
      </c>
      <c r="F9910">
        <v>5</v>
      </c>
      <c r="G9910">
        <v>0</v>
      </c>
      <c r="H9910">
        <v>24.882000000000001</v>
      </c>
      <c r="U9910">
        <v>24.882000000000001</v>
      </c>
    </row>
    <row r="9911" spans="1:21" x14ac:dyDescent="0.35">
      <c r="A9911" t="s">
        <v>2373</v>
      </c>
      <c r="B9911" t="s">
        <v>2153</v>
      </c>
      <c r="C9911" t="s">
        <v>13</v>
      </c>
      <c r="D9911" t="s">
        <v>1578</v>
      </c>
      <c r="E9911">
        <v>44.67</v>
      </c>
      <c r="F9911">
        <v>3</v>
      </c>
      <c r="G9911">
        <v>0</v>
      </c>
      <c r="H9911">
        <v>12.0609</v>
      </c>
      <c r="U9911">
        <v>12.0609</v>
      </c>
    </row>
    <row r="9912" spans="1:21" x14ac:dyDescent="0.35">
      <c r="A9912" t="s">
        <v>2373</v>
      </c>
      <c r="B9912" t="s">
        <v>2153</v>
      </c>
      <c r="C9912" t="s">
        <v>13</v>
      </c>
      <c r="D9912" t="s">
        <v>1532</v>
      </c>
      <c r="E9912">
        <v>209.7</v>
      </c>
      <c r="F9912">
        <v>2</v>
      </c>
      <c r="G9912">
        <v>0</v>
      </c>
      <c r="H9912">
        <v>100.65600000000001</v>
      </c>
      <c r="U9912">
        <v>100.65600000000001</v>
      </c>
    </row>
    <row r="9913" spans="1:21" x14ac:dyDescent="0.35">
      <c r="A9913" s="1">
        <v>41763</v>
      </c>
      <c r="B9913" t="s">
        <v>1828</v>
      </c>
      <c r="C9913" t="s">
        <v>8</v>
      </c>
      <c r="D9913" t="s">
        <v>192</v>
      </c>
      <c r="E9913">
        <v>115.36</v>
      </c>
      <c r="F9913">
        <v>7</v>
      </c>
      <c r="G9913">
        <v>0</v>
      </c>
      <c r="H9913">
        <v>56.526400000000002</v>
      </c>
      <c r="U9913">
        <v>56.526400000000002</v>
      </c>
    </row>
    <row r="9914" spans="1:21" x14ac:dyDescent="0.35">
      <c r="A9914" s="1">
        <v>42287</v>
      </c>
      <c r="B9914" t="s">
        <v>1656</v>
      </c>
      <c r="C9914" t="s">
        <v>13</v>
      </c>
      <c r="D9914" t="s">
        <v>2087</v>
      </c>
      <c r="E9914">
        <v>362.13600000000002</v>
      </c>
      <c r="F9914">
        <v>3</v>
      </c>
      <c r="G9914">
        <v>0.2</v>
      </c>
      <c r="H9914">
        <v>-54.320399999999999</v>
      </c>
      <c r="U9914">
        <v>-54.320399999999999</v>
      </c>
    </row>
    <row r="9915" spans="1:21" x14ac:dyDescent="0.35">
      <c r="A9915" s="1">
        <v>42287</v>
      </c>
      <c r="B9915" t="s">
        <v>1656</v>
      </c>
      <c r="C9915" t="s">
        <v>13</v>
      </c>
      <c r="D9915" t="s">
        <v>2509</v>
      </c>
      <c r="E9915">
        <v>31.05</v>
      </c>
      <c r="F9915">
        <v>3</v>
      </c>
      <c r="G9915">
        <v>0</v>
      </c>
      <c r="H9915">
        <v>14.904</v>
      </c>
      <c r="U9915">
        <v>14.904</v>
      </c>
    </row>
    <row r="9916" spans="1:21" x14ac:dyDescent="0.35">
      <c r="A9916" t="s">
        <v>2451</v>
      </c>
      <c r="B9916" t="s">
        <v>2105</v>
      </c>
      <c r="C9916" t="s">
        <v>35</v>
      </c>
      <c r="D9916" t="s">
        <v>2277</v>
      </c>
      <c r="E9916">
        <v>12.96</v>
      </c>
      <c r="F9916">
        <v>2</v>
      </c>
      <c r="G9916">
        <v>0</v>
      </c>
      <c r="H9916">
        <v>6.2207999999999997</v>
      </c>
      <c r="U9916">
        <v>6.2207999999999997</v>
      </c>
    </row>
    <row r="9917" spans="1:21" x14ac:dyDescent="0.35">
      <c r="A9917" t="s">
        <v>2451</v>
      </c>
      <c r="B9917" t="s">
        <v>2105</v>
      </c>
      <c r="C9917" t="s">
        <v>35</v>
      </c>
      <c r="D9917" t="s">
        <v>1137</v>
      </c>
      <c r="E9917">
        <v>94.85</v>
      </c>
      <c r="F9917">
        <v>5</v>
      </c>
      <c r="G9917">
        <v>0</v>
      </c>
      <c r="H9917">
        <v>45.527999999999999</v>
      </c>
      <c r="U9917">
        <v>45.527999999999999</v>
      </c>
    </row>
    <row r="9918" spans="1:21" x14ac:dyDescent="0.35">
      <c r="A9918" t="s">
        <v>2451</v>
      </c>
      <c r="B9918" t="s">
        <v>2105</v>
      </c>
      <c r="C9918" t="s">
        <v>35</v>
      </c>
      <c r="D9918" t="s">
        <v>297</v>
      </c>
      <c r="E9918">
        <v>13.48</v>
      </c>
      <c r="F9918">
        <v>1</v>
      </c>
      <c r="G9918">
        <v>0</v>
      </c>
      <c r="H9918">
        <v>3.5047999999999999</v>
      </c>
      <c r="U9918">
        <v>3.5047999999999999</v>
      </c>
    </row>
    <row r="9919" spans="1:21" x14ac:dyDescent="0.35">
      <c r="A9919" t="s">
        <v>2451</v>
      </c>
      <c r="B9919" t="s">
        <v>2105</v>
      </c>
      <c r="C9919" t="s">
        <v>35</v>
      </c>
      <c r="D9919" t="s">
        <v>960</v>
      </c>
      <c r="E9919">
        <v>14.91</v>
      </c>
      <c r="F9919">
        <v>3</v>
      </c>
      <c r="G9919">
        <v>0</v>
      </c>
      <c r="H9919">
        <v>4.6220999999999997</v>
      </c>
      <c r="U9919">
        <v>4.6220999999999997</v>
      </c>
    </row>
    <row r="9920" spans="1:21" x14ac:dyDescent="0.35">
      <c r="A9920" t="s">
        <v>1546</v>
      </c>
      <c r="B9920" t="s">
        <v>1576</v>
      </c>
      <c r="C9920" t="s">
        <v>55</v>
      </c>
      <c r="D9920" t="s">
        <v>1490</v>
      </c>
      <c r="E9920">
        <v>39.979999999999997</v>
      </c>
      <c r="F9920">
        <v>1</v>
      </c>
      <c r="G9920">
        <v>0</v>
      </c>
      <c r="H9920">
        <v>17.991</v>
      </c>
      <c r="U9920">
        <v>17.991</v>
      </c>
    </row>
    <row r="9921" spans="1:21" x14ac:dyDescent="0.35">
      <c r="A9921" t="s">
        <v>1650</v>
      </c>
      <c r="B9921" t="s">
        <v>1733</v>
      </c>
      <c r="C9921" t="s">
        <v>35</v>
      </c>
      <c r="D9921" t="s">
        <v>176</v>
      </c>
      <c r="E9921">
        <v>528.42999999999995</v>
      </c>
      <c r="F9921">
        <v>5</v>
      </c>
      <c r="G9921">
        <v>0.3</v>
      </c>
      <c r="H9921">
        <v>-143.43100000000001</v>
      </c>
      <c r="U9921">
        <v>-143.43100000000001</v>
      </c>
    </row>
    <row r="9922" spans="1:21" x14ac:dyDescent="0.35">
      <c r="A9922" t="s">
        <v>1650</v>
      </c>
      <c r="B9922" t="s">
        <v>1733</v>
      </c>
      <c r="C9922" t="s">
        <v>35</v>
      </c>
      <c r="D9922" t="s">
        <v>2192</v>
      </c>
      <c r="E9922">
        <v>22.385999999999999</v>
      </c>
      <c r="F9922">
        <v>7</v>
      </c>
      <c r="G9922">
        <v>0.8</v>
      </c>
      <c r="H9922">
        <v>-35.817599999999999</v>
      </c>
      <c r="U9922">
        <v>-35.817599999999999</v>
      </c>
    </row>
    <row r="9923" spans="1:21" x14ac:dyDescent="0.35">
      <c r="A9923" t="s">
        <v>350</v>
      </c>
      <c r="B9923" t="s">
        <v>1459</v>
      </c>
      <c r="C9923" t="s">
        <v>55</v>
      </c>
      <c r="D9923" t="s">
        <v>1436</v>
      </c>
      <c r="E9923">
        <v>5.742</v>
      </c>
      <c r="F9923">
        <v>3</v>
      </c>
      <c r="G9923">
        <v>0.7</v>
      </c>
      <c r="H9923">
        <v>-4.5936000000000003</v>
      </c>
      <c r="U9923">
        <v>-4.5936000000000003</v>
      </c>
    </row>
    <row r="9924" spans="1:21" x14ac:dyDescent="0.35">
      <c r="A9924" s="1">
        <v>42891</v>
      </c>
      <c r="B9924" t="s">
        <v>909</v>
      </c>
      <c r="C9924" t="s">
        <v>35</v>
      </c>
      <c r="D9924" t="s">
        <v>1476</v>
      </c>
      <c r="E9924">
        <v>191.96799999999999</v>
      </c>
      <c r="F9924">
        <v>4</v>
      </c>
      <c r="G9924">
        <v>0.2</v>
      </c>
      <c r="H9924">
        <v>28.795200000000001</v>
      </c>
      <c r="U9924">
        <v>28.795200000000001</v>
      </c>
    </row>
    <row r="9925" spans="1:21" x14ac:dyDescent="0.35">
      <c r="A9925" t="s">
        <v>1159</v>
      </c>
      <c r="B9925" t="s">
        <v>2371</v>
      </c>
      <c r="C9925" t="s">
        <v>55</v>
      </c>
      <c r="D9925" t="s">
        <v>671</v>
      </c>
      <c r="E9925">
        <v>49.847999999999999</v>
      </c>
      <c r="F9925">
        <v>3</v>
      </c>
      <c r="G9925">
        <v>0.2</v>
      </c>
      <c r="H9925">
        <v>16.823699999999999</v>
      </c>
      <c r="U9925">
        <v>16.823699999999999</v>
      </c>
    </row>
    <row r="9926" spans="1:21" x14ac:dyDescent="0.35">
      <c r="A9926" t="s">
        <v>1159</v>
      </c>
      <c r="B9926" t="s">
        <v>2371</v>
      </c>
      <c r="C9926" t="s">
        <v>55</v>
      </c>
      <c r="D9926" t="s">
        <v>484</v>
      </c>
      <c r="E9926">
        <v>23.99</v>
      </c>
      <c r="F9926">
        <v>1</v>
      </c>
      <c r="G9926">
        <v>0</v>
      </c>
      <c r="H9926">
        <v>11.994999999999999</v>
      </c>
      <c r="U9926">
        <v>11.994999999999999</v>
      </c>
    </row>
    <row r="9927" spans="1:21" x14ac:dyDescent="0.35">
      <c r="A9927" t="s">
        <v>1159</v>
      </c>
      <c r="B9927" t="s">
        <v>2371</v>
      </c>
      <c r="C9927" t="s">
        <v>55</v>
      </c>
      <c r="D9927" t="s">
        <v>32</v>
      </c>
      <c r="E9927">
        <v>1087.9359999999999</v>
      </c>
      <c r="F9927">
        <v>8</v>
      </c>
      <c r="G9927">
        <v>0.2</v>
      </c>
      <c r="H9927">
        <v>353.57920000000001</v>
      </c>
      <c r="U9927">
        <v>353.57920000000001</v>
      </c>
    </row>
    <row r="9928" spans="1:21" x14ac:dyDescent="0.35">
      <c r="A9928" t="s">
        <v>1159</v>
      </c>
      <c r="B9928" t="s">
        <v>2371</v>
      </c>
      <c r="C9928" t="s">
        <v>55</v>
      </c>
      <c r="D9928" t="s">
        <v>1602</v>
      </c>
      <c r="E9928">
        <v>199.98</v>
      </c>
      <c r="F9928">
        <v>2</v>
      </c>
      <c r="G9928">
        <v>0</v>
      </c>
      <c r="H9928">
        <v>53.994599999999998</v>
      </c>
      <c r="U9928">
        <v>53.994599999999998</v>
      </c>
    </row>
    <row r="9929" spans="1:21" x14ac:dyDescent="0.35">
      <c r="A9929" t="s">
        <v>1159</v>
      </c>
      <c r="B9929" t="s">
        <v>2371</v>
      </c>
      <c r="C9929" t="s">
        <v>55</v>
      </c>
      <c r="D9929" t="s">
        <v>1945</v>
      </c>
      <c r="E9929">
        <v>83.92</v>
      </c>
      <c r="F9929">
        <v>4</v>
      </c>
      <c r="G9929">
        <v>0</v>
      </c>
      <c r="H9929">
        <v>20.140799999999999</v>
      </c>
      <c r="U9929">
        <v>20.140799999999999</v>
      </c>
    </row>
    <row r="9930" spans="1:21" x14ac:dyDescent="0.35">
      <c r="A9930" s="1">
        <v>42469</v>
      </c>
      <c r="B9930" t="s">
        <v>2672</v>
      </c>
      <c r="C9930" t="s">
        <v>13</v>
      </c>
      <c r="D9930" t="s">
        <v>158</v>
      </c>
      <c r="E9930">
        <v>24.27</v>
      </c>
      <c r="F9930">
        <v>3</v>
      </c>
      <c r="G9930">
        <v>0</v>
      </c>
      <c r="H9930">
        <v>8.7371999999999996</v>
      </c>
      <c r="U9930">
        <v>8.7371999999999996</v>
      </c>
    </row>
    <row r="9931" spans="1:21" x14ac:dyDescent="0.35">
      <c r="A9931" s="1">
        <v>42469</v>
      </c>
      <c r="B9931" t="s">
        <v>2672</v>
      </c>
      <c r="C9931" t="s">
        <v>13</v>
      </c>
      <c r="D9931" t="s">
        <v>2055</v>
      </c>
      <c r="E9931">
        <v>2799.96</v>
      </c>
      <c r="F9931">
        <v>5</v>
      </c>
      <c r="G9931">
        <v>0.2</v>
      </c>
      <c r="H9931">
        <v>944.98649999999998</v>
      </c>
      <c r="U9931">
        <v>944.98649999999998</v>
      </c>
    </row>
    <row r="9932" spans="1:21" x14ac:dyDescent="0.35">
      <c r="A9932" t="s">
        <v>210</v>
      </c>
      <c r="B9932" t="s">
        <v>692</v>
      </c>
      <c r="C9932" t="s">
        <v>13</v>
      </c>
      <c r="D9932" t="s">
        <v>2304</v>
      </c>
      <c r="E9932">
        <v>9.8719999999999999</v>
      </c>
      <c r="F9932">
        <v>2</v>
      </c>
      <c r="G9932">
        <v>0.2</v>
      </c>
      <c r="H9932">
        <v>3.4552</v>
      </c>
      <c r="U9932">
        <v>3.4552</v>
      </c>
    </row>
    <row r="9933" spans="1:21" x14ac:dyDescent="0.35">
      <c r="A9933" t="s">
        <v>210</v>
      </c>
      <c r="B9933" t="s">
        <v>692</v>
      </c>
      <c r="C9933" t="s">
        <v>13</v>
      </c>
      <c r="D9933" t="s">
        <v>2159</v>
      </c>
      <c r="E9933">
        <v>683.33199999999999</v>
      </c>
      <c r="F9933">
        <v>4</v>
      </c>
      <c r="G9933">
        <v>0.15</v>
      </c>
      <c r="H9933">
        <v>-40.195999999999998</v>
      </c>
      <c r="U9933">
        <v>-40.195999999999998</v>
      </c>
    </row>
    <row r="9934" spans="1:21" x14ac:dyDescent="0.35">
      <c r="A9934" t="s">
        <v>210</v>
      </c>
      <c r="B9934" t="s">
        <v>692</v>
      </c>
      <c r="C9934" t="s">
        <v>13</v>
      </c>
      <c r="D9934" t="s">
        <v>2367</v>
      </c>
      <c r="E9934">
        <v>29.96</v>
      </c>
      <c r="F9934">
        <v>7</v>
      </c>
      <c r="G9934">
        <v>0</v>
      </c>
      <c r="H9934">
        <v>13.481999999999999</v>
      </c>
      <c r="U9934">
        <v>13.481999999999999</v>
      </c>
    </row>
    <row r="9935" spans="1:21" x14ac:dyDescent="0.35">
      <c r="A9935" s="1">
        <v>41950</v>
      </c>
      <c r="B9935" t="s">
        <v>1793</v>
      </c>
      <c r="C9935" t="s">
        <v>55</v>
      </c>
      <c r="D9935" t="s">
        <v>2339</v>
      </c>
      <c r="E9935">
        <v>164.85</v>
      </c>
      <c r="F9935">
        <v>3</v>
      </c>
      <c r="G9935">
        <v>0</v>
      </c>
      <c r="H9935">
        <v>47.8065</v>
      </c>
      <c r="U9935">
        <v>47.8065</v>
      </c>
    </row>
    <row r="9936" spans="1:21" x14ac:dyDescent="0.35">
      <c r="A9936" s="1">
        <v>42555</v>
      </c>
      <c r="B9936" t="s">
        <v>946</v>
      </c>
      <c r="C9936" t="s">
        <v>55</v>
      </c>
      <c r="D9936" t="s">
        <v>2676</v>
      </c>
      <c r="E9936">
        <v>33.527999999999999</v>
      </c>
      <c r="F9936">
        <v>3</v>
      </c>
      <c r="G9936">
        <v>0.2</v>
      </c>
      <c r="H9936">
        <v>2.5146000000000002</v>
      </c>
      <c r="U9936">
        <v>2.5146000000000002</v>
      </c>
    </row>
    <row r="9937" spans="1:21" x14ac:dyDescent="0.35">
      <c r="A9937" s="1">
        <v>42555</v>
      </c>
      <c r="B9937" t="s">
        <v>946</v>
      </c>
      <c r="C9937" t="s">
        <v>55</v>
      </c>
      <c r="D9937" t="s">
        <v>2753</v>
      </c>
      <c r="E9937">
        <v>36.744</v>
      </c>
      <c r="F9937">
        <v>3</v>
      </c>
      <c r="G9937">
        <v>0.2</v>
      </c>
      <c r="H9937">
        <v>3.6743999999999999</v>
      </c>
      <c r="U9937">
        <v>3.6743999999999999</v>
      </c>
    </row>
    <row r="9938" spans="1:21" x14ac:dyDescent="0.35">
      <c r="A9938" t="s">
        <v>382</v>
      </c>
      <c r="B9938" t="s">
        <v>2140</v>
      </c>
      <c r="C9938" t="s">
        <v>55</v>
      </c>
      <c r="D9938" t="s">
        <v>289</v>
      </c>
      <c r="E9938">
        <v>102.93</v>
      </c>
      <c r="F9938">
        <v>3</v>
      </c>
      <c r="G9938">
        <v>0</v>
      </c>
      <c r="H9938">
        <v>48.377099999999999</v>
      </c>
      <c r="U9938">
        <v>48.377099999999999</v>
      </c>
    </row>
    <row r="9939" spans="1:21" x14ac:dyDescent="0.35">
      <c r="A9939" s="1">
        <v>42435</v>
      </c>
      <c r="B9939" t="s">
        <v>1100</v>
      </c>
      <c r="C9939" t="s">
        <v>13</v>
      </c>
      <c r="D9939" t="s">
        <v>1610</v>
      </c>
      <c r="E9939">
        <v>71.087999999999994</v>
      </c>
      <c r="F9939">
        <v>2</v>
      </c>
      <c r="G9939">
        <v>0.2</v>
      </c>
      <c r="H9939">
        <v>-1.7771999999999999</v>
      </c>
      <c r="U9939">
        <v>-1.7771999999999999</v>
      </c>
    </row>
    <row r="9940" spans="1:21" x14ac:dyDescent="0.35">
      <c r="A9940" s="1">
        <v>42716</v>
      </c>
      <c r="B9940" t="s">
        <v>1366</v>
      </c>
      <c r="C9940" t="s">
        <v>55</v>
      </c>
      <c r="D9940" t="s">
        <v>2592</v>
      </c>
      <c r="E9940">
        <v>60.35</v>
      </c>
      <c r="F9940">
        <v>5</v>
      </c>
      <c r="G9940">
        <v>0</v>
      </c>
      <c r="H9940">
        <v>19.915500000000002</v>
      </c>
      <c r="U9940">
        <v>19.915500000000002</v>
      </c>
    </row>
    <row r="9941" spans="1:21" x14ac:dyDescent="0.35">
      <c r="A9941" s="1">
        <v>42716</v>
      </c>
      <c r="B9941" t="s">
        <v>1366</v>
      </c>
      <c r="C9941" t="s">
        <v>55</v>
      </c>
      <c r="D9941" t="s">
        <v>2035</v>
      </c>
      <c r="E9941">
        <v>35.520000000000003</v>
      </c>
      <c r="F9941">
        <v>4</v>
      </c>
      <c r="G9941">
        <v>0</v>
      </c>
      <c r="H9941">
        <v>9.9456000000000007</v>
      </c>
      <c r="U9941">
        <v>9.9456000000000007</v>
      </c>
    </row>
    <row r="9942" spans="1:21" x14ac:dyDescent="0.35">
      <c r="A9942" s="1">
        <v>42716</v>
      </c>
      <c r="B9942" t="s">
        <v>1366</v>
      </c>
      <c r="C9942" t="s">
        <v>55</v>
      </c>
      <c r="D9942" t="s">
        <v>1505</v>
      </c>
      <c r="E9942">
        <v>11.2</v>
      </c>
      <c r="F9942">
        <v>7</v>
      </c>
      <c r="G9942">
        <v>0</v>
      </c>
      <c r="H9942">
        <v>4.8159999999999998</v>
      </c>
      <c r="U9942">
        <v>4.8159999999999998</v>
      </c>
    </row>
    <row r="9943" spans="1:21" x14ac:dyDescent="0.35">
      <c r="A9943" t="s">
        <v>895</v>
      </c>
      <c r="B9943" t="s">
        <v>993</v>
      </c>
      <c r="C9943" t="s">
        <v>13</v>
      </c>
      <c r="D9943" t="s">
        <v>765</v>
      </c>
      <c r="E9943">
        <v>223.58</v>
      </c>
      <c r="F9943">
        <v>14</v>
      </c>
      <c r="G9943">
        <v>0</v>
      </c>
      <c r="H9943">
        <v>87.196200000000005</v>
      </c>
      <c r="U9943">
        <v>87.196200000000005</v>
      </c>
    </row>
    <row r="9944" spans="1:21" x14ac:dyDescent="0.35">
      <c r="A9944" t="s">
        <v>248</v>
      </c>
      <c r="B9944" t="s">
        <v>831</v>
      </c>
      <c r="C9944" t="s">
        <v>13</v>
      </c>
      <c r="D9944" t="s">
        <v>2241</v>
      </c>
      <c r="E9944">
        <v>998.82</v>
      </c>
      <c r="F9944">
        <v>9</v>
      </c>
      <c r="G9944">
        <v>0</v>
      </c>
      <c r="H9944">
        <v>29.964600000000001</v>
      </c>
      <c r="U9944">
        <v>29.964600000000001</v>
      </c>
    </row>
    <row r="9945" spans="1:21" x14ac:dyDescent="0.35">
      <c r="A9945" t="s">
        <v>248</v>
      </c>
      <c r="B9945" t="s">
        <v>831</v>
      </c>
      <c r="C9945" t="s">
        <v>13</v>
      </c>
      <c r="D9945" t="s">
        <v>1205</v>
      </c>
      <c r="E9945">
        <v>51.15</v>
      </c>
      <c r="F9945">
        <v>5</v>
      </c>
      <c r="G9945">
        <v>0</v>
      </c>
      <c r="H9945">
        <v>13.298999999999999</v>
      </c>
      <c r="U9945">
        <v>13.298999999999999</v>
      </c>
    </row>
    <row r="9946" spans="1:21" x14ac:dyDescent="0.35">
      <c r="A9946" s="1">
        <v>42342</v>
      </c>
      <c r="B9946" t="s">
        <v>1363</v>
      </c>
      <c r="C9946" t="s">
        <v>13</v>
      </c>
      <c r="D9946" t="s">
        <v>1702</v>
      </c>
      <c r="E9946">
        <v>40.74</v>
      </c>
      <c r="F9946">
        <v>3</v>
      </c>
      <c r="G9946">
        <v>0</v>
      </c>
      <c r="H9946">
        <v>0.40739999999999998</v>
      </c>
      <c r="U9946">
        <v>0.40739999999999998</v>
      </c>
    </row>
    <row r="9947" spans="1:21" x14ac:dyDescent="0.35">
      <c r="A9947" s="1">
        <v>41673</v>
      </c>
      <c r="B9947" t="s">
        <v>1647</v>
      </c>
      <c r="C9947" t="s">
        <v>55</v>
      </c>
      <c r="D9947" t="s">
        <v>2261</v>
      </c>
      <c r="E9947">
        <v>3.4239999999999999</v>
      </c>
      <c r="F9947">
        <v>1</v>
      </c>
      <c r="G9947">
        <v>0.2</v>
      </c>
      <c r="H9947">
        <v>1.07</v>
      </c>
      <c r="U9947">
        <v>1.07</v>
      </c>
    </row>
    <row r="9948" spans="1:21" x14ac:dyDescent="0.35">
      <c r="A9948" s="1">
        <v>41673</v>
      </c>
      <c r="B9948" t="s">
        <v>1647</v>
      </c>
      <c r="C9948" t="s">
        <v>55</v>
      </c>
      <c r="D9948" t="s">
        <v>1265</v>
      </c>
      <c r="E9948">
        <v>151.19999999999999</v>
      </c>
      <c r="F9948">
        <v>3</v>
      </c>
      <c r="G9948">
        <v>0.2</v>
      </c>
      <c r="H9948">
        <v>32.130000000000003</v>
      </c>
      <c r="U9948">
        <v>32.130000000000003</v>
      </c>
    </row>
    <row r="9949" spans="1:21" x14ac:dyDescent="0.35">
      <c r="A9949" s="1">
        <v>42741</v>
      </c>
      <c r="B9949" t="s">
        <v>1140</v>
      </c>
      <c r="C9949" t="s">
        <v>35</v>
      </c>
      <c r="D9949" t="s">
        <v>1112</v>
      </c>
      <c r="E9949">
        <v>1925.88</v>
      </c>
      <c r="F9949">
        <v>6</v>
      </c>
      <c r="G9949">
        <v>0</v>
      </c>
      <c r="H9949">
        <v>539.24639999999999</v>
      </c>
      <c r="U9949">
        <v>539.24639999999999</v>
      </c>
    </row>
    <row r="9950" spans="1:21" x14ac:dyDescent="0.35">
      <c r="A9950" s="1">
        <v>42741</v>
      </c>
      <c r="B9950" t="s">
        <v>1140</v>
      </c>
      <c r="C9950" t="s">
        <v>35</v>
      </c>
      <c r="D9950" t="s">
        <v>448</v>
      </c>
      <c r="E9950">
        <v>2405.1999999999998</v>
      </c>
      <c r="F9950">
        <v>8</v>
      </c>
      <c r="G9950">
        <v>0</v>
      </c>
      <c r="H9950">
        <v>793.71600000000001</v>
      </c>
      <c r="U9950">
        <v>793.71600000000001</v>
      </c>
    </row>
    <row r="9951" spans="1:21" x14ac:dyDescent="0.35">
      <c r="A9951" s="1">
        <v>42741</v>
      </c>
      <c r="B9951" t="s">
        <v>1140</v>
      </c>
      <c r="C9951" t="s">
        <v>35</v>
      </c>
      <c r="D9951" t="s">
        <v>1829</v>
      </c>
      <c r="E9951">
        <v>83.97</v>
      </c>
      <c r="F9951">
        <v>3</v>
      </c>
      <c r="G9951">
        <v>0</v>
      </c>
      <c r="H9951">
        <v>15.9543</v>
      </c>
      <c r="U9951">
        <v>15.9543</v>
      </c>
    </row>
    <row r="9952" spans="1:21" x14ac:dyDescent="0.35">
      <c r="A9952" s="1">
        <v>42741</v>
      </c>
      <c r="B9952" t="s">
        <v>1140</v>
      </c>
      <c r="C9952" t="s">
        <v>35</v>
      </c>
      <c r="D9952" t="s">
        <v>1209</v>
      </c>
      <c r="E9952">
        <v>39.89</v>
      </c>
      <c r="F9952">
        <v>1</v>
      </c>
      <c r="G9952">
        <v>0</v>
      </c>
      <c r="H9952">
        <v>14.7593</v>
      </c>
      <c r="U9952">
        <v>14.7593</v>
      </c>
    </row>
    <row r="9953" spans="1:21" x14ac:dyDescent="0.35">
      <c r="A9953" s="1">
        <v>42741</v>
      </c>
      <c r="B9953" t="s">
        <v>1140</v>
      </c>
      <c r="C9953" t="s">
        <v>35</v>
      </c>
      <c r="D9953" t="s">
        <v>1431</v>
      </c>
      <c r="E9953">
        <v>17.38</v>
      </c>
      <c r="F9953">
        <v>2</v>
      </c>
      <c r="G9953">
        <v>0</v>
      </c>
      <c r="H9953">
        <v>8.69</v>
      </c>
      <c r="U9953">
        <v>8.69</v>
      </c>
    </row>
    <row r="9954" spans="1:21" x14ac:dyDescent="0.35">
      <c r="A9954" t="s">
        <v>1926</v>
      </c>
      <c r="B9954" t="s">
        <v>2403</v>
      </c>
      <c r="C9954" t="s">
        <v>13</v>
      </c>
      <c r="D9954" t="s">
        <v>580</v>
      </c>
      <c r="E9954">
        <v>55.264000000000003</v>
      </c>
      <c r="F9954">
        <v>2</v>
      </c>
      <c r="G9954">
        <v>0.2</v>
      </c>
      <c r="H9954">
        <v>20.724</v>
      </c>
      <c r="U9954">
        <v>20.724</v>
      </c>
    </row>
    <row r="9955" spans="1:21" x14ac:dyDescent="0.35">
      <c r="A9955" t="s">
        <v>1926</v>
      </c>
      <c r="B9955" t="s">
        <v>2403</v>
      </c>
      <c r="C9955" t="s">
        <v>13</v>
      </c>
      <c r="D9955" t="s">
        <v>2125</v>
      </c>
      <c r="E9955">
        <v>6.48</v>
      </c>
      <c r="F9955">
        <v>1</v>
      </c>
      <c r="G9955">
        <v>0</v>
      </c>
      <c r="H9955">
        <v>3.1103999999999998</v>
      </c>
      <c r="U9955">
        <v>3.1103999999999998</v>
      </c>
    </row>
    <row r="9956" spans="1:21" x14ac:dyDescent="0.35">
      <c r="A9956" t="s">
        <v>1926</v>
      </c>
      <c r="B9956" t="s">
        <v>2403</v>
      </c>
      <c r="C9956" t="s">
        <v>13</v>
      </c>
      <c r="D9956" t="s">
        <v>2188</v>
      </c>
      <c r="E9956">
        <v>34.247999999999998</v>
      </c>
      <c r="F9956">
        <v>3</v>
      </c>
      <c r="G9956">
        <v>0.2</v>
      </c>
      <c r="H9956">
        <v>11.5587</v>
      </c>
      <c r="U9956">
        <v>11.5587</v>
      </c>
    </row>
    <row r="9957" spans="1:21" x14ac:dyDescent="0.35">
      <c r="A9957" t="s">
        <v>1926</v>
      </c>
      <c r="B9957" t="s">
        <v>2403</v>
      </c>
      <c r="C9957" t="s">
        <v>13</v>
      </c>
      <c r="D9957" t="s">
        <v>1614</v>
      </c>
      <c r="E9957">
        <v>273.56799999999998</v>
      </c>
      <c r="F9957">
        <v>2</v>
      </c>
      <c r="G9957">
        <v>0.2</v>
      </c>
      <c r="H9957">
        <v>10.258800000000001</v>
      </c>
      <c r="U9957">
        <v>10.258800000000001</v>
      </c>
    </row>
    <row r="9958" spans="1:21" x14ac:dyDescent="0.35">
      <c r="A9958" s="1">
        <v>41954</v>
      </c>
      <c r="B9958" t="s">
        <v>2069</v>
      </c>
      <c r="C9958" t="s">
        <v>55</v>
      </c>
      <c r="D9958" t="s">
        <v>2044</v>
      </c>
      <c r="E9958">
        <v>46.35</v>
      </c>
      <c r="F9958">
        <v>5</v>
      </c>
      <c r="G9958">
        <v>0</v>
      </c>
      <c r="H9958">
        <v>21.784500000000001</v>
      </c>
      <c r="U9958">
        <v>21.784500000000001</v>
      </c>
    </row>
    <row r="9959" spans="1:21" x14ac:dyDescent="0.35">
      <c r="A9959" s="1">
        <v>41954</v>
      </c>
      <c r="B9959" t="s">
        <v>2069</v>
      </c>
      <c r="C9959" t="s">
        <v>55</v>
      </c>
      <c r="D9959" t="s">
        <v>2404</v>
      </c>
      <c r="E9959">
        <v>223.92</v>
      </c>
      <c r="F9959">
        <v>4</v>
      </c>
      <c r="G9959">
        <v>0</v>
      </c>
      <c r="H9959">
        <v>109.7208</v>
      </c>
      <c r="U9959">
        <v>109.7208</v>
      </c>
    </row>
    <row r="9960" spans="1:21" x14ac:dyDescent="0.35">
      <c r="A9960" s="1">
        <v>41954</v>
      </c>
      <c r="B9960" t="s">
        <v>2069</v>
      </c>
      <c r="C9960" t="s">
        <v>55</v>
      </c>
      <c r="D9960" t="s">
        <v>922</v>
      </c>
      <c r="E9960">
        <v>7.3</v>
      </c>
      <c r="F9960">
        <v>2</v>
      </c>
      <c r="G9960">
        <v>0</v>
      </c>
      <c r="H9960">
        <v>2.19</v>
      </c>
      <c r="U9960">
        <v>2.19</v>
      </c>
    </row>
    <row r="9961" spans="1:21" x14ac:dyDescent="0.35">
      <c r="A9961" s="1">
        <v>42896</v>
      </c>
      <c r="B9961" t="s">
        <v>899</v>
      </c>
      <c r="C9961" t="s">
        <v>13</v>
      </c>
      <c r="D9961" t="s">
        <v>2518</v>
      </c>
      <c r="E9961">
        <v>9.3439999999999994</v>
      </c>
      <c r="F9961">
        <v>2</v>
      </c>
      <c r="G9961">
        <v>0.2</v>
      </c>
      <c r="H9961">
        <v>1.8688</v>
      </c>
      <c r="U9961">
        <v>1.8688</v>
      </c>
    </row>
    <row r="9962" spans="1:21" x14ac:dyDescent="0.35">
      <c r="A9962" t="s">
        <v>493</v>
      </c>
      <c r="B9962" t="s">
        <v>2194</v>
      </c>
      <c r="C9962" t="s">
        <v>8</v>
      </c>
      <c r="D9962" t="s">
        <v>2385</v>
      </c>
      <c r="E9962">
        <v>18</v>
      </c>
      <c r="F9962">
        <v>1</v>
      </c>
      <c r="G9962">
        <v>0</v>
      </c>
      <c r="H9962">
        <v>3.24</v>
      </c>
      <c r="U9962">
        <v>3.24</v>
      </c>
    </row>
    <row r="9963" spans="1:21" x14ac:dyDescent="0.35">
      <c r="A9963" t="s">
        <v>1717</v>
      </c>
      <c r="B9963" t="s">
        <v>1673</v>
      </c>
      <c r="C9963" t="s">
        <v>35</v>
      </c>
      <c r="D9963" t="s">
        <v>1824</v>
      </c>
      <c r="E9963">
        <v>65.584000000000003</v>
      </c>
      <c r="F9963">
        <v>2</v>
      </c>
      <c r="G9963">
        <v>0.2</v>
      </c>
      <c r="H9963">
        <v>23.7742</v>
      </c>
      <c r="U9963">
        <v>23.7742</v>
      </c>
    </row>
    <row r="9964" spans="1:21" x14ac:dyDescent="0.35">
      <c r="A9964" t="s">
        <v>1717</v>
      </c>
      <c r="B9964" t="s">
        <v>1673</v>
      </c>
      <c r="C9964" t="s">
        <v>35</v>
      </c>
      <c r="D9964" t="s">
        <v>2454</v>
      </c>
      <c r="E9964">
        <v>383.46559999999999</v>
      </c>
      <c r="F9964">
        <v>4</v>
      </c>
      <c r="G9964">
        <v>0.32</v>
      </c>
      <c r="H9964">
        <v>-67.670400000000001</v>
      </c>
      <c r="U9964">
        <v>-67.670400000000001</v>
      </c>
    </row>
    <row r="9965" spans="1:21" x14ac:dyDescent="0.35">
      <c r="A9965" t="s">
        <v>1280</v>
      </c>
      <c r="B9965" t="s">
        <v>946</v>
      </c>
      <c r="C9965" t="s">
        <v>55</v>
      </c>
      <c r="D9965" t="s">
        <v>1554</v>
      </c>
      <c r="E9965">
        <v>10.368</v>
      </c>
      <c r="F9965">
        <v>2</v>
      </c>
      <c r="G9965">
        <v>0.2</v>
      </c>
      <c r="H9965">
        <v>3.6288</v>
      </c>
      <c r="U9965">
        <v>3.6288</v>
      </c>
    </row>
    <row r="9966" spans="1:21" x14ac:dyDescent="0.35">
      <c r="A9966" s="1">
        <v>42502</v>
      </c>
      <c r="B9966" t="s">
        <v>2713</v>
      </c>
      <c r="C9966" t="s">
        <v>55</v>
      </c>
      <c r="D9966" t="s">
        <v>535</v>
      </c>
      <c r="E9966">
        <v>13.4</v>
      </c>
      <c r="F9966">
        <v>1</v>
      </c>
      <c r="G9966">
        <v>0</v>
      </c>
      <c r="H9966">
        <v>6.4320000000000004</v>
      </c>
      <c r="U9966">
        <v>6.4320000000000004</v>
      </c>
    </row>
    <row r="9967" spans="1:21" x14ac:dyDescent="0.35">
      <c r="A9967" s="1">
        <v>42502</v>
      </c>
      <c r="B9967" t="s">
        <v>2713</v>
      </c>
      <c r="C9967" t="s">
        <v>55</v>
      </c>
      <c r="D9967" t="s">
        <v>75</v>
      </c>
      <c r="E9967">
        <v>4.9800000000000004</v>
      </c>
      <c r="F9967">
        <v>1</v>
      </c>
      <c r="G9967">
        <v>0</v>
      </c>
      <c r="H9967">
        <v>2.3405999999999998</v>
      </c>
      <c r="U9967">
        <v>2.3405999999999998</v>
      </c>
    </row>
    <row r="9968" spans="1:21" x14ac:dyDescent="0.35">
      <c r="A9968" s="1">
        <v>42502</v>
      </c>
      <c r="B9968" t="s">
        <v>2713</v>
      </c>
      <c r="C9968" t="s">
        <v>55</v>
      </c>
      <c r="D9968" t="s">
        <v>2141</v>
      </c>
      <c r="E9968">
        <v>109.69</v>
      </c>
      <c r="F9968">
        <v>7</v>
      </c>
      <c r="G9968">
        <v>0</v>
      </c>
      <c r="H9968">
        <v>51.554299999999998</v>
      </c>
      <c r="U9968">
        <v>51.554299999999998</v>
      </c>
    </row>
    <row r="9969" spans="1:21" x14ac:dyDescent="0.35">
      <c r="A9969" s="1">
        <v>43051</v>
      </c>
      <c r="B9969" t="s">
        <v>1996</v>
      </c>
      <c r="C9969" t="s">
        <v>55</v>
      </c>
      <c r="D9969" t="s">
        <v>1957</v>
      </c>
      <c r="E9969">
        <v>40.200000000000003</v>
      </c>
      <c r="F9969">
        <v>5</v>
      </c>
      <c r="G9969">
        <v>0</v>
      </c>
      <c r="H9969">
        <v>18.09</v>
      </c>
      <c r="U9969">
        <v>18.09</v>
      </c>
    </row>
    <row r="9970" spans="1:21" x14ac:dyDescent="0.35">
      <c r="A9970" s="1">
        <v>43051</v>
      </c>
      <c r="B9970" t="s">
        <v>1996</v>
      </c>
      <c r="C9970" t="s">
        <v>55</v>
      </c>
      <c r="D9970" t="s">
        <v>2318</v>
      </c>
      <c r="E9970">
        <v>735.98</v>
      </c>
      <c r="F9970">
        <v>2</v>
      </c>
      <c r="G9970">
        <v>0</v>
      </c>
      <c r="H9970">
        <v>331.19099999999997</v>
      </c>
      <c r="U9970">
        <v>331.19099999999997</v>
      </c>
    </row>
    <row r="9971" spans="1:21" x14ac:dyDescent="0.35">
      <c r="A9971" s="1">
        <v>43051</v>
      </c>
      <c r="B9971" t="s">
        <v>1996</v>
      </c>
      <c r="C9971" t="s">
        <v>55</v>
      </c>
      <c r="D9971" t="s">
        <v>388</v>
      </c>
      <c r="E9971">
        <v>22.75</v>
      </c>
      <c r="F9971">
        <v>7</v>
      </c>
      <c r="G9971">
        <v>0</v>
      </c>
      <c r="H9971">
        <v>6.5975000000000001</v>
      </c>
      <c r="U9971">
        <v>6.5975000000000001</v>
      </c>
    </row>
    <row r="9972" spans="1:21" x14ac:dyDescent="0.35">
      <c r="A9972" t="s">
        <v>2666</v>
      </c>
      <c r="B9972" t="s">
        <v>365</v>
      </c>
      <c r="C9972" t="s">
        <v>8</v>
      </c>
      <c r="D9972" t="s">
        <v>1621</v>
      </c>
      <c r="E9972">
        <v>119.56</v>
      </c>
      <c r="F9972">
        <v>2</v>
      </c>
      <c r="G9972">
        <v>0</v>
      </c>
      <c r="H9972">
        <v>54.997599999999998</v>
      </c>
      <c r="U9972">
        <v>54.997599999999998</v>
      </c>
    </row>
    <row r="9973" spans="1:21" x14ac:dyDescent="0.35">
      <c r="A9973" t="s">
        <v>2666</v>
      </c>
      <c r="B9973" t="s">
        <v>365</v>
      </c>
      <c r="C9973" t="s">
        <v>8</v>
      </c>
      <c r="D9973" t="s">
        <v>2011</v>
      </c>
      <c r="E9973">
        <v>140.75</v>
      </c>
      <c r="F9973">
        <v>5</v>
      </c>
      <c r="G9973">
        <v>0</v>
      </c>
      <c r="H9973">
        <v>42.225000000000001</v>
      </c>
      <c r="U9973">
        <v>42.225000000000001</v>
      </c>
    </row>
    <row r="9974" spans="1:21" x14ac:dyDescent="0.35">
      <c r="A9974" s="1">
        <v>42683</v>
      </c>
      <c r="B9974" t="s">
        <v>233</v>
      </c>
      <c r="C9974" t="s">
        <v>35</v>
      </c>
      <c r="D9974" t="s">
        <v>1125</v>
      </c>
      <c r="E9974">
        <v>99.567999999999998</v>
      </c>
      <c r="F9974">
        <v>2</v>
      </c>
      <c r="G9974">
        <v>0.2</v>
      </c>
      <c r="H9974">
        <v>33.604199999999999</v>
      </c>
      <c r="U9974">
        <v>33.604199999999999</v>
      </c>
    </row>
    <row r="9975" spans="1:21" x14ac:dyDescent="0.35">
      <c r="A9975" s="1">
        <v>42533</v>
      </c>
      <c r="B9975" t="s">
        <v>1448</v>
      </c>
      <c r="C9975" t="s">
        <v>13</v>
      </c>
      <c r="D9975" t="s">
        <v>2657</v>
      </c>
      <c r="E9975">
        <v>271.95999999999998</v>
      </c>
      <c r="F9975">
        <v>5</v>
      </c>
      <c r="G9975">
        <v>0.2</v>
      </c>
      <c r="H9975">
        <v>27.196000000000002</v>
      </c>
      <c r="U9975">
        <v>27.196000000000002</v>
      </c>
    </row>
    <row r="9976" spans="1:21" x14ac:dyDescent="0.35">
      <c r="A9976" s="1">
        <v>42533</v>
      </c>
      <c r="B9976" t="s">
        <v>1448</v>
      </c>
      <c r="C9976" t="s">
        <v>13</v>
      </c>
      <c r="D9976" t="s">
        <v>1823</v>
      </c>
      <c r="E9976">
        <v>18.690000000000001</v>
      </c>
      <c r="F9976">
        <v>7</v>
      </c>
      <c r="G9976">
        <v>0</v>
      </c>
      <c r="H9976">
        <v>5.2332000000000001</v>
      </c>
      <c r="U9976">
        <v>5.2332000000000001</v>
      </c>
    </row>
    <row r="9977" spans="1:21" x14ac:dyDescent="0.35">
      <c r="A9977" s="1">
        <v>42533</v>
      </c>
      <c r="B9977" t="s">
        <v>1448</v>
      </c>
      <c r="C9977" t="s">
        <v>13</v>
      </c>
      <c r="D9977" t="s">
        <v>1042</v>
      </c>
      <c r="E9977">
        <v>13.36</v>
      </c>
      <c r="F9977">
        <v>2</v>
      </c>
      <c r="G9977">
        <v>0</v>
      </c>
      <c r="H9977">
        <v>6.4127999999999998</v>
      </c>
      <c r="U9977">
        <v>6.4127999999999998</v>
      </c>
    </row>
    <row r="9978" spans="1:21" x14ac:dyDescent="0.35">
      <c r="A9978" s="1">
        <v>42533</v>
      </c>
      <c r="B9978" t="s">
        <v>1448</v>
      </c>
      <c r="C9978" t="s">
        <v>13</v>
      </c>
      <c r="D9978" t="s">
        <v>912</v>
      </c>
      <c r="E9978">
        <v>249.584</v>
      </c>
      <c r="F9978">
        <v>2</v>
      </c>
      <c r="G9978">
        <v>0.2</v>
      </c>
      <c r="H9978">
        <v>31.198</v>
      </c>
      <c r="U9978">
        <v>31.198</v>
      </c>
    </row>
    <row r="9979" spans="1:21" x14ac:dyDescent="0.35">
      <c r="A9979" s="1">
        <v>42533</v>
      </c>
      <c r="B9979" t="s">
        <v>1448</v>
      </c>
      <c r="C9979" t="s">
        <v>13</v>
      </c>
      <c r="D9979" t="s">
        <v>910</v>
      </c>
      <c r="E9979">
        <v>13.86</v>
      </c>
      <c r="F9979">
        <v>7</v>
      </c>
      <c r="G9979">
        <v>0</v>
      </c>
      <c r="H9979">
        <v>0</v>
      </c>
      <c r="U9979">
        <v>0</v>
      </c>
    </row>
    <row r="9980" spans="1:21" x14ac:dyDescent="0.35">
      <c r="A9980" s="1">
        <v>42533</v>
      </c>
      <c r="B9980" t="s">
        <v>1448</v>
      </c>
      <c r="C9980" t="s">
        <v>13</v>
      </c>
      <c r="D9980" t="s">
        <v>1391</v>
      </c>
      <c r="E9980">
        <v>13.375999999999999</v>
      </c>
      <c r="F9980">
        <v>4</v>
      </c>
      <c r="G9980">
        <v>0.2</v>
      </c>
      <c r="H9980">
        <v>4.6816000000000004</v>
      </c>
      <c r="U9980">
        <v>4.6816000000000004</v>
      </c>
    </row>
    <row r="9981" spans="1:21" x14ac:dyDescent="0.35">
      <c r="A9981" s="1">
        <v>42533</v>
      </c>
      <c r="B9981" t="s">
        <v>1448</v>
      </c>
      <c r="C9981" t="s">
        <v>13</v>
      </c>
      <c r="D9981" t="s">
        <v>2639</v>
      </c>
      <c r="E9981">
        <v>437.47199999999998</v>
      </c>
      <c r="F9981">
        <v>14</v>
      </c>
      <c r="G9981">
        <v>0.2</v>
      </c>
      <c r="H9981">
        <v>153.11519999999999</v>
      </c>
      <c r="U9981">
        <v>153.11519999999999</v>
      </c>
    </row>
    <row r="9982" spans="1:21" x14ac:dyDescent="0.35">
      <c r="A9982" s="1">
        <v>42164</v>
      </c>
      <c r="B9982" t="s">
        <v>1780</v>
      </c>
      <c r="C9982" t="s">
        <v>8</v>
      </c>
      <c r="D9982" t="s">
        <v>1425</v>
      </c>
      <c r="E9982">
        <v>85.98</v>
      </c>
      <c r="F9982">
        <v>1</v>
      </c>
      <c r="G9982">
        <v>0</v>
      </c>
      <c r="H9982">
        <v>22.354800000000001</v>
      </c>
      <c r="U9982">
        <v>22.354800000000001</v>
      </c>
    </row>
    <row r="9983" spans="1:21" x14ac:dyDescent="0.35">
      <c r="A9983" s="1">
        <v>42802</v>
      </c>
      <c r="B9983" t="s">
        <v>122</v>
      </c>
      <c r="C9983" t="s">
        <v>55</v>
      </c>
      <c r="D9983" t="s">
        <v>1104</v>
      </c>
      <c r="E9983">
        <v>16.52</v>
      </c>
      <c r="F9983">
        <v>5</v>
      </c>
      <c r="G9983">
        <v>0.2</v>
      </c>
      <c r="H9983">
        <v>5.3689999999999998</v>
      </c>
      <c r="U9983">
        <v>5.3689999999999998</v>
      </c>
    </row>
    <row r="9984" spans="1:21" x14ac:dyDescent="0.35">
      <c r="A9984" t="s">
        <v>184</v>
      </c>
      <c r="B9984" t="s">
        <v>233</v>
      </c>
      <c r="C9984" t="s">
        <v>35</v>
      </c>
      <c r="D9984" t="s">
        <v>1267</v>
      </c>
      <c r="E9984">
        <v>35.56</v>
      </c>
      <c r="F9984">
        <v>7</v>
      </c>
      <c r="G9984">
        <v>0</v>
      </c>
      <c r="H9984">
        <v>16.713200000000001</v>
      </c>
      <c r="U9984">
        <v>16.713200000000001</v>
      </c>
    </row>
    <row r="9985" spans="1:21" x14ac:dyDescent="0.35">
      <c r="A9985" t="s">
        <v>184</v>
      </c>
      <c r="B9985" t="s">
        <v>233</v>
      </c>
      <c r="C9985" t="s">
        <v>35</v>
      </c>
      <c r="D9985" t="s">
        <v>2547</v>
      </c>
      <c r="E9985">
        <v>97.98</v>
      </c>
      <c r="F9985">
        <v>2</v>
      </c>
      <c r="G9985">
        <v>0</v>
      </c>
      <c r="H9985">
        <v>27.4344</v>
      </c>
      <c r="U9985">
        <v>27.4344</v>
      </c>
    </row>
    <row r="9986" spans="1:21" x14ac:dyDescent="0.35">
      <c r="A9986" t="s">
        <v>1044</v>
      </c>
      <c r="B9986" t="s">
        <v>928</v>
      </c>
      <c r="C9986" t="s">
        <v>55</v>
      </c>
      <c r="D9986" t="s">
        <v>697</v>
      </c>
      <c r="E9986">
        <v>31.5</v>
      </c>
      <c r="F9986">
        <v>10</v>
      </c>
      <c r="G9986">
        <v>0</v>
      </c>
      <c r="H9986">
        <v>15.12</v>
      </c>
      <c r="U9986">
        <v>15.12</v>
      </c>
    </row>
    <row r="9987" spans="1:21" x14ac:dyDescent="0.35">
      <c r="A9987" t="s">
        <v>1044</v>
      </c>
      <c r="B9987" t="s">
        <v>928</v>
      </c>
      <c r="C9987" t="s">
        <v>55</v>
      </c>
      <c r="D9987" t="s">
        <v>1920</v>
      </c>
      <c r="E9987">
        <v>55.6</v>
      </c>
      <c r="F9987">
        <v>4</v>
      </c>
      <c r="G9987">
        <v>0</v>
      </c>
      <c r="H9987">
        <v>16.123999999999999</v>
      </c>
      <c r="U9987">
        <v>16.123999999999999</v>
      </c>
    </row>
    <row r="9988" spans="1:21" x14ac:dyDescent="0.35">
      <c r="A9988" t="s">
        <v>1212</v>
      </c>
      <c r="B9988" t="s">
        <v>2016</v>
      </c>
      <c r="C9988" t="s">
        <v>13</v>
      </c>
      <c r="D9988" t="s">
        <v>2350</v>
      </c>
      <c r="E9988">
        <v>36.24</v>
      </c>
      <c r="F9988">
        <v>1</v>
      </c>
      <c r="G9988">
        <v>0</v>
      </c>
      <c r="H9988">
        <v>15.220800000000001</v>
      </c>
      <c r="U9988">
        <v>15.220800000000001</v>
      </c>
    </row>
    <row r="9989" spans="1:21" x14ac:dyDescent="0.35">
      <c r="A9989" t="s">
        <v>955</v>
      </c>
      <c r="B9989" t="s">
        <v>91</v>
      </c>
      <c r="C9989" t="s">
        <v>8</v>
      </c>
      <c r="D9989" t="s">
        <v>2443</v>
      </c>
      <c r="E9989">
        <v>79.989999999999995</v>
      </c>
      <c r="F9989">
        <v>1</v>
      </c>
      <c r="G9989">
        <v>0</v>
      </c>
      <c r="H9989">
        <v>28.796399999999998</v>
      </c>
      <c r="U9989">
        <v>28.796399999999998</v>
      </c>
    </row>
    <row r="9990" spans="1:21" x14ac:dyDescent="0.35">
      <c r="A9990" t="s">
        <v>955</v>
      </c>
      <c r="B9990" t="s">
        <v>91</v>
      </c>
      <c r="C9990" t="s">
        <v>8</v>
      </c>
      <c r="D9990" t="s">
        <v>2653</v>
      </c>
      <c r="E9990">
        <v>206.1</v>
      </c>
      <c r="F9990">
        <v>5</v>
      </c>
      <c r="G9990">
        <v>0</v>
      </c>
      <c r="H9990">
        <v>55.646999999999998</v>
      </c>
      <c r="U9990">
        <v>55.646999999999998</v>
      </c>
    </row>
    <row r="9991" spans="1:21" x14ac:dyDescent="0.35">
      <c r="A9991" t="s">
        <v>2595</v>
      </c>
      <c r="B9991" t="s">
        <v>1691</v>
      </c>
      <c r="C9991" t="s">
        <v>8</v>
      </c>
      <c r="D9991" t="s">
        <v>1880</v>
      </c>
      <c r="E9991">
        <v>25.248000000000001</v>
      </c>
      <c r="F9991">
        <v>3</v>
      </c>
      <c r="G9991">
        <v>0.2</v>
      </c>
      <c r="H9991">
        <v>4.1028000000000002</v>
      </c>
      <c r="U9991">
        <v>4.1028000000000002</v>
      </c>
    </row>
    <row r="9992" spans="1:21" x14ac:dyDescent="0.35">
      <c r="A9992" t="s">
        <v>1469</v>
      </c>
      <c r="B9992" t="s">
        <v>301</v>
      </c>
      <c r="C9992" t="s">
        <v>13</v>
      </c>
      <c r="D9992" t="s">
        <v>2629</v>
      </c>
      <c r="E9992">
        <v>91.96</v>
      </c>
      <c r="F9992">
        <v>2</v>
      </c>
      <c r="G9992">
        <v>0</v>
      </c>
      <c r="H9992">
        <v>15.6332</v>
      </c>
      <c r="U9992">
        <v>15.6332</v>
      </c>
    </row>
    <row r="9993" spans="1:21" x14ac:dyDescent="0.35">
      <c r="A9993" t="s">
        <v>1469</v>
      </c>
      <c r="B9993" t="s">
        <v>301</v>
      </c>
      <c r="C9993" t="s">
        <v>13</v>
      </c>
      <c r="D9993" t="s">
        <v>572</v>
      </c>
      <c r="E9993">
        <v>258.57600000000002</v>
      </c>
      <c r="F9993">
        <v>2</v>
      </c>
      <c r="G9993">
        <v>0.2</v>
      </c>
      <c r="H9993">
        <v>19.3932</v>
      </c>
      <c r="U9993">
        <v>19.3932</v>
      </c>
    </row>
    <row r="9994" spans="1:21" x14ac:dyDescent="0.35">
      <c r="A9994" t="s">
        <v>1469</v>
      </c>
      <c r="B9994" t="s">
        <v>301</v>
      </c>
      <c r="C9994" t="s">
        <v>13</v>
      </c>
      <c r="D9994" t="s">
        <v>1592</v>
      </c>
      <c r="E9994">
        <v>29.6</v>
      </c>
      <c r="F9994">
        <v>4</v>
      </c>
      <c r="G9994">
        <v>0</v>
      </c>
      <c r="H9994">
        <v>13.32</v>
      </c>
      <c r="U9994">
        <v>13.32</v>
      </c>
    </row>
    <row r="9995" spans="1:21" x14ac:dyDescent="0.35">
      <c r="A9995" s="1">
        <v>42830</v>
      </c>
      <c r="B9995" t="s">
        <v>1517</v>
      </c>
      <c r="C9995" t="s">
        <v>13</v>
      </c>
      <c r="D9995" t="s">
        <v>337</v>
      </c>
      <c r="E9995">
        <v>243.16</v>
      </c>
      <c r="F9995">
        <v>2</v>
      </c>
      <c r="G9995">
        <v>0</v>
      </c>
      <c r="H9995">
        <v>72.947999999999993</v>
      </c>
      <c r="U9995">
        <v>72.947999999999993</v>
      </c>
    </row>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70544-5C6D-4B84-9579-95E847955280}">
  <dimension ref="A1:G9"/>
  <sheetViews>
    <sheetView workbookViewId="0">
      <selection activeCell="A3" sqref="A3:G9"/>
    </sheetView>
  </sheetViews>
  <sheetFormatPr defaultRowHeight="14.5" x14ac:dyDescent="0.35"/>
  <cols>
    <col min="1" max="1" width="16.6328125" bestFit="1" customWidth="1"/>
    <col min="2" max="2" width="8.81640625" bestFit="1" customWidth="1"/>
    <col min="3" max="3" width="64.90625" bestFit="1" customWidth="1"/>
    <col min="4" max="4" width="8.81640625" bestFit="1" customWidth="1"/>
    <col min="5" max="5" width="11.6328125" bestFit="1" customWidth="1"/>
    <col min="6" max="6" width="10.6328125" bestFit="1" customWidth="1"/>
    <col min="7" max="7" width="8.81640625" bestFit="1" customWidth="1"/>
  </cols>
  <sheetData>
    <row r="1" spans="1:7" x14ac:dyDescent="0.35">
      <c r="A1" s="2" t="s">
        <v>2765</v>
      </c>
    </row>
    <row r="3" spans="1:7" x14ac:dyDescent="0.35">
      <c r="A3" t="s">
        <v>1</v>
      </c>
      <c r="B3" t="s">
        <v>2</v>
      </c>
      <c r="C3" t="s">
        <v>3</v>
      </c>
      <c r="D3" t="s">
        <v>4</v>
      </c>
      <c r="E3" t="s">
        <v>2757</v>
      </c>
      <c r="F3" t="s">
        <v>5</v>
      </c>
      <c r="G3" t="s">
        <v>6</v>
      </c>
    </row>
    <row r="4" spans="1:7" x14ac:dyDescent="0.35">
      <c r="A4" t="s">
        <v>7</v>
      </c>
      <c r="B4" t="s">
        <v>8</v>
      </c>
      <c r="C4" t="s">
        <v>9</v>
      </c>
      <c r="D4">
        <v>261.95999999999998</v>
      </c>
      <c r="E4">
        <v>2</v>
      </c>
      <c r="F4">
        <v>0</v>
      </c>
      <c r="G4">
        <v>41.913600000000002</v>
      </c>
    </row>
    <row r="5" spans="1:7" x14ac:dyDescent="0.35">
      <c r="A5" t="s">
        <v>7</v>
      </c>
      <c r="B5" t="s">
        <v>8</v>
      </c>
      <c r="C5" t="s">
        <v>10</v>
      </c>
      <c r="D5">
        <v>731.94</v>
      </c>
      <c r="E5">
        <v>3</v>
      </c>
      <c r="F5">
        <v>0</v>
      </c>
      <c r="G5">
        <v>219.58199999999999</v>
      </c>
    </row>
    <row r="6" spans="1:7" x14ac:dyDescent="0.35">
      <c r="A6" t="s">
        <v>95</v>
      </c>
      <c r="B6" t="s">
        <v>8</v>
      </c>
      <c r="C6" t="s">
        <v>96</v>
      </c>
      <c r="D6">
        <v>95.616</v>
      </c>
      <c r="E6">
        <v>2</v>
      </c>
      <c r="F6">
        <v>0.2</v>
      </c>
      <c r="G6">
        <v>9.5616000000000003</v>
      </c>
    </row>
    <row r="7" spans="1:7" x14ac:dyDescent="0.35">
      <c r="A7" t="s">
        <v>16</v>
      </c>
      <c r="B7" t="s">
        <v>8</v>
      </c>
      <c r="C7" t="s">
        <v>17</v>
      </c>
      <c r="D7">
        <v>957.57749999999999</v>
      </c>
      <c r="E7">
        <v>5</v>
      </c>
      <c r="F7">
        <v>0.45</v>
      </c>
      <c r="G7">
        <v>-383.03100000000001</v>
      </c>
    </row>
    <row r="8" spans="1:7" x14ac:dyDescent="0.35">
      <c r="A8" t="s">
        <v>16</v>
      </c>
      <c r="B8" t="s">
        <v>8</v>
      </c>
      <c r="C8" t="s">
        <v>18</v>
      </c>
      <c r="D8">
        <v>22.367999999999999</v>
      </c>
      <c r="E8">
        <v>2</v>
      </c>
      <c r="F8">
        <v>0.2</v>
      </c>
      <c r="G8">
        <v>2.5164</v>
      </c>
    </row>
    <row r="9" spans="1:7" x14ac:dyDescent="0.35">
      <c r="A9" t="s">
        <v>29</v>
      </c>
      <c r="B9" t="s">
        <v>8</v>
      </c>
      <c r="C9" t="s">
        <v>30</v>
      </c>
      <c r="D9">
        <v>15.552</v>
      </c>
      <c r="E9">
        <v>3</v>
      </c>
      <c r="F9">
        <v>0.2</v>
      </c>
      <c r="G9">
        <v>5.4432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C2A22-B924-476D-B889-5C7579E95503}">
  <dimension ref="A3:K77"/>
  <sheetViews>
    <sheetView topLeftCell="H1" zoomScale="75" zoomScaleNormal="99" workbookViewId="0">
      <selection activeCell="J23" sqref="J23"/>
    </sheetView>
  </sheetViews>
  <sheetFormatPr defaultRowHeight="14.5" x14ac:dyDescent="0.35"/>
  <cols>
    <col min="1" max="1" width="86.6328125" bestFit="1" customWidth="1"/>
    <col min="2" max="2" width="12.08984375" bestFit="1" customWidth="1"/>
    <col min="4" max="4" width="53.90625" bestFit="1" customWidth="1"/>
    <col min="5" max="5" width="12.08984375" bestFit="1" customWidth="1"/>
    <col min="7" max="7" width="17.1796875" bestFit="1" customWidth="1"/>
    <col min="8" max="8" width="12.08984375" bestFit="1" customWidth="1"/>
    <col min="10" max="10" width="62.54296875" bestFit="1" customWidth="1"/>
    <col min="11" max="11" width="16.1796875" bestFit="1" customWidth="1"/>
  </cols>
  <sheetData>
    <row r="3" spans="1:11" x14ac:dyDescent="0.35">
      <c r="A3" s="9" t="s">
        <v>2759</v>
      </c>
      <c r="B3" t="s">
        <v>2760</v>
      </c>
      <c r="D3" s="9" t="s">
        <v>2759</v>
      </c>
      <c r="E3" t="s">
        <v>2760</v>
      </c>
      <c r="G3" s="9" t="s">
        <v>2759</v>
      </c>
      <c r="H3" t="s">
        <v>2760</v>
      </c>
      <c r="J3" s="9" t="s">
        <v>2759</v>
      </c>
      <c r="K3" t="s">
        <v>2761</v>
      </c>
    </row>
    <row r="4" spans="1:11" x14ac:dyDescent="0.35">
      <c r="A4" s="10" t="s">
        <v>35</v>
      </c>
      <c r="B4" s="17">
        <v>3786.4912000000004</v>
      </c>
      <c r="D4" s="10" t="s">
        <v>65</v>
      </c>
      <c r="E4" s="17">
        <v>3083.43</v>
      </c>
      <c r="G4" s="10" t="s">
        <v>19</v>
      </c>
      <c r="H4" s="17">
        <v>3714.3040000000001</v>
      </c>
      <c r="J4" s="10" t="s">
        <v>82</v>
      </c>
      <c r="K4" s="19">
        <v>9</v>
      </c>
    </row>
    <row r="5" spans="1:11" x14ac:dyDescent="0.35">
      <c r="A5" s="10" t="s">
        <v>55</v>
      </c>
      <c r="B5" s="17">
        <v>3467.6060000000002</v>
      </c>
      <c r="D5" s="10" t="s">
        <v>17</v>
      </c>
      <c r="E5" s="17">
        <v>2002.2075</v>
      </c>
      <c r="G5" s="10" t="s">
        <v>64</v>
      </c>
      <c r="H5" s="17">
        <v>3329.4340000000002</v>
      </c>
      <c r="J5" s="10" t="s">
        <v>25</v>
      </c>
      <c r="K5" s="19">
        <v>9</v>
      </c>
    </row>
    <row r="6" spans="1:11" x14ac:dyDescent="0.35">
      <c r="A6" s="10" t="s">
        <v>8</v>
      </c>
      <c r="B6" s="17">
        <v>2085.0135</v>
      </c>
      <c r="D6" s="10" t="s">
        <v>25</v>
      </c>
      <c r="E6" s="17">
        <v>1706.184</v>
      </c>
      <c r="G6" s="10" t="s">
        <v>76</v>
      </c>
      <c r="H6" s="17">
        <v>1288.4640000000002</v>
      </c>
      <c r="J6" s="10" t="s">
        <v>17</v>
      </c>
      <c r="K6" s="19">
        <v>8</v>
      </c>
    </row>
    <row r="7" spans="1:11" x14ac:dyDescent="0.35">
      <c r="A7" s="10" t="s">
        <v>13</v>
      </c>
      <c r="B7" s="17">
        <v>5661.8879999999999</v>
      </c>
      <c r="D7" s="10" t="s">
        <v>77</v>
      </c>
      <c r="E7" s="17">
        <v>1097.5440000000001</v>
      </c>
      <c r="G7" s="10" t="s">
        <v>81</v>
      </c>
      <c r="H7" s="17">
        <v>1228.9531999999999</v>
      </c>
      <c r="J7" s="10" t="s">
        <v>51</v>
      </c>
      <c r="K7" s="19">
        <v>7</v>
      </c>
    </row>
    <row r="8" spans="1:11" x14ac:dyDescent="0.35">
      <c r="A8" s="10" t="s">
        <v>2754</v>
      </c>
      <c r="B8" s="17">
        <v>15000.9987</v>
      </c>
      <c r="D8" s="10" t="s">
        <v>26</v>
      </c>
      <c r="E8" s="17">
        <v>911.42399999999998</v>
      </c>
      <c r="G8" s="10" t="s">
        <v>58</v>
      </c>
      <c r="H8" s="17">
        <v>1044.6300000000001</v>
      </c>
      <c r="J8" s="10" t="s">
        <v>77</v>
      </c>
      <c r="K8" s="19">
        <v>7</v>
      </c>
    </row>
    <row r="9" spans="1:11" x14ac:dyDescent="0.35">
      <c r="D9" s="10" t="s">
        <v>22</v>
      </c>
      <c r="E9" s="17">
        <v>907.15200000000004</v>
      </c>
      <c r="G9" s="10" t="s">
        <v>7</v>
      </c>
      <c r="H9" s="17">
        <v>993.90000000000009</v>
      </c>
      <c r="J9" s="10" t="s">
        <v>65</v>
      </c>
      <c r="K9" s="19">
        <v>7</v>
      </c>
    </row>
    <row r="10" spans="1:11" x14ac:dyDescent="0.35">
      <c r="D10" s="10" t="s">
        <v>10</v>
      </c>
      <c r="E10" s="17">
        <v>731.94</v>
      </c>
      <c r="G10" s="10" t="s">
        <v>16</v>
      </c>
      <c r="H10" s="17">
        <v>979.94550000000004</v>
      </c>
      <c r="J10" s="10" t="s">
        <v>52</v>
      </c>
      <c r="K10" s="19">
        <v>7</v>
      </c>
    </row>
    <row r="11" spans="1:11" x14ac:dyDescent="0.35">
      <c r="D11" s="10" t="s">
        <v>40</v>
      </c>
      <c r="E11" s="17">
        <v>665.88</v>
      </c>
      <c r="G11" s="10" t="s">
        <v>39</v>
      </c>
      <c r="H11" s="17">
        <v>665.88</v>
      </c>
      <c r="J11" s="10" t="s">
        <v>20</v>
      </c>
      <c r="K11" s="19">
        <v>7</v>
      </c>
    </row>
    <row r="12" spans="1:11" x14ac:dyDescent="0.35">
      <c r="D12" s="10" t="s">
        <v>83</v>
      </c>
      <c r="E12" s="17">
        <v>532.39919999999995</v>
      </c>
      <c r="G12" s="10" t="s">
        <v>31</v>
      </c>
      <c r="H12" s="17">
        <v>407.976</v>
      </c>
      <c r="J12" s="10" t="s">
        <v>40</v>
      </c>
      <c r="K12" s="19">
        <v>6</v>
      </c>
    </row>
    <row r="13" spans="1:11" x14ac:dyDescent="0.35">
      <c r="D13" s="10" t="s">
        <v>32</v>
      </c>
      <c r="E13" s="17">
        <v>407.976</v>
      </c>
      <c r="G13" s="10" t="s">
        <v>45</v>
      </c>
      <c r="H13" s="17">
        <v>244.76</v>
      </c>
      <c r="J13" s="10" t="s">
        <v>70</v>
      </c>
      <c r="K13" s="19">
        <v>6</v>
      </c>
    </row>
    <row r="14" spans="1:11" x14ac:dyDescent="0.35">
      <c r="D14" s="10" t="s">
        <v>2754</v>
      </c>
      <c r="E14" s="17">
        <v>12046.136699999997</v>
      </c>
      <c r="G14" s="10" t="s">
        <v>2754</v>
      </c>
      <c r="H14" s="17">
        <v>13898.246700000002</v>
      </c>
      <c r="J14" s="10" t="s">
        <v>22</v>
      </c>
      <c r="K14" s="19">
        <v>6</v>
      </c>
    </row>
    <row r="15" spans="1:11" x14ac:dyDescent="0.35">
      <c r="J15" s="10" t="s">
        <v>69</v>
      </c>
      <c r="K15" s="19">
        <v>6</v>
      </c>
    </row>
    <row r="16" spans="1:11" x14ac:dyDescent="0.35">
      <c r="J16" s="10" t="s">
        <v>2754</v>
      </c>
      <c r="K16" s="19">
        <v>85</v>
      </c>
    </row>
    <row r="23" spans="1:2" x14ac:dyDescent="0.35">
      <c r="A23" s="9" t="s">
        <v>2759</v>
      </c>
      <c r="B23" t="s">
        <v>2760</v>
      </c>
    </row>
    <row r="24" spans="1:2" x14ac:dyDescent="0.35">
      <c r="A24" s="10" t="s">
        <v>35</v>
      </c>
      <c r="B24" s="17">
        <v>3786.4912000000004</v>
      </c>
    </row>
    <row r="25" spans="1:2" x14ac:dyDescent="0.35">
      <c r="A25" s="18" t="s">
        <v>82</v>
      </c>
      <c r="B25" s="17">
        <v>113.328</v>
      </c>
    </row>
    <row r="26" spans="1:2" x14ac:dyDescent="0.35">
      <c r="A26" s="18" t="s">
        <v>52</v>
      </c>
      <c r="B26" s="17">
        <v>60.34</v>
      </c>
    </row>
    <row r="27" spans="1:2" x14ac:dyDescent="0.35">
      <c r="A27" s="18" t="s">
        <v>83</v>
      </c>
      <c r="B27" s="17">
        <v>532.39919999999995</v>
      </c>
    </row>
    <row r="28" spans="1:2" x14ac:dyDescent="0.35">
      <c r="A28" s="18" t="s">
        <v>75</v>
      </c>
      <c r="B28" s="17">
        <v>29.472000000000001</v>
      </c>
    </row>
    <row r="29" spans="1:2" x14ac:dyDescent="0.35">
      <c r="A29" s="18" t="s">
        <v>78</v>
      </c>
      <c r="B29" s="17">
        <v>190.92</v>
      </c>
    </row>
    <row r="30" spans="1:2" x14ac:dyDescent="0.35">
      <c r="A30" s="18" t="s">
        <v>77</v>
      </c>
      <c r="B30" s="17">
        <v>1097.5440000000001</v>
      </c>
    </row>
    <row r="31" spans="1:2" x14ac:dyDescent="0.35">
      <c r="A31" s="18" t="s">
        <v>84</v>
      </c>
      <c r="B31" s="17">
        <v>212.05799999999999</v>
      </c>
    </row>
    <row r="32" spans="1:2" x14ac:dyDescent="0.35">
      <c r="A32" s="18" t="s">
        <v>104</v>
      </c>
      <c r="B32" s="17">
        <v>211.96</v>
      </c>
    </row>
    <row r="33" spans="1:2" x14ac:dyDescent="0.35">
      <c r="A33" s="18" t="s">
        <v>36</v>
      </c>
      <c r="B33" s="17">
        <v>68.81</v>
      </c>
    </row>
    <row r="34" spans="1:2" x14ac:dyDescent="0.35">
      <c r="A34" s="18" t="s">
        <v>51</v>
      </c>
      <c r="B34" s="17">
        <v>19.46</v>
      </c>
    </row>
    <row r="35" spans="1:2" x14ac:dyDescent="0.35">
      <c r="A35" s="18" t="s">
        <v>88</v>
      </c>
      <c r="B35" s="17">
        <v>147.16800000000001</v>
      </c>
    </row>
    <row r="36" spans="1:2" x14ac:dyDescent="0.35">
      <c r="A36" s="18" t="s">
        <v>85</v>
      </c>
      <c r="B36" s="17">
        <v>371.16800000000001</v>
      </c>
    </row>
    <row r="37" spans="1:2" x14ac:dyDescent="0.35">
      <c r="A37" s="18" t="s">
        <v>37</v>
      </c>
      <c r="B37" s="17">
        <v>2.544</v>
      </c>
    </row>
    <row r="38" spans="1:2" x14ac:dyDescent="0.35">
      <c r="A38" s="18" t="s">
        <v>40</v>
      </c>
      <c r="B38" s="17">
        <v>665.88</v>
      </c>
    </row>
    <row r="39" spans="1:2" x14ac:dyDescent="0.35">
      <c r="A39" s="18" t="s">
        <v>99</v>
      </c>
      <c r="B39" s="17">
        <v>45.98</v>
      </c>
    </row>
    <row r="40" spans="1:2" x14ac:dyDescent="0.35">
      <c r="A40" s="18" t="s">
        <v>100</v>
      </c>
      <c r="B40" s="17">
        <v>17.46</v>
      </c>
    </row>
    <row r="41" spans="1:2" x14ac:dyDescent="0.35">
      <c r="A41" s="10" t="s">
        <v>55</v>
      </c>
      <c r="B41" s="17">
        <v>3467.6059999999998</v>
      </c>
    </row>
    <row r="42" spans="1:2" x14ac:dyDescent="0.35">
      <c r="A42" s="18" t="s">
        <v>70</v>
      </c>
      <c r="B42" s="17">
        <v>6.8579999999999997</v>
      </c>
    </row>
    <row r="43" spans="1:2" x14ac:dyDescent="0.35">
      <c r="A43" s="18" t="s">
        <v>66</v>
      </c>
      <c r="B43" s="17">
        <v>9.6180000000000003</v>
      </c>
    </row>
    <row r="44" spans="1:2" x14ac:dyDescent="0.35">
      <c r="A44" s="18" t="s">
        <v>69</v>
      </c>
      <c r="B44" s="17">
        <v>86.304000000000002</v>
      </c>
    </row>
    <row r="45" spans="1:2" x14ac:dyDescent="0.35">
      <c r="A45" s="18" t="s">
        <v>56</v>
      </c>
      <c r="B45" s="17">
        <v>71.372</v>
      </c>
    </row>
    <row r="46" spans="1:2" x14ac:dyDescent="0.35">
      <c r="A46" s="18" t="s">
        <v>67</v>
      </c>
      <c r="B46" s="17">
        <v>124.2</v>
      </c>
    </row>
    <row r="47" spans="1:2" x14ac:dyDescent="0.35">
      <c r="A47" s="18" t="s">
        <v>108</v>
      </c>
      <c r="B47" s="17">
        <v>45</v>
      </c>
    </row>
    <row r="48" spans="1:2" x14ac:dyDescent="0.35">
      <c r="A48" s="18" t="s">
        <v>109</v>
      </c>
      <c r="B48" s="17">
        <v>21.8</v>
      </c>
    </row>
    <row r="49" spans="1:2" x14ac:dyDescent="0.35">
      <c r="A49" s="18" t="s">
        <v>71</v>
      </c>
      <c r="B49" s="17">
        <v>15.76</v>
      </c>
    </row>
    <row r="50" spans="1:2" x14ac:dyDescent="0.35">
      <c r="A50" s="18" t="s">
        <v>65</v>
      </c>
      <c r="B50" s="17">
        <v>3083.43</v>
      </c>
    </row>
    <row r="51" spans="1:2" x14ac:dyDescent="0.35">
      <c r="A51" s="18" t="s">
        <v>68</v>
      </c>
      <c r="B51" s="17">
        <v>3.2639999999999998</v>
      </c>
    </row>
    <row r="52" spans="1:2" x14ac:dyDescent="0.35">
      <c r="A52" s="10" t="s">
        <v>8</v>
      </c>
      <c r="B52" s="17">
        <v>2085.0135000000005</v>
      </c>
    </row>
    <row r="53" spans="1:2" x14ac:dyDescent="0.35">
      <c r="A53" s="18" t="s">
        <v>96</v>
      </c>
      <c r="B53" s="17">
        <v>95.616</v>
      </c>
    </row>
    <row r="54" spans="1:2" x14ac:dyDescent="0.35">
      <c r="A54" s="18" t="s">
        <v>17</v>
      </c>
      <c r="B54" s="17">
        <v>957.57749999999999</v>
      </c>
    </row>
    <row r="55" spans="1:2" x14ac:dyDescent="0.35">
      <c r="A55" s="18" t="s">
        <v>9</v>
      </c>
      <c r="B55" s="17">
        <v>261.95999999999998</v>
      </c>
    </row>
    <row r="56" spans="1:2" x14ac:dyDescent="0.35">
      <c r="A56" s="18" t="s">
        <v>18</v>
      </c>
      <c r="B56" s="17">
        <v>22.367999999999999</v>
      </c>
    </row>
    <row r="57" spans="1:2" x14ac:dyDescent="0.35">
      <c r="A57" s="18" t="s">
        <v>10</v>
      </c>
      <c r="B57" s="17">
        <v>731.94</v>
      </c>
    </row>
    <row r="58" spans="1:2" x14ac:dyDescent="0.35">
      <c r="A58" s="18" t="s">
        <v>30</v>
      </c>
      <c r="B58" s="17">
        <v>15.552</v>
      </c>
    </row>
    <row r="59" spans="1:2" x14ac:dyDescent="0.35">
      <c r="A59" s="10" t="s">
        <v>13</v>
      </c>
      <c r="B59" s="17">
        <v>5661.8880000000008</v>
      </c>
    </row>
    <row r="60" spans="1:2" x14ac:dyDescent="0.35">
      <c r="A60" s="18" t="s">
        <v>24</v>
      </c>
      <c r="B60" s="17">
        <v>114.9</v>
      </c>
    </row>
    <row r="61" spans="1:2" x14ac:dyDescent="0.35">
      <c r="A61" s="18" t="s">
        <v>17</v>
      </c>
      <c r="B61" s="17">
        <v>1044.6300000000001</v>
      </c>
    </row>
    <row r="62" spans="1:2" x14ac:dyDescent="0.35">
      <c r="A62" s="18" t="s">
        <v>25</v>
      </c>
      <c r="B62" s="17">
        <v>1706.184</v>
      </c>
    </row>
    <row r="63" spans="1:2" x14ac:dyDescent="0.35">
      <c r="A63" s="18" t="s">
        <v>47</v>
      </c>
      <c r="B63" s="17">
        <v>213.48</v>
      </c>
    </row>
    <row r="64" spans="1:2" x14ac:dyDescent="0.35">
      <c r="A64" s="18" t="s">
        <v>23</v>
      </c>
      <c r="B64" s="17">
        <v>18.504000000000001</v>
      </c>
    </row>
    <row r="65" spans="1:2" x14ac:dyDescent="0.35">
      <c r="A65" s="18" t="s">
        <v>92</v>
      </c>
      <c r="B65" s="17">
        <v>77.88</v>
      </c>
    </row>
    <row r="66" spans="1:2" x14ac:dyDescent="0.35">
      <c r="A66" s="18" t="s">
        <v>20</v>
      </c>
      <c r="B66" s="17">
        <v>48.86</v>
      </c>
    </row>
    <row r="67" spans="1:2" x14ac:dyDescent="0.35">
      <c r="A67" s="18" t="s">
        <v>32</v>
      </c>
      <c r="B67" s="17">
        <v>407.976</v>
      </c>
    </row>
    <row r="68" spans="1:2" x14ac:dyDescent="0.35">
      <c r="A68" s="18" t="s">
        <v>43</v>
      </c>
      <c r="B68" s="17">
        <v>55.5</v>
      </c>
    </row>
    <row r="69" spans="1:2" x14ac:dyDescent="0.35">
      <c r="A69" s="18" t="s">
        <v>62</v>
      </c>
      <c r="B69" s="17">
        <v>90.57</v>
      </c>
    </row>
    <row r="70" spans="1:2" x14ac:dyDescent="0.35">
      <c r="A70" s="18" t="s">
        <v>26</v>
      </c>
      <c r="B70" s="17">
        <v>911.42399999999998</v>
      </c>
    </row>
    <row r="71" spans="1:2" x14ac:dyDescent="0.35">
      <c r="A71" s="18" t="s">
        <v>22</v>
      </c>
      <c r="B71" s="17">
        <v>907.15200000000004</v>
      </c>
    </row>
    <row r="72" spans="1:2" x14ac:dyDescent="0.35">
      <c r="A72" s="18" t="s">
        <v>21</v>
      </c>
      <c r="B72" s="17">
        <v>7.28</v>
      </c>
    </row>
    <row r="73" spans="1:2" x14ac:dyDescent="0.35">
      <c r="A73" s="18" t="s">
        <v>46</v>
      </c>
      <c r="B73" s="17">
        <v>8.56</v>
      </c>
    </row>
    <row r="74" spans="1:2" x14ac:dyDescent="0.35">
      <c r="A74" s="18" t="s">
        <v>14</v>
      </c>
      <c r="B74" s="17">
        <v>14.62</v>
      </c>
    </row>
    <row r="75" spans="1:2" x14ac:dyDescent="0.35">
      <c r="A75" s="18" t="s">
        <v>61</v>
      </c>
      <c r="B75" s="17">
        <v>11.648</v>
      </c>
    </row>
    <row r="76" spans="1:2" x14ac:dyDescent="0.35">
      <c r="A76" s="18" t="s">
        <v>48</v>
      </c>
      <c r="B76" s="17">
        <v>22.72</v>
      </c>
    </row>
    <row r="77" spans="1:2" x14ac:dyDescent="0.35">
      <c r="A77" s="10" t="s">
        <v>2754</v>
      </c>
      <c r="B77" s="17">
        <v>15000.9987</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FC253-F673-4CE8-A47B-41262AA6A73A}">
  <dimension ref="A1"/>
  <sheetViews>
    <sheetView showGridLines="0" showRowColHeaders="0" tabSelected="1" zoomScale="68" workbookViewId="0">
      <selection activeCell="Z15" sqref="Z15"/>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F3D7F-10CB-44BB-81CE-932FF0A12A71}">
  <dimension ref="A1:J150"/>
  <sheetViews>
    <sheetView workbookViewId="0">
      <selection activeCell="J8" sqref="J8"/>
    </sheetView>
  </sheetViews>
  <sheetFormatPr defaultRowHeight="14.5" x14ac:dyDescent="0.35"/>
  <sheetData>
    <row r="1" spans="1:10" x14ac:dyDescent="0.35">
      <c r="A1" s="11"/>
      <c r="B1" s="12" t="s">
        <v>1</v>
      </c>
      <c r="C1" s="12" t="s">
        <v>2</v>
      </c>
      <c r="D1" s="12" t="s">
        <v>3</v>
      </c>
      <c r="E1" s="12" t="s">
        <v>4</v>
      </c>
      <c r="F1" s="12" t="s">
        <v>2757</v>
      </c>
      <c r="G1" s="12" t="s">
        <v>5</v>
      </c>
      <c r="H1" s="13" t="s">
        <v>6</v>
      </c>
      <c r="J1" s="16" t="s">
        <v>2762</v>
      </c>
    </row>
    <row r="2" spans="1:10" x14ac:dyDescent="0.35">
      <c r="A2" s="14">
        <v>42593</v>
      </c>
      <c r="B2" s="3" t="s">
        <v>7</v>
      </c>
      <c r="C2" s="3" t="s">
        <v>8</v>
      </c>
      <c r="D2" s="3" t="s">
        <v>9</v>
      </c>
      <c r="E2" s="3">
        <v>261.95999999999998</v>
      </c>
      <c r="F2" s="3">
        <v>2</v>
      </c>
      <c r="G2" s="3">
        <v>0</v>
      </c>
      <c r="H2" s="8">
        <v>41.913600000000002</v>
      </c>
      <c r="J2">
        <f>SUM(E2:E75)</f>
        <v>19699.771700000001</v>
      </c>
    </row>
    <row r="3" spans="1:10" x14ac:dyDescent="0.35">
      <c r="A3" s="15">
        <v>42593</v>
      </c>
      <c r="B3" s="4" t="s">
        <v>7</v>
      </c>
      <c r="C3" s="4" t="s">
        <v>8</v>
      </c>
      <c r="D3" s="4" t="s">
        <v>10</v>
      </c>
      <c r="E3" s="4">
        <v>731.94</v>
      </c>
      <c r="F3" s="4">
        <v>3</v>
      </c>
      <c r="G3" s="4">
        <v>0</v>
      </c>
      <c r="H3" s="7">
        <v>219.58199999999999</v>
      </c>
      <c r="J3" t="s">
        <v>2758</v>
      </c>
    </row>
    <row r="4" spans="1:10" x14ac:dyDescent="0.35">
      <c r="A4" s="14">
        <v>42710</v>
      </c>
      <c r="B4" s="3" t="s">
        <v>12</v>
      </c>
      <c r="C4" s="3" t="s">
        <v>13</v>
      </c>
      <c r="D4" s="3" t="s">
        <v>14</v>
      </c>
      <c r="E4" s="3">
        <v>14.62</v>
      </c>
      <c r="F4" s="3">
        <v>2</v>
      </c>
      <c r="G4" s="3">
        <v>0</v>
      </c>
      <c r="H4" s="8">
        <v>6.8714000000000004</v>
      </c>
      <c r="J4">
        <f>AVERAGE(E2:E75)</f>
        <v>266.21313108108109</v>
      </c>
    </row>
    <row r="5" spans="1:10" x14ac:dyDescent="0.35">
      <c r="A5" s="15">
        <v>42318</v>
      </c>
      <c r="B5" s="4" t="s">
        <v>16</v>
      </c>
      <c r="C5" s="4" t="s">
        <v>8</v>
      </c>
      <c r="D5" s="4" t="s">
        <v>17</v>
      </c>
      <c r="E5" s="4">
        <v>957.57749999999999</v>
      </c>
      <c r="F5" s="4">
        <v>5</v>
      </c>
      <c r="G5" s="4">
        <v>0.45</v>
      </c>
      <c r="H5" s="7">
        <v>-383.03100000000001</v>
      </c>
      <c r="J5" t="s">
        <v>2763</v>
      </c>
    </row>
    <row r="6" spans="1:10" x14ac:dyDescent="0.35">
      <c r="A6" s="14">
        <v>42318</v>
      </c>
      <c r="B6" s="3" t="s">
        <v>16</v>
      </c>
      <c r="C6" s="3" t="s">
        <v>8</v>
      </c>
      <c r="D6" s="3" t="s">
        <v>18</v>
      </c>
      <c r="E6" s="3">
        <v>22.367999999999999</v>
      </c>
      <c r="F6" s="3">
        <v>2</v>
      </c>
      <c r="G6" s="3">
        <v>0.2</v>
      </c>
      <c r="H6" s="8">
        <v>2.5164</v>
      </c>
      <c r="J6">
        <f>SUM(F2:F75)</f>
        <v>290</v>
      </c>
    </row>
    <row r="7" spans="1:10" x14ac:dyDescent="0.35">
      <c r="A7" s="15">
        <v>41888</v>
      </c>
      <c r="B7" s="4" t="s">
        <v>19</v>
      </c>
      <c r="C7" s="4" t="s">
        <v>13</v>
      </c>
      <c r="D7" s="4" t="s">
        <v>20</v>
      </c>
      <c r="E7" s="4">
        <v>48.86</v>
      </c>
      <c r="F7" s="4">
        <v>7</v>
      </c>
      <c r="G7" s="4">
        <v>0</v>
      </c>
      <c r="H7" s="7">
        <v>14.1694</v>
      </c>
      <c r="J7" t="s">
        <v>2764</v>
      </c>
    </row>
    <row r="8" spans="1:10" x14ac:dyDescent="0.35">
      <c r="A8" s="14">
        <v>41888</v>
      </c>
      <c r="B8" s="3" t="s">
        <v>19</v>
      </c>
      <c r="C8" s="3" t="s">
        <v>13</v>
      </c>
      <c r="D8" s="3" t="s">
        <v>21</v>
      </c>
      <c r="E8" s="3">
        <v>7.28</v>
      </c>
      <c r="F8" s="3">
        <v>4</v>
      </c>
      <c r="G8" s="3">
        <v>0</v>
      </c>
      <c r="H8" s="8">
        <v>1.9656</v>
      </c>
      <c r="J8">
        <f>SUM(H2:H75)</f>
        <v>-366.32239999999962</v>
      </c>
    </row>
    <row r="9" spans="1:10" x14ac:dyDescent="0.35">
      <c r="A9" s="15">
        <v>41888</v>
      </c>
      <c r="B9" s="4" t="s">
        <v>19</v>
      </c>
      <c r="C9" s="4" t="s">
        <v>13</v>
      </c>
      <c r="D9" s="4" t="s">
        <v>22</v>
      </c>
      <c r="E9" s="4">
        <v>907.15200000000004</v>
      </c>
      <c r="F9" s="4">
        <v>6</v>
      </c>
      <c r="G9" s="4">
        <v>0.2</v>
      </c>
      <c r="H9" s="7">
        <v>90.715199999999996</v>
      </c>
    </row>
    <row r="10" spans="1:10" x14ac:dyDescent="0.35">
      <c r="A10" s="14">
        <v>41888</v>
      </c>
      <c r="B10" s="3" t="s">
        <v>19</v>
      </c>
      <c r="C10" s="3" t="s">
        <v>13</v>
      </c>
      <c r="D10" s="3" t="s">
        <v>23</v>
      </c>
      <c r="E10" s="3">
        <v>18.504000000000001</v>
      </c>
      <c r="F10" s="3">
        <v>3</v>
      </c>
      <c r="G10" s="3">
        <v>0.2</v>
      </c>
      <c r="H10" s="8">
        <v>5.7824999999999998</v>
      </c>
    </row>
    <row r="11" spans="1:10" x14ac:dyDescent="0.35">
      <c r="A11" s="15">
        <v>41888</v>
      </c>
      <c r="B11" s="4" t="s">
        <v>19</v>
      </c>
      <c r="C11" s="4" t="s">
        <v>13</v>
      </c>
      <c r="D11" s="4" t="s">
        <v>24</v>
      </c>
      <c r="E11" s="4">
        <v>114.9</v>
      </c>
      <c r="F11" s="4">
        <v>5</v>
      </c>
      <c r="G11" s="4">
        <v>0</v>
      </c>
      <c r="H11" s="7">
        <v>34.47</v>
      </c>
    </row>
    <row r="12" spans="1:10" x14ac:dyDescent="0.35">
      <c r="A12" s="14">
        <v>41888</v>
      </c>
      <c r="B12" s="3" t="s">
        <v>19</v>
      </c>
      <c r="C12" s="3" t="s">
        <v>13</v>
      </c>
      <c r="D12" s="3" t="s">
        <v>25</v>
      </c>
      <c r="E12" s="3">
        <v>1706.184</v>
      </c>
      <c r="F12" s="3">
        <v>9</v>
      </c>
      <c r="G12" s="3">
        <v>0.2</v>
      </c>
      <c r="H12" s="8">
        <v>85.309200000000004</v>
      </c>
    </row>
    <row r="13" spans="1:10" x14ac:dyDescent="0.35">
      <c r="A13" s="15">
        <v>41888</v>
      </c>
      <c r="B13" s="4" t="s">
        <v>19</v>
      </c>
      <c r="C13" s="4" t="s">
        <v>13</v>
      </c>
      <c r="D13" s="4" t="s">
        <v>26</v>
      </c>
      <c r="E13" s="4">
        <v>911.42399999999998</v>
      </c>
      <c r="F13" s="4">
        <v>4</v>
      </c>
      <c r="G13" s="4">
        <v>0.2</v>
      </c>
      <c r="H13" s="7">
        <v>68.356800000000007</v>
      </c>
    </row>
    <row r="14" spans="1:10" x14ac:dyDescent="0.35">
      <c r="A14" s="5" t="s">
        <v>27</v>
      </c>
      <c r="B14" s="3" t="s">
        <v>29</v>
      </c>
      <c r="C14" s="3" t="s">
        <v>8</v>
      </c>
      <c r="D14" s="3" t="s">
        <v>30</v>
      </c>
      <c r="E14" s="3">
        <v>15.552</v>
      </c>
      <c r="F14" s="3">
        <v>3</v>
      </c>
      <c r="G14" s="3">
        <v>0.2</v>
      </c>
      <c r="H14" s="8">
        <v>5.4432</v>
      </c>
    </row>
    <row r="15" spans="1:10" x14ac:dyDescent="0.35">
      <c r="A15" s="15">
        <v>42502</v>
      </c>
      <c r="B15" s="4" t="s">
        <v>31</v>
      </c>
      <c r="C15" s="4" t="s">
        <v>13</v>
      </c>
      <c r="D15" s="4" t="s">
        <v>32</v>
      </c>
      <c r="E15" s="4">
        <v>407.976</v>
      </c>
      <c r="F15" s="4">
        <v>3</v>
      </c>
      <c r="G15" s="4">
        <v>0.2</v>
      </c>
      <c r="H15" s="7">
        <v>132.59219999999999</v>
      </c>
    </row>
    <row r="16" spans="1:10" x14ac:dyDescent="0.35">
      <c r="A16" s="5" t="s">
        <v>33</v>
      </c>
      <c r="B16" s="3" t="s">
        <v>34</v>
      </c>
      <c r="C16" s="3" t="s">
        <v>35</v>
      </c>
      <c r="D16" s="3" t="s">
        <v>36</v>
      </c>
      <c r="E16" s="3">
        <v>68.81</v>
      </c>
      <c r="F16" s="3">
        <v>5</v>
      </c>
      <c r="G16" s="3">
        <v>0.8</v>
      </c>
      <c r="H16" s="8">
        <v>-123.858</v>
      </c>
    </row>
    <row r="17" spans="1:8" x14ac:dyDescent="0.35">
      <c r="A17" s="6" t="s">
        <v>33</v>
      </c>
      <c r="B17" s="4" t="s">
        <v>34</v>
      </c>
      <c r="C17" s="4" t="s">
        <v>35</v>
      </c>
      <c r="D17" s="4" t="s">
        <v>37</v>
      </c>
      <c r="E17" s="4">
        <v>2.544</v>
      </c>
      <c r="F17" s="4">
        <v>3</v>
      </c>
      <c r="G17" s="4">
        <v>0.8</v>
      </c>
      <c r="H17" s="7">
        <v>-3.8159999999999998</v>
      </c>
    </row>
    <row r="18" spans="1:8" x14ac:dyDescent="0.35">
      <c r="A18" s="14">
        <v>41954</v>
      </c>
      <c r="B18" s="3" t="s">
        <v>39</v>
      </c>
      <c r="C18" s="3" t="s">
        <v>35</v>
      </c>
      <c r="D18" s="3" t="s">
        <v>40</v>
      </c>
      <c r="E18" s="3">
        <v>665.88</v>
      </c>
      <c r="F18" s="3">
        <v>6</v>
      </c>
      <c r="G18" s="3">
        <v>0</v>
      </c>
      <c r="H18" s="8">
        <v>13.317600000000001</v>
      </c>
    </row>
    <row r="19" spans="1:8" x14ac:dyDescent="0.35">
      <c r="A19" s="6" t="s">
        <v>41</v>
      </c>
      <c r="B19" s="4" t="s">
        <v>42</v>
      </c>
      <c r="C19" s="4" t="s">
        <v>13</v>
      </c>
      <c r="D19" s="4" t="s">
        <v>43</v>
      </c>
      <c r="E19" s="4">
        <v>55.5</v>
      </c>
      <c r="F19" s="4">
        <v>2</v>
      </c>
      <c r="G19" s="4">
        <v>0</v>
      </c>
      <c r="H19" s="7">
        <v>9.99</v>
      </c>
    </row>
    <row r="20" spans="1:8" x14ac:dyDescent="0.35">
      <c r="A20" s="5" t="s">
        <v>44</v>
      </c>
      <c r="B20" s="3" t="s">
        <v>45</v>
      </c>
      <c r="C20" s="3" t="s">
        <v>13</v>
      </c>
      <c r="D20" s="3" t="s">
        <v>46</v>
      </c>
      <c r="E20" s="3">
        <v>8.56</v>
      </c>
      <c r="F20" s="3">
        <v>2</v>
      </c>
      <c r="G20" s="3">
        <v>0</v>
      </c>
      <c r="H20" s="8">
        <v>2.4824000000000002</v>
      </c>
    </row>
    <row r="21" spans="1:8" x14ac:dyDescent="0.35">
      <c r="A21" s="6" t="s">
        <v>44</v>
      </c>
      <c r="B21" s="4" t="s">
        <v>45</v>
      </c>
      <c r="C21" s="4" t="s">
        <v>13</v>
      </c>
      <c r="D21" s="4" t="s">
        <v>47</v>
      </c>
      <c r="E21" s="4">
        <v>213.48</v>
      </c>
      <c r="F21" s="4">
        <v>3</v>
      </c>
      <c r="G21" s="4">
        <v>0.2</v>
      </c>
      <c r="H21" s="7">
        <v>16.010999999999999</v>
      </c>
    </row>
    <row r="22" spans="1:8" x14ac:dyDescent="0.35">
      <c r="A22" s="5" t="s">
        <v>44</v>
      </c>
      <c r="B22" s="3" t="s">
        <v>45</v>
      </c>
      <c r="C22" s="3" t="s">
        <v>13</v>
      </c>
      <c r="D22" s="3" t="s">
        <v>48</v>
      </c>
      <c r="E22" s="3">
        <v>22.72</v>
      </c>
      <c r="F22" s="3">
        <v>4</v>
      </c>
      <c r="G22" s="3">
        <v>0.2</v>
      </c>
      <c r="H22" s="8">
        <v>7.3840000000000003</v>
      </c>
    </row>
    <row r="23" spans="1:8" x14ac:dyDescent="0.35">
      <c r="A23" s="15">
        <v>42625</v>
      </c>
      <c r="B23" s="4" t="s">
        <v>50</v>
      </c>
      <c r="C23" s="4" t="s">
        <v>35</v>
      </c>
      <c r="D23" s="4" t="s">
        <v>51</v>
      </c>
      <c r="E23" s="4">
        <v>19.46</v>
      </c>
      <c r="F23" s="4">
        <v>7</v>
      </c>
      <c r="G23" s="4">
        <v>0</v>
      </c>
      <c r="H23" s="7">
        <v>5.0595999999999997</v>
      </c>
    </row>
    <row r="24" spans="1:8" x14ac:dyDescent="0.35">
      <c r="A24" s="14">
        <v>42625</v>
      </c>
      <c r="B24" s="3" t="s">
        <v>50</v>
      </c>
      <c r="C24" s="3" t="s">
        <v>35</v>
      </c>
      <c r="D24" s="3" t="s">
        <v>52</v>
      </c>
      <c r="E24" s="3">
        <v>60.34</v>
      </c>
      <c r="F24" s="3">
        <v>7</v>
      </c>
      <c r="G24" s="3">
        <v>0</v>
      </c>
      <c r="H24" s="8">
        <v>15.6884</v>
      </c>
    </row>
    <row r="25" spans="1:8" x14ac:dyDescent="0.35">
      <c r="A25" s="6" t="s">
        <v>53</v>
      </c>
      <c r="B25" s="4" t="s">
        <v>54</v>
      </c>
      <c r="C25" s="4" t="s">
        <v>55</v>
      </c>
      <c r="D25" s="4" t="s">
        <v>56</v>
      </c>
      <c r="E25" s="4">
        <v>71.372</v>
      </c>
      <c r="F25" s="4">
        <v>2</v>
      </c>
      <c r="G25" s="4">
        <v>0.3</v>
      </c>
      <c r="H25" s="7">
        <v>-1.0196000000000001</v>
      </c>
    </row>
    <row r="26" spans="1:8" x14ac:dyDescent="0.35">
      <c r="A26" s="5" t="s">
        <v>57</v>
      </c>
      <c r="B26" s="3" t="s">
        <v>58</v>
      </c>
      <c r="C26" s="3" t="s">
        <v>13</v>
      </c>
      <c r="D26" s="3" t="s">
        <v>17</v>
      </c>
      <c r="E26" s="3">
        <v>1044.6300000000001</v>
      </c>
      <c r="F26" s="3">
        <v>3</v>
      </c>
      <c r="G26" s="3">
        <v>0</v>
      </c>
      <c r="H26" s="8">
        <v>240.26490000000001</v>
      </c>
    </row>
    <row r="27" spans="1:8" x14ac:dyDescent="0.35">
      <c r="A27" s="6" t="s">
        <v>59</v>
      </c>
      <c r="B27" s="4" t="s">
        <v>60</v>
      </c>
      <c r="C27" s="4" t="s">
        <v>13</v>
      </c>
      <c r="D27" s="4" t="s">
        <v>61</v>
      </c>
      <c r="E27" s="4">
        <v>11.648</v>
      </c>
      <c r="F27" s="4">
        <v>2</v>
      </c>
      <c r="G27" s="4">
        <v>0.2</v>
      </c>
      <c r="H27" s="7">
        <v>4.2224000000000004</v>
      </c>
    </row>
    <row r="28" spans="1:8" x14ac:dyDescent="0.35">
      <c r="A28" s="5" t="s">
        <v>59</v>
      </c>
      <c r="B28" s="3" t="s">
        <v>60</v>
      </c>
      <c r="C28" s="3" t="s">
        <v>13</v>
      </c>
      <c r="D28" s="3" t="s">
        <v>62</v>
      </c>
      <c r="E28" s="3">
        <v>90.57</v>
      </c>
      <c r="F28" s="3">
        <v>3</v>
      </c>
      <c r="G28" s="3">
        <v>0</v>
      </c>
      <c r="H28" s="8">
        <v>11.774100000000001</v>
      </c>
    </row>
    <row r="29" spans="1:8" x14ac:dyDescent="0.35">
      <c r="A29" s="6" t="s">
        <v>63</v>
      </c>
      <c r="B29" s="4" t="s">
        <v>64</v>
      </c>
      <c r="C29" s="4" t="s">
        <v>55</v>
      </c>
      <c r="D29" s="4" t="s">
        <v>65</v>
      </c>
      <c r="E29" s="4">
        <v>3083.43</v>
      </c>
      <c r="F29" s="4">
        <v>7</v>
      </c>
      <c r="G29" s="4">
        <v>0.5</v>
      </c>
      <c r="H29" s="7">
        <v>-1665.0522000000001</v>
      </c>
    </row>
    <row r="30" spans="1:8" x14ac:dyDescent="0.35">
      <c r="A30" s="5" t="s">
        <v>63</v>
      </c>
      <c r="B30" s="3" t="s">
        <v>64</v>
      </c>
      <c r="C30" s="3" t="s">
        <v>55</v>
      </c>
      <c r="D30" s="3" t="s">
        <v>66</v>
      </c>
      <c r="E30" s="3">
        <v>9.6180000000000003</v>
      </c>
      <c r="F30" s="3">
        <v>2</v>
      </c>
      <c r="G30" s="3">
        <v>0.7</v>
      </c>
      <c r="H30" s="8">
        <v>-7.0532000000000004</v>
      </c>
    </row>
    <row r="31" spans="1:8" x14ac:dyDescent="0.35">
      <c r="A31" s="6" t="s">
        <v>63</v>
      </c>
      <c r="B31" s="4" t="s">
        <v>64</v>
      </c>
      <c r="C31" s="4" t="s">
        <v>55</v>
      </c>
      <c r="D31" s="4" t="s">
        <v>67</v>
      </c>
      <c r="E31" s="4">
        <v>124.2</v>
      </c>
      <c r="F31" s="4">
        <v>3</v>
      </c>
      <c r="G31" s="4">
        <v>0.2</v>
      </c>
      <c r="H31" s="7">
        <v>15.525</v>
      </c>
    </row>
    <row r="32" spans="1:8" x14ac:dyDescent="0.35">
      <c r="A32" s="5" t="s">
        <v>63</v>
      </c>
      <c r="B32" s="3" t="s">
        <v>64</v>
      </c>
      <c r="C32" s="3" t="s">
        <v>55</v>
      </c>
      <c r="D32" s="3" t="s">
        <v>68</v>
      </c>
      <c r="E32" s="3">
        <v>3.2639999999999998</v>
      </c>
      <c r="F32" s="3">
        <v>2</v>
      </c>
      <c r="G32" s="3">
        <v>0.2</v>
      </c>
      <c r="H32" s="8">
        <v>1.1015999999999999</v>
      </c>
    </row>
    <row r="33" spans="1:8" x14ac:dyDescent="0.35">
      <c r="A33" s="6" t="s">
        <v>63</v>
      </c>
      <c r="B33" s="4" t="s">
        <v>64</v>
      </c>
      <c r="C33" s="4" t="s">
        <v>55</v>
      </c>
      <c r="D33" s="4" t="s">
        <v>69</v>
      </c>
      <c r="E33" s="4">
        <v>86.304000000000002</v>
      </c>
      <c r="F33" s="4">
        <v>6</v>
      </c>
      <c r="G33" s="4">
        <v>0.2</v>
      </c>
      <c r="H33" s="7">
        <v>9.7091999999999992</v>
      </c>
    </row>
    <row r="34" spans="1:8" x14ac:dyDescent="0.35">
      <c r="A34" s="5" t="s">
        <v>63</v>
      </c>
      <c r="B34" s="3" t="s">
        <v>64</v>
      </c>
      <c r="C34" s="3" t="s">
        <v>55</v>
      </c>
      <c r="D34" s="3" t="s">
        <v>70</v>
      </c>
      <c r="E34" s="3">
        <v>6.8579999999999997</v>
      </c>
      <c r="F34" s="3">
        <v>6</v>
      </c>
      <c r="G34" s="3">
        <v>0.7</v>
      </c>
      <c r="H34" s="8">
        <v>-5.7149999999999999</v>
      </c>
    </row>
    <row r="35" spans="1:8" x14ac:dyDescent="0.35">
      <c r="A35" s="6" t="s">
        <v>63</v>
      </c>
      <c r="B35" s="4" t="s">
        <v>64</v>
      </c>
      <c r="C35" s="4" t="s">
        <v>55</v>
      </c>
      <c r="D35" s="4" t="s">
        <v>71</v>
      </c>
      <c r="E35" s="4">
        <v>15.76</v>
      </c>
      <c r="F35" s="4">
        <v>2</v>
      </c>
      <c r="G35" s="4">
        <v>0.2</v>
      </c>
      <c r="H35" s="7">
        <v>3.5459999999999998</v>
      </c>
    </row>
    <row r="36" spans="1:8" x14ac:dyDescent="0.35">
      <c r="A36" s="5" t="s">
        <v>72</v>
      </c>
      <c r="B36" s="3" t="s">
        <v>74</v>
      </c>
      <c r="C36" s="3" t="s">
        <v>35</v>
      </c>
      <c r="D36" s="3" t="s">
        <v>75</v>
      </c>
      <c r="E36" s="3">
        <v>29.472000000000001</v>
      </c>
      <c r="F36" s="3">
        <v>3</v>
      </c>
      <c r="G36" s="3">
        <v>0.2</v>
      </c>
      <c r="H36" s="8">
        <v>9.9467999999999996</v>
      </c>
    </row>
    <row r="37" spans="1:8" x14ac:dyDescent="0.35">
      <c r="A37" s="15">
        <v>42594</v>
      </c>
      <c r="B37" s="4" t="s">
        <v>76</v>
      </c>
      <c r="C37" s="4" t="s">
        <v>35</v>
      </c>
      <c r="D37" s="4" t="s">
        <v>77</v>
      </c>
      <c r="E37" s="4">
        <v>1097.5440000000001</v>
      </c>
      <c r="F37" s="4">
        <v>7</v>
      </c>
      <c r="G37" s="4">
        <v>0.2</v>
      </c>
      <c r="H37" s="7">
        <v>123.47369999999999</v>
      </c>
    </row>
    <row r="38" spans="1:8" x14ac:dyDescent="0.35">
      <c r="A38" s="14">
        <v>42594</v>
      </c>
      <c r="B38" s="3" t="s">
        <v>76</v>
      </c>
      <c r="C38" s="3" t="s">
        <v>35</v>
      </c>
      <c r="D38" s="3" t="s">
        <v>78</v>
      </c>
      <c r="E38" s="3">
        <v>190.92</v>
      </c>
      <c r="F38" s="3">
        <v>5</v>
      </c>
      <c r="G38" s="3">
        <v>0.6</v>
      </c>
      <c r="H38" s="8">
        <v>-147.96299999999999</v>
      </c>
    </row>
    <row r="39" spans="1:8" x14ac:dyDescent="0.35">
      <c r="A39" s="6" t="s">
        <v>79</v>
      </c>
      <c r="B39" s="4" t="s">
        <v>81</v>
      </c>
      <c r="C39" s="4" t="s">
        <v>35</v>
      </c>
      <c r="D39" s="4" t="s">
        <v>82</v>
      </c>
      <c r="E39" s="4">
        <v>113.328</v>
      </c>
      <c r="F39" s="4">
        <v>9</v>
      </c>
      <c r="G39" s="4">
        <v>0.2</v>
      </c>
      <c r="H39" s="7">
        <v>35.414999999999999</v>
      </c>
    </row>
    <row r="40" spans="1:8" x14ac:dyDescent="0.35">
      <c r="A40" s="5" t="s">
        <v>79</v>
      </c>
      <c r="B40" s="3" t="s">
        <v>81</v>
      </c>
      <c r="C40" s="3" t="s">
        <v>35</v>
      </c>
      <c r="D40" s="3" t="s">
        <v>83</v>
      </c>
      <c r="E40" s="3">
        <v>532.39919999999995</v>
      </c>
      <c r="F40" s="3">
        <v>3</v>
      </c>
      <c r="G40" s="3">
        <v>0.32</v>
      </c>
      <c r="H40" s="8">
        <v>-46.976399999999998</v>
      </c>
    </row>
    <row r="41" spans="1:8" x14ac:dyDescent="0.35">
      <c r="A41" s="6" t="s">
        <v>79</v>
      </c>
      <c r="B41" s="4" t="s">
        <v>81</v>
      </c>
      <c r="C41" s="4" t="s">
        <v>35</v>
      </c>
      <c r="D41" s="4" t="s">
        <v>84</v>
      </c>
      <c r="E41" s="4">
        <v>212.05799999999999</v>
      </c>
      <c r="F41" s="4">
        <v>3</v>
      </c>
      <c r="G41" s="4">
        <v>0.3</v>
      </c>
      <c r="H41" s="7">
        <v>-15.147</v>
      </c>
    </row>
    <row r="42" spans="1:8" x14ac:dyDescent="0.35">
      <c r="A42" s="5" t="s">
        <v>79</v>
      </c>
      <c r="B42" s="3" t="s">
        <v>81</v>
      </c>
      <c r="C42" s="3" t="s">
        <v>35</v>
      </c>
      <c r="D42" s="3" t="s">
        <v>85</v>
      </c>
      <c r="E42" s="3">
        <v>371.16800000000001</v>
      </c>
      <c r="F42" s="3">
        <v>4</v>
      </c>
      <c r="G42" s="3">
        <v>0.2</v>
      </c>
      <c r="H42" s="8">
        <v>41.756399999999999</v>
      </c>
    </row>
    <row r="43" spans="1:8" x14ac:dyDescent="0.35">
      <c r="A43" s="15">
        <v>43017</v>
      </c>
      <c r="B43" s="4" t="s">
        <v>87</v>
      </c>
      <c r="C43" s="4" t="s">
        <v>35</v>
      </c>
      <c r="D43" s="4" t="s">
        <v>88</v>
      </c>
      <c r="E43" s="4">
        <v>147.16800000000001</v>
      </c>
      <c r="F43" s="4">
        <v>4</v>
      </c>
      <c r="G43" s="4">
        <v>0.2</v>
      </c>
      <c r="H43" s="7">
        <v>16.5564</v>
      </c>
    </row>
    <row r="44" spans="1:8" x14ac:dyDescent="0.35">
      <c r="A44" s="5" t="s">
        <v>89</v>
      </c>
      <c r="B44" s="3" t="s">
        <v>91</v>
      </c>
      <c r="C44" s="3" t="s">
        <v>13</v>
      </c>
      <c r="D44" s="3" t="s">
        <v>92</v>
      </c>
      <c r="E44" s="3">
        <v>77.88</v>
      </c>
      <c r="F44" s="3">
        <v>2</v>
      </c>
      <c r="G44" s="3">
        <v>0</v>
      </c>
      <c r="H44" s="8">
        <v>3.8940000000000001</v>
      </c>
    </row>
    <row r="45" spans="1:8" x14ac:dyDescent="0.35">
      <c r="A45" s="6" t="s">
        <v>93</v>
      </c>
      <c r="B45" s="4" t="s">
        <v>95</v>
      </c>
      <c r="C45" s="4" t="s">
        <v>8</v>
      </c>
      <c r="D45" s="4" t="s">
        <v>96</v>
      </c>
      <c r="E45" s="4">
        <v>95.616</v>
      </c>
      <c r="F45" s="4">
        <v>2</v>
      </c>
      <c r="G45" s="4">
        <v>0.2</v>
      </c>
      <c r="H45" s="7">
        <v>9.5616000000000003</v>
      </c>
    </row>
    <row r="46" spans="1:8" x14ac:dyDescent="0.35">
      <c r="A46" s="14">
        <v>42677</v>
      </c>
      <c r="B46" s="3" t="s">
        <v>98</v>
      </c>
      <c r="C46" s="3" t="s">
        <v>35</v>
      </c>
      <c r="D46" s="3" t="s">
        <v>99</v>
      </c>
      <c r="E46" s="3">
        <v>45.98</v>
      </c>
      <c r="F46" s="3">
        <v>2</v>
      </c>
      <c r="G46" s="3">
        <v>0</v>
      </c>
      <c r="H46" s="8">
        <v>19.7714</v>
      </c>
    </row>
    <row r="47" spans="1:8" x14ac:dyDescent="0.35">
      <c r="A47" s="15">
        <v>42677</v>
      </c>
      <c r="B47" s="4" t="s">
        <v>98</v>
      </c>
      <c r="C47" s="4" t="s">
        <v>35</v>
      </c>
      <c r="D47" s="4" t="s">
        <v>100</v>
      </c>
      <c r="E47" s="4">
        <v>17.46</v>
      </c>
      <c r="F47" s="4">
        <v>2</v>
      </c>
      <c r="G47" s="4">
        <v>0</v>
      </c>
      <c r="H47" s="7">
        <v>8.2062000000000008</v>
      </c>
    </row>
    <row r="48" spans="1:8" x14ac:dyDescent="0.35">
      <c r="A48" s="5" t="s">
        <v>101</v>
      </c>
      <c r="B48" s="3" t="s">
        <v>103</v>
      </c>
      <c r="C48" s="3" t="s">
        <v>35</v>
      </c>
      <c r="D48" s="3" t="s">
        <v>104</v>
      </c>
      <c r="E48" s="3">
        <v>211.96</v>
      </c>
      <c r="F48" s="3">
        <v>4</v>
      </c>
      <c r="G48" s="3">
        <v>0</v>
      </c>
      <c r="H48" s="8">
        <v>8.4784000000000006</v>
      </c>
    </row>
    <row r="49" spans="1:8" x14ac:dyDescent="0.35">
      <c r="A49" s="6" t="s">
        <v>105</v>
      </c>
      <c r="B49" s="4" t="s">
        <v>107</v>
      </c>
      <c r="C49" s="4" t="s">
        <v>55</v>
      </c>
      <c r="D49" s="4" t="s">
        <v>108</v>
      </c>
      <c r="E49" s="4">
        <v>45</v>
      </c>
      <c r="F49" s="4">
        <v>3</v>
      </c>
      <c r="G49" s="4">
        <v>0</v>
      </c>
      <c r="H49" s="7">
        <v>4.95</v>
      </c>
    </row>
    <row r="50" spans="1:8" x14ac:dyDescent="0.35">
      <c r="A50" s="5" t="s">
        <v>105</v>
      </c>
      <c r="B50" s="3" t="s">
        <v>107</v>
      </c>
      <c r="C50" s="3" t="s">
        <v>55</v>
      </c>
      <c r="D50" s="3" t="s">
        <v>109</v>
      </c>
      <c r="E50" s="3">
        <v>21.8</v>
      </c>
      <c r="F50" s="3">
        <v>2</v>
      </c>
      <c r="G50" s="3">
        <v>0</v>
      </c>
      <c r="H50" s="8">
        <v>6.1040000000000001</v>
      </c>
    </row>
    <row r="51" spans="1:8" x14ac:dyDescent="0.35">
      <c r="A51" s="6" t="s">
        <v>110</v>
      </c>
      <c r="B51" s="4" t="s">
        <v>111</v>
      </c>
      <c r="C51" s="4" t="s">
        <v>35</v>
      </c>
      <c r="D51" s="4" t="s">
        <v>112</v>
      </c>
      <c r="E51" s="4">
        <v>38.22</v>
      </c>
      <c r="F51" s="4">
        <v>6</v>
      </c>
      <c r="G51" s="4">
        <v>0</v>
      </c>
      <c r="H51" s="7">
        <v>17.9634</v>
      </c>
    </row>
    <row r="52" spans="1:8" x14ac:dyDescent="0.35">
      <c r="A52" s="5" t="s">
        <v>110</v>
      </c>
      <c r="B52" s="3" t="s">
        <v>111</v>
      </c>
      <c r="C52" s="3" t="s">
        <v>35</v>
      </c>
      <c r="D52" s="3" t="s">
        <v>113</v>
      </c>
      <c r="E52" s="3">
        <v>75.180000000000007</v>
      </c>
      <c r="F52" s="3">
        <v>6</v>
      </c>
      <c r="G52" s="3">
        <v>0</v>
      </c>
      <c r="H52" s="8">
        <v>35.334600000000002</v>
      </c>
    </row>
    <row r="53" spans="1:8" x14ac:dyDescent="0.35">
      <c r="A53" s="6" t="s">
        <v>110</v>
      </c>
      <c r="B53" s="4" t="s">
        <v>111</v>
      </c>
      <c r="C53" s="4" t="s">
        <v>35</v>
      </c>
      <c r="D53" s="4" t="s">
        <v>114</v>
      </c>
      <c r="E53" s="4">
        <v>6.16</v>
      </c>
      <c r="F53" s="4">
        <v>2</v>
      </c>
      <c r="G53" s="4">
        <v>0</v>
      </c>
      <c r="H53" s="7">
        <v>2.9567999999999999</v>
      </c>
    </row>
    <row r="54" spans="1:8" x14ac:dyDescent="0.35">
      <c r="A54" s="5" t="s">
        <v>110</v>
      </c>
      <c r="B54" s="3" t="s">
        <v>111</v>
      </c>
      <c r="C54" s="3" t="s">
        <v>35</v>
      </c>
      <c r="D54" s="3" t="s">
        <v>115</v>
      </c>
      <c r="E54" s="3">
        <v>89.99</v>
      </c>
      <c r="F54" s="3">
        <v>1</v>
      </c>
      <c r="G54" s="3">
        <v>0</v>
      </c>
      <c r="H54" s="8">
        <v>17.098099999999999</v>
      </c>
    </row>
    <row r="55" spans="1:8" x14ac:dyDescent="0.35">
      <c r="A55" s="15">
        <v>42686</v>
      </c>
      <c r="B55" s="4" t="s">
        <v>117</v>
      </c>
      <c r="C55" s="4" t="s">
        <v>55</v>
      </c>
      <c r="D55" s="4" t="s">
        <v>118</v>
      </c>
      <c r="E55" s="4">
        <v>15.26</v>
      </c>
      <c r="F55" s="4">
        <v>7</v>
      </c>
      <c r="G55" s="4">
        <v>0</v>
      </c>
      <c r="H55" s="7">
        <v>6.2565999999999997</v>
      </c>
    </row>
    <row r="56" spans="1:8" x14ac:dyDescent="0.35">
      <c r="A56" s="14">
        <v>42686</v>
      </c>
      <c r="B56" s="3" t="s">
        <v>117</v>
      </c>
      <c r="C56" s="3" t="s">
        <v>55</v>
      </c>
      <c r="D56" s="3" t="s">
        <v>119</v>
      </c>
      <c r="E56" s="3">
        <v>1029.95</v>
      </c>
      <c r="F56" s="3">
        <v>5</v>
      </c>
      <c r="G56" s="3">
        <v>0</v>
      </c>
      <c r="H56" s="8">
        <v>298.68549999999999</v>
      </c>
    </row>
    <row r="57" spans="1:8" x14ac:dyDescent="0.35">
      <c r="A57" s="6" t="s">
        <v>120</v>
      </c>
      <c r="B57" s="4" t="s">
        <v>122</v>
      </c>
      <c r="C57" s="4" t="s">
        <v>55</v>
      </c>
      <c r="D57" s="4" t="s">
        <v>123</v>
      </c>
      <c r="E57" s="4">
        <v>208.56</v>
      </c>
      <c r="F57" s="4">
        <v>6</v>
      </c>
      <c r="G57" s="4">
        <v>0</v>
      </c>
      <c r="H57" s="7">
        <v>52.14</v>
      </c>
    </row>
    <row r="58" spans="1:8" x14ac:dyDescent="0.35">
      <c r="A58" s="5" t="s">
        <v>120</v>
      </c>
      <c r="B58" s="3" t="s">
        <v>122</v>
      </c>
      <c r="C58" s="3" t="s">
        <v>55</v>
      </c>
      <c r="D58" s="3" t="s">
        <v>124</v>
      </c>
      <c r="E58" s="3">
        <v>32.4</v>
      </c>
      <c r="F58" s="3">
        <v>5</v>
      </c>
      <c r="G58" s="3">
        <v>0</v>
      </c>
      <c r="H58" s="8">
        <v>15.552</v>
      </c>
    </row>
    <row r="59" spans="1:8" x14ac:dyDescent="0.35">
      <c r="A59" s="6" t="s">
        <v>120</v>
      </c>
      <c r="B59" s="4" t="s">
        <v>122</v>
      </c>
      <c r="C59" s="4" t="s">
        <v>55</v>
      </c>
      <c r="D59" s="4" t="s">
        <v>125</v>
      </c>
      <c r="E59" s="4">
        <v>319.41000000000003</v>
      </c>
      <c r="F59" s="4">
        <v>5</v>
      </c>
      <c r="G59" s="4">
        <v>0.1</v>
      </c>
      <c r="H59" s="7">
        <v>7.0979999999999999</v>
      </c>
    </row>
    <row r="60" spans="1:8" x14ac:dyDescent="0.35">
      <c r="A60" s="5" t="s">
        <v>120</v>
      </c>
      <c r="B60" s="3" t="s">
        <v>122</v>
      </c>
      <c r="C60" s="3" t="s">
        <v>55</v>
      </c>
      <c r="D60" s="3" t="s">
        <v>126</v>
      </c>
      <c r="E60" s="3">
        <v>14.56</v>
      </c>
      <c r="F60" s="3">
        <v>2</v>
      </c>
      <c r="G60" s="3">
        <v>0</v>
      </c>
      <c r="H60" s="8">
        <v>6.9888000000000003</v>
      </c>
    </row>
    <row r="61" spans="1:8" x14ac:dyDescent="0.35">
      <c r="A61" s="6" t="s">
        <v>120</v>
      </c>
      <c r="B61" s="4" t="s">
        <v>122</v>
      </c>
      <c r="C61" s="4" t="s">
        <v>55</v>
      </c>
      <c r="D61" s="4" t="s">
        <v>108</v>
      </c>
      <c r="E61" s="4">
        <v>30</v>
      </c>
      <c r="F61" s="4">
        <v>2</v>
      </c>
      <c r="G61" s="4">
        <v>0</v>
      </c>
      <c r="H61" s="7">
        <v>3.3</v>
      </c>
    </row>
    <row r="62" spans="1:8" x14ac:dyDescent="0.35">
      <c r="A62" s="5" t="s">
        <v>120</v>
      </c>
      <c r="B62" s="3" t="s">
        <v>122</v>
      </c>
      <c r="C62" s="3" t="s">
        <v>55</v>
      </c>
      <c r="D62" s="3" t="s">
        <v>127</v>
      </c>
      <c r="E62" s="3">
        <v>48.48</v>
      </c>
      <c r="F62" s="3">
        <v>4</v>
      </c>
      <c r="G62" s="3">
        <v>0.2</v>
      </c>
      <c r="H62" s="8">
        <v>16.361999999999998</v>
      </c>
    </row>
    <row r="63" spans="1:8" x14ac:dyDescent="0.35">
      <c r="A63" s="6" t="s">
        <v>120</v>
      </c>
      <c r="B63" s="4" t="s">
        <v>122</v>
      </c>
      <c r="C63" s="4" t="s">
        <v>55</v>
      </c>
      <c r="D63" s="4" t="s">
        <v>128</v>
      </c>
      <c r="E63" s="4">
        <v>1.68</v>
      </c>
      <c r="F63" s="4">
        <v>1</v>
      </c>
      <c r="G63" s="4">
        <v>0</v>
      </c>
      <c r="H63" s="7">
        <v>0.84</v>
      </c>
    </row>
    <row r="64" spans="1:8" x14ac:dyDescent="0.35">
      <c r="A64" s="5" t="s">
        <v>129</v>
      </c>
      <c r="B64" s="3" t="s">
        <v>131</v>
      </c>
      <c r="C64" s="3" t="s">
        <v>13</v>
      </c>
      <c r="D64" s="3" t="s">
        <v>132</v>
      </c>
      <c r="E64" s="3">
        <v>13.98</v>
      </c>
      <c r="F64" s="3">
        <v>2</v>
      </c>
      <c r="G64" s="3">
        <v>0</v>
      </c>
      <c r="H64" s="8">
        <v>6.1512000000000002</v>
      </c>
    </row>
    <row r="65" spans="1:8" x14ac:dyDescent="0.35">
      <c r="A65" s="6" t="s">
        <v>129</v>
      </c>
      <c r="B65" s="4" t="s">
        <v>131</v>
      </c>
      <c r="C65" s="4" t="s">
        <v>13</v>
      </c>
      <c r="D65" s="4" t="s">
        <v>133</v>
      </c>
      <c r="E65" s="4">
        <v>25.824000000000002</v>
      </c>
      <c r="F65" s="4">
        <v>6</v>
      </c>
      <c r="G65" s="4">
        <v>0.2</v>
      </c>
      <c r="H65" s="7">
        <v>9.3612000000000002</v>
      </c>
    </row>
    <row r="66" spans="1:8" x14ac:dyDescent="0.35">
      <c r="A66" s="5" t="s">
        <v>129</v>
      </c>
      <c r="B66" s="3" t="s">
        <v>131</v>
      </c>
      <c r="C66" s="3" t="s">
        <v>13</v>
      </c>
      <c r="D66" s="3" t="s">
        <v>134</v>
      </c>
      <c r="E66" s="3">
        <v>146.72999999999999</v>
      </c>
      <c r="F66" s="3">
        <v>3</v>
      </c>
      <c r="G66" s="3">
        <v>0</v>
      </c>
      <c r="H66" s="8">
        <v>68.963099999999997</v>
      </c>
    </row>
    <row r="67" spans="1:8" x14ac:dyDescent="0.35">
      <c r="A67" s="6" t="s">
        <v>129</v>
      </c>
      <c r="B67" s="4" t="s">
        <v>131</v>
      </c>
      <c r="C67" s="4" t="s">
        <v>13</v>
      </c>
      <c r="D67" s="4" t="s">
        <v>135</v>
      </c>
      <c r="E67" s="4">
        <v>79.760000000000005</v>
      </c>
      <c r="F67" s="4">
        <v>4</v>
      </c>
      <c r="G67" s="4">
        <v>0</v>
      </c>
      <c r="H67" s="7">
        <v>22.332799999999999</v>
      </c>
    </row>
    <row r="68" spans="1:8" x14ac:dyDescent="0.35">
      <c r="A68" s="5" t="s">
        <v>136</v>
      </c>
      <c r="B68" s="3" t="s">
        <v>137</v>
      </c>
      <c r="C68" s="3" t="s">
        <v>35</v>
      </c>
      <c r="D68" s="3" t="s">
        <v>138</v>
      </c>
      <c r="E68" s="3">
        <v>213.11500000000001</v>
      </c>
      <c r="F68" s="3">
        <v>5</v>
      </c>
      <c r="G68" s="3">
        <v>0.3</v>
      </c>
      <c r="H68" s="8">
        <v>-15.2225</v>
      </c>
    </row>
    <row r="69" spans="1:8" x14ac:dyDescent="0.35">
      <c r="A69" s="15">
        <v>41771</v>
      </c>
      <c r="B69" s="4" t="s">
        <v>139</v>
      </c>
      <c r="C69" s="4" t="s">
        <v>13</v>
      </c>
      <c r="D69" s="4" t="s">
        <v>140</v>
      </c>
      <c r="E69" s="4">
        <v>1113.0239999999999</v>
      </c>
      <c r="F69" s="4">
        <v>8</v>
      </c>
      <c r="G69" s="4">
        <v>0.2</v>
      </c>
      <c r="H69" s="7">
        <v>111.30240000000001</v>
      </c>
    </row>
    <row r="70" spans="1:8" x14ac:dyDescent="0.35">
      <c r="A70" s="14">
        <v>41771</v>
      </c>
      <c r="B70" s="3" t="s">
        <v>139</v>
      </c>
      <c r="C70" s="3" t="s">
        <v>13</v>
      </c>
      <c r="D70" s="3" t="s">
        <v>141</v>
      </c>
      <c r="E70" s="3">
        <v>167.96799999999999</v>
      </c>
      <c r="F70" s="3">
        <v>4</v>
      </c>
      <c r="G70" s="3">
        <v>0.2</v>
      </c>
      <c r="H70" s="8">
        <v>62.988</v>
      </c>
    </row>
    <row r="71" spans="1:8" x14ac:dyDescent="0.35">
      <c r="A71" s="15">
        <v>42466</v>
      </c>
      <c r="B71" s="4" t="s">
        <v>142</v>
      </c>
      <c r="C71" s="4" t="s">
        <v>8</v>
      </c>
      <c r="D71" s="4" t="s">
        <v>143</v>
      </c>
      <c r="E71" s="4">
        <v>75.88</v>
      </c>
      <c r="F71" s="4">
        <v>2</v>
      </c>
      <c r="G71" s="4">
        <v>0</v>
      </c>
      <c r="H71" s="7">
        <v>35.663600000000002</v>
      </c>
    </row>
    <row r="72" spans="1:8" x14ac:dyDescent="0.35">
      <c r="A72" s="5" t="s">
        <v>144</v>
      </c>
      <c r="B72" s="3" t="s">
        <v>146</v>
      </c>
      <c r="C72" s="3" t="s">
        <v>55</v>
      </c>
      <c r="D72" s="3" t="s">
        <v>147</v>
      </c>
      <c r="E72" s="3">
        <v>4.6159999999999997</v>
      </c>
      <c r="F72" s="3">
        <v>1</v>
      </c>
      <c r="G72" s="3">
        <v>0.2</v>
      </c>
      <c r="H72" s="8">
        <v>1.7310000000000001</v>
      </c>
    </row>
    <row r="73" spans="1:8" x14ac:dyDescent="0.35">
      <c r="A73" s="6" t="s">
        <v>148</v>
      </c>
      <c r="B73" s="4" t="s">
        <v>64</v>
      </c>
      <c r="C73" s="4" t="s">
        <v>35</v>
      </c>
      <c r="D73" s="4" t="s">
        <v>150</v>
      </c>
      <c r="E73" s="4">
        <v>19.05</v>
      </c>
      <c r="F73" s="4">
        <v>3</v>
      </c>
      <c r="G73" s="4">
        <v>0</v>
      </c>
      <c r="H73" s="7">
        <v>8.7629999999999999</v>
      </c>
    </row>
    <row r="74" spans="1:8" x14ac:dyDescent="0.35">
      <c r="A74" s="5" t="s">
        <v>151</v>
      </c>
      <c r="B74" s="3" t="s">
        <v>152</v>
      </c>
      <c r="C74" s="3" t="s">
        <v>8</v>
      </c>
      <c r="D74" s="3" t="s">
        <v>153</v>
      </c>
      <c r="E74" s="3">
        <v>831.93600000000004</v>
      </c>
      <c r="F74" s="3">
        <v>8</v>
      </c>
      <c r="G74" s="3">
        <v>0.2</v>
      </c>
      <c r="H74" s="8">
        <v>-114.3912</v>
      </c>
    </row>
    <row r="75" spans="1:8" x14ac:dyDescent="0.35">
      <c r="A75" s="6" t="s">
        <v>151</v>
      </c>
      <c r="B75" s="4" t="s">
        <v>152</v>
      </c>
      <c r="C75" s="4" t="s">
        <v>8</v>
      </c>
      <c r="D75" s="4" t="s">
        <v>154</v>
      </c>
      <c r="E75" s="4">
        <v>97.04</v>
      </c>
      <c r="F75" s="4">
        <v>2</v>
      </c>
      <c r="G75" s="4">
        <v>0.2</v>
      </c>
      <c r="H75" s="7">
        <v>1.2130000000000001</v>
      </c>
    </row>
    <row r="76" spans="1:8" x14ac:dyDescent="0.35">
      <c r="A76" s="5"/>
      <c r="B76" s="3"/>
      <c r="C76" s="3"/>
      <c r="D76" s="3"/>
      <c r="E76" s="3"/>
      <c r="F76" s="3"/>
      <c r="G76" s="3"/>
      <c r="H76" s="8"/>
    </row>
    <row r="77" spans="1:8" x14ac:dyDescent="0.35">
      <c r="A77" s="15"/>
      <c r="B77" s="4"/>
      <c r="C77" s="4"/>
      <c r="D77" s="4"/>
      <c r="E77" s="4"/>
      <c r="F77" s="4"/>
      <c r="G77" s="4"/>
      <c r="H77" s="7"/>
    </row>
    <row r="78" spans="1:8" x14ac:dyDescent="0.35">
      <c r="A78" s="14"/>
      <c r="B78" s="3"/>
      <c r="C78" s="3"/>
      <c r="D78" s="3"/>
      <c r="E78" s="3"/>
      <c r="F78" s="3"/>
      <c r="G78" s="3"/>
      <c r="H78" s="8"/>
    </row>
    <row r="79" spans="1:8" x14ac:dyDescent="0.35">
      <c r="A79" s="15"/>
      <c r="B79" s="4"/>
      <c r="C79" s="4"/>
      <c r="D79" s="4"/>
      <c r="E79" s="4"/>
      <c r="F79" s="4"/>
      <c r="G79" s="4"/>
      <c r="H79" s="7"/>
    </row>
    <row r="80" spans="1:8" x14ac:dyDescent="0.35">
      <c r="A80" s="5"/>
      <c r="B80" s="3"/>
      <c r="C80" s="3"/>
      <c r="D80" s="3"/>
      <c r="E80" s="3"/>
      <c r="F80" s="3"/>
      <c r="G80" s="3"/>
      <c r="H80" s="8"/>
    </row>
    <row r="81" spans="1:8" x14ac:dyDescent="0.35">
      <c r="A81" s="15"/>
      <c r="B81" s="4"/>
      <c r="C81" s="4"/>
      <c r="D81" s="4"/>
      <c r="E81" s="4"/>
      <c r="F81" s="4"/>
      <c r="G81" s="4"/>
      <c r="H81" s="7"/>
    </row>
    <row r="82" spans="1:8" x14ac:dyDescent="0.35">
      <c r="A82" s="14"/>
      <c r="B82" s="3"/>
      <c r="C82" s="3"/>
      <c r="D82" s="3"/>
      <c r="E82" s="3"/>
      <c r="F82" s="3"/>
      <c r="G82" s="3"/>
      <c r="H82" s="8"/>
    </row>
    <row r="83" spans="1:8" x14ac:dyDescent="0.35">
      <c r="A83" s="15"/>
      <c r="B83" s="4"/>
      <c r="C83" s="4"/>
      <c r="D83" s="4"/>
      <c r="E83" s="4"/>
      <c r="F83" s="4"/>
      <c r="G83" s="4"/>
      <c r="H83" s="7"/>
    </row>
    <row r="84" spans="1:8" x14ac:dyDescent="0.35">
      <c r="A84" s="14"/>
      <c r="B84" s="3"/>
      <c r="C84" s="3"/>
      <c r="D84" s="3"/>
      <c r="E84" s="3"/>
      <c r="F84" s="3"/>
      <c r="G84" s="3"/>
      <c r="H84" s="8"/>
    </row>
    <row r="85" spans="1:8" x14ac:dyDescent="0.35">
      <c r="A85" s="15"/>
      <c r="B85" s="4"/>
      <c r="C85" s="4"/>
      <c r="D85" s="4"/>
      <c r="E85" s="4"/>
      <c r="F85" s="4"/>
      <c r="G85" s="4"/>
      <c r="H85" s="7"/>
    </row>
    <row r="86" spans="1:8" x14ac:dyDescent="0.35">
      <c r="A86" s="5"/>
      <c r="B86" s="3"/>
      <c r="C86" s="3"/>
      <c r="D86" s="3"/>
      <c r="E86" s="3"/>
      <c r="F86" s="3"/>
      <c r="G86" s="3"/>
      <c r="H86" s="8"/>
    </row>
    <row r="87" spans="1:8" x14ac:dyDescent="0.35">
      <c r="A87" s="6"/>
      <c r="B87" s="4"/>
      <c r="C87" s="4"/>
      <c r="D87" s="4"/>
      <c r="E87" s="4"/>
      <c r="F87" s="4"/>
      <c r="G87" s="4"/>
      <c r="H87" s="7"/>
    </row>
    <row r="88" spans="1:8" x14ac:dyDescent="0.35">
      <c r="A88" s="5"/>
      <c r="B88" s="3"/>
      <c r="C88" s="3"/>
      <c r="D88" s="3"/>
      <c r="E88" s="3"/>
      <c r="F88" s="3"/>
      <c r="G88" s="3"/>
      <c r="H88" s="8"/>
    </row>
    <row r="89" spans="1:8" x14ac:dyDescent="0.35">
      <c r="A89" s="6"/>
      <c r="B89" s="4"/>
      <c r="C89" s="4"/>
      <c r="D89" s="4"/>
      <c r="E89" s="4"/>
      <c r="F89" s="4"/>
      <c r="G89" s="4"/>
      <c r="H89" s="7"/>
    </row>
    <row r="90" spans="1:8" x14ac:dyDescent="0.35">
      <c r="A90" s="14"/>
      <c r="B90" s="3"/>
      <c r="C90" s="3"/>
      <c r="D90" s="3"/>
      <c r="E90" s="3"/>
      <c r="F90" s="3"/>
      <c r="G90" s="3"/>
      <c r="H90" s="8"/>
    </row>
    <row r="91" spans="1:8" x14ac:dyDescent="0.35">
      <c r="A91" s="6"/>
      <c r="B91" s="4"/>
      <c r="C91" s="4"/>
      <c r="D91" s="4"/>
      <c r="E91" s="4"/>
      <c r="F91" s="4"/>
      <c r="G91" s="4"/>
      <c r="H91" s="7"/>
    </row>
    <row r="92" spans="1:8" x14ac:dyDescent="0.35">
      <c r="A92" s="5"/>
      <c r="B92" s="3"/>
      <c r="C92" s="3"/>
      <c r="D92" s="3"/>
      <c r="E92" s="3"/>
      <c r="F92" s="3"/>
      <c r="G92" s="3"/>
      <c r="H92" s="8"/>
    </row>
    <row r="93" spans="1:8" x14ac:dyDescent="0.35">
      <c r="A93" s="6"/>
      <c r="B93" s="4"/>
      <c r="C93" s="4"/>
      <c r="D93" s="4"/>
      <c r="E93" s="4"/>
      <c r="F93" s="4"/>
      <c r="G93" s="4"/>
      <c r="H93" s="7"/>
    </row>
    <row r="94" spans="1:8" x14ac:dyDescent="0.35">
      <c r="A94" s="5"/>
      <c r="B94" s="3"/>
      <c r="C94" s="3"/>
      <c r="D94" s="3"/>
      <c r="E94" s="3"/>
      <c r="F94" s="3"/>
      <c r="G94" s="3"/>
      <c r="H94" s="8"/>
    </row>
    <row r="95" spans="1:8" x14ac:dyDescent="0.35">
      <c r="A95" s="6"/>
      <c r="B95" s="4"/>
      <c r="C95" s="4"/>
      <c r="D95" s="4"/>
      <c r="E95" s="4"/>
      <c r="F95" s="4"/>
      <c r="G95" s="4"/>
      <c r="H95" s="7"/>
    </row>
    <row r="96" spans="1:8" x14ac:dyDescent="0.35">
      <c r="A96" s="5"/>
      <c r="B96" s="3"/>
      <c r="C96" s="3"/>
      <c r="D96" s="3"/>
      <c r="E96" s="3"/>
      <c r="F96" s="3"/>
      <c r="G96" s="3"/>
      <c r="H96" s="8"/>
    </row>
    <row r="97" spans="1:8" x14ac:dyDescent="0.35">
      <c r="A97" s="15"/>
      <c r="B97" s="4"/>
      <c r="C97" s="4"/>
      <c r="D97" s="4"/>
      <c r="E97" s="4"/>
      <c r="F97" s="4"/>
      <c r="G97" s="4"/>
      <c r="H97" s="7"/>
    </row>
    <row r="98" spans="1:8" x14ac:dyDescent="0.35">
      <c r="A98" s="14"/>
      <c r="B98" s="3"/>
      <c r="C98" s="3"/>
      <c r="D98" s="3"/>
      <c r="E98" s="3"/>
      <c r="F98" s="3"/>
      <c r="G98" s="3"/>
      <c r="H98" s="8"/>
    </row>
    <row r="99" spans="1:8" x14ac:dyDescent="0.35">
      <c r="A99" s="6"/>
      <c r="B99" s="4"/>
      <c r="C99" s="4"/>
      <c r="D99" s="4"/>
      <c r="E99" s="4"/>
      <c r="F99" s="4"/>
      <c r="G99" s="4"/>
      <c r="H99" s="7"/>
    </row>
    <row r="100" spans="1:8" x14ac:dyDescent="0.35">
      <c r="A100" s="14"/>
      <c r="B100" s="3"/>
      <c r="C100" s="3"/>
      <c r="D100" s="3"/>
      <c r="E100" s="3"/>
      <c r="F100" s="3"/>
      <c r="G100" s="3"/>
      <c r="H100" s="8"/>
    </row>
    <row r="101" spans="1:8" x14ac:dyDescent="0.35">
      <c r="A101" s="6"/>
      <c r="B101" s="4"/>
      <c r="C101" s="4"/>
      <c r="D101" s="4"/>
      <c r="E101" s="4"/>
      <c r="F101" s="4"/>
      <c r="G101" s="4"/>
      <c r="H101" s="7"/>
    </row>
    <row r="102" spans="1:8" x14ac:dyDescent="0.35">
      <c r="A102" s="5"/>
      <c r="B102" s="3"/>
      <c r="C102" s="3"/>
      <c r="D102" s="3"/>
      <c r="E102" s="3"/>
      <c r="F102" s="3"/>
      <c r="G102" s="3"/>
      <c r="H102" s="8"/>
    </row>
    <row r="103" spans="1:8" x14ac:dyDescent="0.35">
      <c r="A103" s="6"/>
      <c r="B103" s="4"/>
      <c r="C103" s="4"/>
      <c r="D103" s="4"/>
      <c r="E103" s="4"/>
      <c r="F103" s="4"/>
      <c r="G103" s="4"/>
      <c r="H103" s="7"/>
    </row>
    <row r="104" spans="1:8" x14ac:dyDescent="0.35">
      <c r="A104" s="14"/>
      <c r="B104" s="3"/>
      <c r="C104" s="3"/>
      <c r="D104" s="3"/>
      <c r="E104" s="3"/>
      <c r="F104" s="3"/>
      <c r="G104" s="3"/>
      <c r="H104" s="8"/>
    </row>
    <row r="105" spans="1:8" x14ac:dyDescent="0.35">
      <c r="A105" s="6"/>
      <c r="B105" s="4"/>
      <c r="C105" s="4"/>
      <c r="D105" s="4"/>
      <c r="E105" s="4"/>
      <c r="F105" s="4"/>
      <c r="G105" s="4"/>
      <c r="H105" s="7"/>
    </row>
    <row r="106" spans="1:8" x14ac:dyDescent="0.35">
      <c r="A106" s="5"/>
      <c r="B106" s="3"/>
      <c r="C106" s="3"/>
      <c r="D106" s="3"/>
      <c r="E106" s="3"/>
      <c r="F106" s="3"/>
      <c r="G106" s="3"/>
      <c r="H106" s="8"/>
    </row>
    <row r="107" spans="1:8" x14ac:dyDescent="0.35">
      <c r="A107" s="6"/>
      <c r="B107" s="4"/>
      <c r="C107" s="4"/>
      <c r="D107" s="4"/>
      <c r="E107" s="4"/>
      <c r="F107" s="4"/>
      <c r="G107" s="4"/>
      <c r="H107" s="7"/>
    </row>
    <row r="108" spans="1:8" x14ac:dyDescent="0.35">
      <c r="A108" s="5"/>
      <c r="B108" s="3"/>
      <c r="C108" s="3"/>
      <c r="D108" s="3"/>
      <c r="E108" s="3"/>
      <c r="F108" s="3"/>
      <c r="G108" s="3"/>
      <c r="H108" s="8"/>
    </row>
    <row r="109" spans="1:8" x14ac:dyDescent="0.35">
      <c r="A109" s="6"/>
      <c r="B109" s="4"/>
      <c r="C109" s="4"/>
      <c r="D109" s="4"/>
      <c r="E109" s="4"/>
      <c r="F109" s="4"/>
      <c r="G109" s="4"/>
      <c r="H109" s="7"/>
    </row>
    <row r="110" spans="1:8" x14ac:dyDescent="0.35">
      <c r="A110" s="5"/>
      <c r="B110" s="3"/>
      <c r="C110" s="3"/>
      <c r="D110" s="3"/>
      <c r="E110" s="3"/>
      <c r="F110" s="3"/>
      <c r="G110" s="3"/>
      <c r="H110" s="8"/>
    </row>
    <row r="111" spans="1:8" x14ac:dyDescent="0.35">
      <c r="A111" s="6"/>
      <c r="B111" s="4"/>
      <c r="C111" s="4"/>
      <c r="D111" s="4"/>
      <c r="E111" s="4"/>
      <c r="F111" s="4"/>
      <c r="G111" s="4"/>
      <c r="H111" s="7"/>
    </row>
    <row r="112" spans="1:8" x14ac:dyDescent="0.35">
      <c r="A112" s="5"/>
      <c r="B112" s="3"/>
      <c r="C112" s="3"/>
      <c r="D112" s="3"/>
      <c r="E112" s="3"/>
      <c r="F112" s="3"/>
      <c r="G112" s="3"/>
      <c r="H112" s="8"/>
    </row>
    <row r="113" spans="1:8" x14ac:dyDescent="0.35">
      <c r="A113" s="15"/>
      <c r="B113" s="4"/>
      <c r="C113" s="4"/>
      <c r="D113" s="4"/>
      <c r="E113" s="4"/>
      <c r="F113" s="4"/>
      <c r="G113" s="4"/>
      <c r="H113" s="7"/>
    </row>
    <row r="114" spans="1:8" x14ac:dyDescent="0.35">
      <c r="A114" s="14"/>
      <c r="B114" s="3"/>
      <c r="C114" s="3"/>
      <c r="D114" s="3"/>
      <c r="E114" s="3"/>
      <c r="F114" s="3"/>
      <c r="G114" s="3"/>
      <c r="H114" s="8"/>
    </row>
    <row r="115" spans="1:8" x14ac:dyDescent="0.35">
      <c r="A115" s="6"/>
      <c r="B115" s="4"/>
      <c r="C115" s="4"/>
      <c r="D115" s="4"/>
      <c r="E115" s="4"/>
      <c r="F115" s="4"/>
      <c r="G115" s="4"/>
      <c r="H115" s="7"/>
    </row>
    <row r="116" spans="1:8" x14ac:dyDescent="0.35">
      <c r="A116" s="5"/>
      <c r="B116" s="3"/>
      <c r="C116" s="3"/>
      <c r="D116" s="3"/>
      <c r="E116" s="3"/>
      <c r="F116" s="3"/>
      <c r="G116" s="3"/>
      <c r="H116" s="8"/>
    </row>
    <row r="117" spans="1:8" x14ac:dyDescent="0.35">
      <c r="A117" s="6"/>
      <c r="B117" s="4"/>
      <c r="C117" s="4"/>
      <c r="D117" s="4"/>
      <c r="E117" s="4"/>
      <c r="F117" s="4"/>
      <c r="G117" s="4"/>
      <c r="H117" s="7"/>
    </row>
    <row r="118" spans="1:8" x14ac:dyDescent="0.35">
      <c r="A118" s="5"/>
      <c r="B118" s="3"/>
      <c r="C118" s="3"/>
      <c r="D118" s="3"/>
      <c r="E118" s="3"/>
      <c r="F118" s="3"/>
      <c r="G118" s="3"/>
      <c r="H118" s="8"/>
    </row>
    <row r="119" spans="1:8" x14ac:dyDescent="0.35">
      <c r="A119" s="15"/>
      <c r="B119" s="4"/>
      <c r="C119" s="4"/>
      <c r="D119" s="4"/>
      <c r="E119" s="4"/>
      <c r="F119" s="4"/>
      <c r="G119" s="4"/>
      <c r="H119" s="7"/>
    </row>
    <row r="120" spans="1:8" x14ac:dyDescent="0.35">
      <c r="A120" s="14"/>
      <c r="B120" s="3"/>
      <c r="C120" s="3"/>
      <c r="D120" s="3"/>
      <c r="E120" s="3"/>
      <c r="F120" s="3"/>
      <c r="G120" s="3"/>
      <c r="H120" s="8"/>
    </row>
    <row r="121" spans="1:8" x14ac:dyDescent="0.35">
      <c r="A121" s="15"/>
      <c r="B121" s="4"/>
      <c r="C121" s="4"/>
      <c r="D121" s="4"/>
      <c r="E121" s="4"/>
      <c r="F121" s="4"/>
      <c r="G121" s="4"/>
      <c r="H121" s="7"/>
    </row>
    <row r="122" spans="1:8" x14ac:dyDescent="0.35">
      <c r="A122" s="14"/>
      <c r="B122" s="3"/>
      <c r="C122" s="3"/>
      <c r="D122" s="3"/>
      <c r="E122" s="3"/>
      <c r="F122" s="3"/>
      <c r="G122" s="3"/>
      <c r="H122" s="8"/>
    </row>
    <row r="123" spans="1:8" x14ac:dyDescent="0.35">
      <c r="A123" s="15"/>
      <c r="B123" s="4"/>
      <c r="C123" s="4"/>
      <c r="D123" s="4"/>
      <c r="E123" s="4"/>
      <c r="F123" s="4"/>
      <c r="G123" s="4"/>
      <c r="H123" s="7"/>
    </row>
    <row r="124" spans="1:8" x14ac:dyDescent="0.35">
      <c r="A124" s="14"/>
      <c r="B124" s="3"/>
      <c r="C124" s="3"/>
      <c r="D124" s="3"/>
      <c r="E124" s="3"/>
      <c r="F124" s="3"/>
      <c r="G124" s="3"/>
      <c r="H124" s="8"/>
    </row>
    <row r="125" spans="1:8" x14ac:dyDescent="0.35">
      <c r="A125" s="15"/>
      <c r="B125" s="4"/>
      <c r="C125" s="4"/>
      <c r="D125" s="4"/>
      <c r="E125" s="4"/>
      <c r="F125" s="4"/>
      <c r="G125" s="4"/>
      <c r="H125" s="7"/>
    </row>
    <row r="126" spans="1:8" x14ac:dyDescent="0.35">
      <c r="A126" s="5"/>
      <c r="B126" s="3"/>
      <c r="C126" s="3"/>
      <c r="D126" s="3"/>
      <c r="E126" s="3"/>
      <c r="F126" s="3"/>
      <c r="G126" s="3"/>
      <c r="H126" s="8"/>
    </row>
    <row r="127" spans="1:8" x14ac:dyDescent="0.35">
      <c r="A127" s="6"/>
      <c r="B127" s="4"/>
      <c r="C127" s="4"/>
      <c r="D127" s="4"/>
      <c r="E127" s="4"/>
      <c r="F127" s="4"/>
      <c r="G127" s="4"/>
      <c r="H127" s="7"/>
    </row>
    <row r="128" spans="1:8" x14ac:dyDescent="0.35">
      <c r="A128" s="14"/>
      <c r="B128" s="3"/>
      <c r="C128" s="3"/>
      <c r="D128" s="3"/>
      <c r="E128" s="3"/>
      <c r="F128" s="3"/>
      <c r="G128" s="3"/>
      <c r="H128" s="8"/>
    </row>
    <row r="129" spans="1:8" x14ac:dyDescent="0.35">
      <c r="A129" s="15"/>
      <c r="B129" s="4"/>
      <c r="C129" s="4"/>
      <c r="D129" s="4"/>
      <c r="E129" s="4"/>
      <c r="F129" s="4"/>
      <c r="G129" s="4"/>
      <c r="H129" s="7"/>
    </row>
    <row r="130" spans="1:8" x14ac:dyDescent="0.35">
      <c r="A130" s="14"/>
      <c r="B130" s="3"/>
      <c r="C130" s="3"/>
      <c r="D130" s="3"/>
      <c r="E130" s="3"/>
      <c r="F130" s="3"/>
      <c r="G130" s="3"/>
      <c r="H130" s="8"/>
    </row>
    <row r="131" spans="1:8" x14ac:dyDescent="0.35">
      <c r="A131" s="15"/>
      <c r="B131" s="4"/>
      <c r="C131" s="4"/>
      <c r="D131" s="4"/>
      <c r="E131" s="4"/>
      <c r="F131" s="4"/>
      <c r="G131" s="4"/>
      <c r="H131" s="7"/>
    </row>
    <row r="132" spans="1:8" x14ac:dyDescent="0.35">
      <c r="A132" s="14"/>
      <c r="B132" s="3"/>
      <c r="C132" s="3"/>
      <c r="D132" s="3"/>
      <c r="E132" s="3"/>
      <c r="F132" s="3"/>
      <c r="G132" s="3"/>
      <c r="H132" s="8"/>
    </row>
    <row r="133" spans="1:8" x14ac:dyDescent="0.35">
      <c r="A133" s="15"/>
      <c r="B133" s="4"/>
      <c r="C133" s="4"/>
      <c r="D133" s="4"/>
      <c r="E133" s="4"/>
      <c r="F133" s="4"/>
      <c r="G133" s="4"/>
      <c r="H133" s="7"/>
    </row>
    <row r="134" spans="1:8" x14ac:dyDescent="0.35">
      <c r="A134" s="14"/>
      <c r="B134" s="3"/>
      <c r="C134" s="3"/>
      <c r="D134" s="3"/>
      <c r="E134" s="3"/>
      <c r="F134" s="3"/>
      <c r="G134" s="3"/>
      <c r="H134" s="8"/>
    </row>
    <row r="135" spans="1:8" x14ac:dyDescent="0.35">
      <c r="A135" s="6"/>
      <c r="B135" s="4"/>
      <c r="C135" s="4"/>
      <c r="D135" s="4"/>
      <c r="E135" s="4"/>
      <c r="F135" s="4"/>
      <c r="G135" s="4"/>
      <c r="H135" s="7"/>
    </row>
    <row r="136" spans="1:8" x14ac:dyDescent="0.35">
      <c r="A136" s="5"/>
      <c r="B136" s="3"/>
      <c r="C136" s="3"/>
      <c r="D136" s="3"/>
      <c r="E136" s="3"/>
      <c r="F136" s="3"/>
      <c r="G136" s="3"/>
      <c r="H136" s="8"/>
    </row>
    <row r="137" spans="1:8" x14ac:dyDescent="0.35">
      <c r="A137" s="6"/>
      <c r="B137" s="4"/>
      <c r="C137" s="4"/>
      <c r="D137" s="4"/>
      <c r="E137" s="4"/>
      <c r="F137" s="4"/>
      <c r="G137" s="4"/>
      <c r="H137" s="7"/>
    </row>
    <row r="138" spans="1:8" x14ac:dyDescent="0.35">
      <c r="A138" s="5"/>
      <c r="B138" s="3"/>
      <c r="C138" s="3"/>
      <c r="D138" s="3"/>
      <c r="E138" s="3"/>
      <c r="F138" s="3"/>
      <c r="G138" s="3"/>
      <c r="H138" s="8"/>
    </row>
    <row r="139" spans="1:8" x14ac:dyDescent="0.35">
      <c r="A139" s="6"/>
      <c r="B139" s="4"/>
      <c r="C139" s="4"/>
      <c r="D139" s="4"/>
      <c r="E139" s="4"/>
      <c r="F139" s="4"/>
      <c r="G139" s="4"/>
      <c r="H139" s="7"/>
    </row>
    <row r="140" spans="1:8" x14ac:dyDescent="0.35">
      <c r="A140" s="5"/>
      <c r="B140" s="3"/>
      <c r="C140" s="3"/>
      <c r="D140" s="3"/>
      <c r="E140" s="3"/>
      <c r="F140" s="3"/>
      <c r="G140" s="3"/>
      <c r="H140" s="8"/>
    </row>
    <row r="141" spans="1:8" x14ac:dyDescent="0.35">
      <c r="A141" s="6"/>
      <c r="B141" s="4"/>
      <c r="C141" s="4"/>
      <c r="D141" s="4"/>
      <c r="E141" s="4"/>
      <c r="F141" s="4"/>
      <c r="G141" s="4"/>
      <c r="H141" s="7"/>
    </row>
    <row r="142" spans="1:8" x14ac:dyDescent="0.35">
      <c r="A142" s="14"/>
      <c r="B142" s="3"/>
      <c r="C142" s="3"/>
      <c r="D142" s="3"/>
      <c r="E142" s="3"/>
      <c r="F142" s="3"/>
      <c r="G142" s="3"/>
      <c r="H142" s="8"/>
    </row>
    <row r="143" spans="1:8" x14ac:dyDescent="0.35">
      <c r="A143" s="6"/>
      <c r="B143" s="4"/>
      <c r="C143" s="4"/>
      <c r="D143" s="4"/>
      <c r="E143" s="4"/>
      <c r="F143" s="4"/>
      <c r="G143" s="4"/>
      <c r="H143" s="7"/>
    </row>
    <row r="144" spans="1:8" x14ac:dyDescent="0.35">
      <c r="A144" s="5"/>
      <c r="B144" s="3"/>
      <c r="C144" s="3"/>
      <c r="D144" s="3"/>
      <c r="E144" s="3"/>
      <c r="F144" s="3"/>
      <c r="G144" s="3"/>
      <c r="H144" s="8"/>
    </row>
    <row r="145" spans="1:8" x14ac:dyDescent="0.35">
      <c r="A145" s="6"/>
      <c r="B145" s="4"/>
      <c r="C145" s="4"/>
      <c r="D145" s="4"/>
      <c r="E145" s="4"/>
      <c r="F145" s="4"/>
      <c r="G145" s="4"/>
      <c r="H145" s="7"/>
    </row>
    <row r="146" spans="1:8" x14ac:dyDescent="0.35">
      <c r="A146" s="5"/>
      <c r="B146" s="3"/>
      <c r="C146" s="3"/>
      <c r="D146" s="3"/>
      <c r="E146" s="3"/>
      <c r="F146" s="3"/>
      <c r="G146" s="3"/>
      <c r="H146" s="8"/>
    </row>
    <row r="147" spans="1:8" x14ac:dyDescent="0.35">
      <c r="A147" s="15"/>
      <c r="B147" s="4"/>
      <c r="C147" s="4"/>
      <c r="D147" s="4"/>
      <c r="E147" s="4"/>
      <c r="F147" s="4"/>
      <c r="G147" s="4"/>
      <c r="H147" s="7"/>
    </row>
    <row r="148" spans="1:8" x14ac:dyDescent="0.35">
      <c r="A148" s="5"/>
      <c r="B148" s="3"/>
      <c r="C148" s="3"/>
      <c r="D148" s="3"/>
      <c r="E148" s="3"/>
      <c r="F148" s="3"/>
      <c r="G148" s="3"/>
      <c r="H148" s="8"/>
    </row>
    <row r="149" spans="1:8" x14ac:dyDescent="0.35">
      <c r="A149" s="15"/>
      <c r="B149" s="4"/>
      <c r="C149" s="4"/>
      <c r="D149" s="4"/>
      <c r="E149" s="4"/>
      <c r="F149" s="4"/>
      <c r="G149" s="4"/>
      <c r="H149" s="7"/>
    </row>
    <row r="150" spans="1:8" x14ac:dyDescent="0.35">
      <c r="A150" s="14"/>
      <c r="B150" s="3"/>
      <c r="C150" s="3"/>
      <c r="D150" s="3"/>
      <c r="E150" s="3"/>
      <c r="F150" s="3"/>
      <c r="G150" s="3"/>
      <c r="H150" s="8"/>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6F6C4A10CCE7048832F9C3C4A37683B" ma:contentTypeVersion="4" ma:contentTypeDescription="Create a new document." ma:contentTypeScope="" ma:versionID="2b3315c52f97b79de9c5263c0a5bbf76">
  <xsd:schema xmlns:xsd="http://www.w3.org/2001/XMLSchema" xmlns:xs="http://www.w3.org/2001/XMLSchema" xmlns:p="http://schemas.microsoft.com/office/2006/metadata/properties" xmlns:ns3="5d3203a6-e49d-4d8a-a672-0ba9946a26f7" targetNamespace="http://schemas.microsoft.com/office/2006/metadata/properties" ma:root="true" ma:fieldsID="e4c8a6c81cf2436096ea6480d7bd8132" ns3:_="">
    <xsd:import namespace="5d3203a6-e49d-4d8a-a672-0ba9946a26f7"/>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3203a6-e49d-4d8a-a672-0ba9946a26f7"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7DF8A3A-0EF1-4995-A32A-8349B50CFD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d3203a6-e49d-4d8a-a672-0ba9946a26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7693112-8F7A-4BEF-8BBA-C01930A72299}">
  <ds:schemaRefs>
    <ds:schemaRef ds:uri="http://schemas.microsoft.com/sharepoint/v3/contenttype/forms"/>
  </ds:schemaRefs>
</ds:datastoreItem>
</file>

<file path=customXml/itemProps3.xml><?xml version="1.0" encoding="utf-8"?>
<ds:datastoreItem xmlns:ds="http://schemas.openxmlformats.org/officeDocument/2006/customXml" ds:itemID="{E8A73AF4-4501-480F-ACBA-6C4CF8443127}">
  <ds:schemaRefs>
    <ds:schemaRef ds:uri="http://schemas.openxmlformats.org/package/2006/metadata/core-properties"/>
    <ds:schemaRef ds:uri="http://schemas.microsoft.com/office/2006/metadata/properties"/>
    <ds:schemaRef ds:uri="http://schemas.microsoft.com/office/2006/documentManagement/types"/>
    <ds:schemaRef ds:uri="http://schemas.microsoft.com/office/infopath/2007/PartnerControls"/>
    <ds:schemaRef ds:uri="http://www.w3.org/XML/1998/namespace"/>
    <ds:schemaRef ds:uri="http://purl.org/dc/dcmitype/"/>
    <ds:schemaRef ds:uri="5d3203a6-e49d-4d8a-a672-0ba9946a26f7"/>
    <ds:schemaRef ds:uri="http://purl.org/dc/term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Sample - Superstore</vt:lpstr>
      <vt:lpstr>Detail1</vt:lpstr>
      <vt:lpstr>Pivot Table and Chart</vt:lpstr>
      <vt:lpstr>DASHBOARD</vt:lpstr>
      <vt:lpstr>CReated 150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 mahi</dc:creator>
  <cp:lastModifiedBy>S0841880</cp:lastModifiedBy>
  <dcterms:created xsi:type="dcterms:W3CDTF">2026-06-01T09:37:45Z</dcterms:created>
  <dcterms:modified xsi:type="dcterms:W3CDTF">2026-06-08T04:23:46Z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0x010100A6F6C4A10CCE7048832F9C3C4A37683B</vt:lpwstr>
  </property>
</Properties>
</file>